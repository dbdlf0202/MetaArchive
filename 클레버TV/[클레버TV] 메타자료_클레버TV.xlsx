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F:\간니닌니_투니버스 방영 소재(07_2025)\"/>
    </mc:Choice>
  </mc:AlternateContent>
  <xr:revisionPtr revIDLastSave="0" documentId="13_ncr:1_{D1476BDB-213B-4453-B1CB-4C60B1592DBA}" xr6:coauthVersionLast="47" xr6:coauthVersionMax="47" xr10:uidLastSave="{00000000-0000-0000-0000-000000000000}"/>
  <bookViews>
    <workbookView xWindow="1560" yWindow="1500" windowWidth="26595" windowHeight="14700" xr2:uid="{00000000-000D-0000-FFFF-FFFF00000000}"/>
  </bookViews>
  <sheets>
    <sheet name="콘텐츠메타_클레버TV" sheetId="2" r:id="rId1"/>
    <sheet name="공통코드" sheetId="3" state="hidden" r:id="rId2"/>
    <sheet name="국가" sheetId="4" state="hidden" r:id="rId3"/>
    <sheet name="언어" sheetId="5" state="hidden" r:id="rId4"/>
    <sheet name="장르" sheetId="6" state="hidden" r:id="rId5"/>
  </sheets>
  <externalReferences>
    <externalReference r:id="rId6"/>
    <externalReference r:id="rId7"/>
  </externalReferences>
  <definedNames>
    <definedName name="VR콘텐츠종류">공통코드!$C$188:$C$190</definedName>
    <definedName name="VR콘텐츠종류2">공통코드!$D$188:$D$190</definedName>
    <definedName name="과목명">공통코드!$C$142:$C$167</definedName>
    <definedName name="관람등급" localSheetId="1">공통코드!$C$5:$C$10</definedName>
    <definedName name="관람등급">공통코드!$C$5:$C$10</definedName>
    <definedName name="국가코드">국가!$C$2:$C$247</definedName>
    <definedName name="단체분류">공통코드!$C$136:$C$139</definedName>
    <definedName name="방송요일">공통코드!$C$46:$C$55</definedName>
    <definedName name="방송채널">공통코드!$C$23:$C$45</definedName>
    <definedName name="서비스영상유형">공통코드!$C$168:$C$171</definedName>
    <definedName name="수준분류">공통코드!$C$122:$C$124</definedName>
    <definedName name="스포츠경기명">공통코드!$C$56:$C$94</definedName>
    <definedName name="스포츠방송유형">공통코드!$C$95:$C$99</definedName>
    <definedName name="시청등급">공통코드!$D$191:$D$195</definedName>
    <definedName name="언어코드">언어!$C$2:$C$491</definedName>
    <definedName name="여부">공통코드!$C$140:$C$141</definedName>
    <definedName name="영등위시청등급">공통코드!$D$196:$D$199</definedName>
    <definedName name="영등위시청등급.">[1]공통코드!$D$196:$D$199</definedName>
    <definedName name="영등위심의내용">공통코드!$D$200:$D$205</definedName>
    <definedName name="영상구분">공통코드!$C$186:$C$187</definedName>
    <definedName name="영상유형">공통코드!$C$168:$C$182</definedName>
    <definedName name="완결여부">공통코드!$C$18:$C$19</definedName>
    <definedName name="입고유형">공통코드!$C$183:$C$185</definedName>
    <definedName name="자막더빙여부">공통코드!$C$20:$C$22</definedName>
    <definedName name="장르">장르!$E$2:$E$260</definedName>
    <definedName name="장르CCCCC" localSheetId="1">공통코드!$C$4:$C$4</definedName>
    <definedName name="전체관람가">[2]공통코드!$D$196:$D$199</definedName>
    <definedName name="종교명">공통코드!$C$125:$C$135</definedName>
    <definedName name="추천연령">공통코드!$C$116:$C$121</definedName>
    <definedName name="학기">공통코드!$C$112:$C$115</definedName>
    <definedName name="학년">공통코드!$C$106:$C$111</definedName>
    <definedName name="학생분류">공통코드!$C$100:$C$105</definedName>
    <definedName name="화면비">공통코드!$C$16:$C$17</definedName>
    <definedName name="화질">공통코드!$C$12:$C$15</definedName>
    <definedName name="ㅓㅏㅓ">[1]공통코드!$D$196:$D$199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6" l="1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D5" i="3"/>
  <c r="D6" i="3"/>
  <c r="D7" i="3"/>
  <c r="D8" i="3"/>
  <c r="D9" i="3"/>
  <c r="D10" i="3"/>
  <c r="D12" i="3"/>
  <c r="D13" i="3"/>
  <c r="D14" i="3"/>
  <c r="D15" i="3"/>
  <c r="D18" i="3"/>
  <c r="D19" i="3"/>
  <c r="D20" i="3"/>
  <c r="D21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kwson</author>
  </authors>
  <commentList>
    <comment ref="N3" authorId="0" shapeId="0" xr:uid="{E1C0CFD3-F859-4211-A749-5DB6D02DCDBA}">
      <text>
        <r>
          <rPr>
            <b/>
            <sz val="9"/>
            <color indexed="60"/>
            <rFont val="맑은 고딕"/>
            <family val="3"/>
            <charset val="129"/>
          </rPr>
          <t xml:space="preserve">ex) 1시간 콘텐츠이면 
       01:00:00 </t>
        </r>
      </text>
    </comment>
  </commentList>
</comments>
</file>

<file path=xl/sharedStrings.xml><?xml version="1.0" encoding="utf-8"?>
<sst xmlns="http://schemas.openxmlformats.org/spreadsheetml/2006/main" count="3524" uniqueCount="2151">
  <si>
    <t>물리속성</t>
    <phoneticPr fontId="9" type="noConversion"/>
  </si>
  <si>
    <t>자막/더빙/오디어 언어</t>
    <phoneticPr fontId="9" type="noConversion"/>
  </si>
  <si>
    <t>대표장르</t>
    <phoneticPr fontId="9" type="noConversion"/>
  </si>
  <si>
    <t>화면비</t>
    <phoneticPr fontId="9" type="noConversion"/>
  </si>
  <si>
    <t>과목명</t>
    <phoneticPr fontId="9" type="noConversion"/>
  </si>
  <si>
    <t>자막더빙여부
(자막/더빙이면 선택)</t>
    <phoneticPr fontId="9" type="noConversion"/>
  </si>
  <si>
    <t>전체관람가</t>
  </si>
  <si>
    <t>2D</t>
  </si>
  <si>
    <t>제목정보</t>
    <phoneticPr fontId="9" type="noConversion"/>
  </si>
  <si>
    <t>콘텐츠명</t>
    <phoneticPr fontId="9" type="noConversion"/>
  </si>
  <si>
    <t>오디어언어</t>
    <phoneticPr fontId="9" type="noConversion"/>
  </si>
  <si>
    <t>3</t>
    <phoneticPr fontId="5" type="noConversion"/>
  </si>
  <si>
    <t>매우높음</t>
    <phoneticPr fontId="9" type="noConversion"/>
  </si>
  <si>
    <t>높음</t>
    <phoneticPr fontId="9" type="noConversion"/>
  </si>
  <si>
    <t>다소높음</t>
    <phoneticPr fontId="9" type="noConversion"/>
  </si>
  <si>
    <t>보통</t>
    <phoneticPr fontId="9" type="noConversion"/>
  </si>
  <si>
    <t>낮음</t>
    <phoneticPr fontId="9" type="noConversion"/>
  </si>
  <si>
    <t>없음</t>
    <phoneticPr fontId="9" type="noConversion"/>
  </si>
  <si>
    <t>영등위심의내용</t>
    <phoneticPr fontId="9" type="noConversion"/>
  </si>
  <si>
    <t>청소년관람불가</t>
    <phoneticPr fontId="9" type="noConversion"/>
  </si>
  <si>
    <t>15세이상</t>
    <phoneticPr fontId="9" type="noConversion"/>
  </si>
  <si>
    <t>12세이상</t>
    <phoneticPr fontId="9" type="noConversion"/>
  </si>
  <si>
    <t>전체관람가</t>
    <phoneticPr fontId="9" type="noConversion"/>
  </si>
  <si>
    <t>00</t>
    <phoneticPr fontId="9" type="noConversion"/>
  </si>
  <si>
    <t>영등위시청등급</t>
    <phoneticPr fontId="9" type="noConversion"/>
  </si>
  <si>
    <t>19세미만관람불가</t>
    <phoneticPr fontId="5" type="noConversion"/>
  </si>
  <si>
    <t>12세이상</t>
    <phoneticPr fontId="9" type="noConversion"/>
  </si>
  <si>
    <t>7세이상</t>
    <phoneticPr fontId="9" type="noConversion"/>
  </si>
  <si>
    <t>07</t>
    <phoneticPr fontId="9" type="noConversion"/>
  </si>
  <si>
    <t>00</t>
    <phoneticPr fontId="9" type="noConversion"/>
  </si>
  <si>
    <t>시청등급</t>
    <phoneticPr fontId="9" type="noConversion"/>
  </si>
  <si>
    <t>파노라마 3D</t>
  </si>
  <si>
    <t>파노라마 2D</t>
  </si>
  <si>
    <r>
      <rPr>
        <sz val="9"/>
        <color rgb="FF222222"/>
        <rFont val="돋움"/>
        <family val="3"/>
        <charset val="129"/>
      </rPr>
      <t>일반영상</t>
    </r>
    <r>
      <rPr>
        <sz val="9"/>
        <color rgb="FF222222"/>
        <rFont val="Consolas"/>
        <family val="3"/>
      </rPr>
      <t xml:space="preserve">(VR </t>
    </r>
    <r>
      <rPr>
        <sz val="9"/>
        <color rgb="FF222222"/>
        <rFont val="돋움"/>
        <family val="3"/>
        <charset val="129"/>
      </rPr>
      <t>아님</t>
    </r>
    <r>
      <rPr>
        <sz val="9"/>
        <color rgb="FF222222"/>
        <rFont val="Consolas"/>
        <family val="3"/>
      </rPr>
      <t>)</t>
    </r>
  </si>
  <si>
    <t>VR콘텐츠 종류</t>
  </si>
  <si>
    <t>3D</t>
    <phoneticPr fontId="9" type="noConversion"/>
  </si>
  <si>
    <t>2D</t>
    <phoneticPr fontId="9" type="noConversion"/>
  </si>
  <si>
    <t>영상구분</t>
    <phoneticPr fontId="9" type="noConversion"/>
  </si>
  <si>
    <t>온라인</t>
    <phoneticPr fontId="9" type="noConversion"/>
  </si>
  <si>
    <t>디스크</t>
    <phoneticPr fontId="9" type="noConversion"/>
  </si>
  <si>
    <t>테이프</t>
    <phoneticPr fontId="9" type="noConversion"/>
  </si>
  <si>
    <t>입고유형</t>
    <phoneticPr fontId="9" type="noConversion"/>
  </si>
  <si>
    <t>클립</t>
    <phoneticPr fontId="5" type="noConversion"/>
  </si>
  <si>
    <t>영어더빙</t>
    <phoneticPr fontId="5" type="noConversion"/>
  </si>
  <si>
    <t>한국어더빙</t>
    <phoneticPr fontId="5" type="noConversion"/>
  </si>
  <si>
    <t>중국어자막</t>
    <phoneticPr fontId="5" type="noConversion"/>
  </si>
  <si>
    <t>일어자막</t>
    <phoneticPr fontId="5" type="noConversion"/>
  </si>
  <si>
    <t>한글자막</t>
    <phoneticPr fontId="5" type="noConversion"/>
  </si>
  <si>
    <t>영어자막</t>
    <phoneticPr fontId="5" type="noConversion"/>
  </si>
  <si>
    <t>뮤직비디오</t>
    <phoneticPr fontId="5" type="noConversion"/>
  </si>
  <si>
    <t>광고편</t>
    <phoneticPr fontId="5" type="noConversion"/>
  </si>
  <si>
    <t>감독판</t>
    <phoneticPr fontId="5" type="noConversion"/>
  </si>
  <si>
    <t>인터뷰판</t>
    <phoneticPr fontId="5" type="noConversion"/>
  </si>
  <si>
    <t>트레일러</t>
    <phoneticPr fontId="5" type="noConversion"/>
  </si>
  <si>
    <t>티져</t>
    <phoneticPr fontId="5" type="noConversion"/>
  </si>
  <si>
    <t>예고편</t>
    <phoneticPr fontId="5" type="noConversion"/>
  </si>
  <si>
    <t>본편</t>
    <phoneticPr fontId="5" type="noConversion"/>
  </si>
  <si>
    <t>서비스영상유형</t>
    <phoneticPr fontId="9" type="noConversion"/>
  </si>
  <si>
    <t>기타언어</t>
    <phoneticPr fontId="9" type="noConversion"/>
  </si>
  <si>
    <t>스페인어</t>
    <phoneticPr fontId="19" type="noConversion"/>
  </si>
  <si>
    <t>불어</t>
    <phoneticPr fontId="19" type="noConversion"/>
  </si>
  <si>
    <t>독어</t>
    <phoneticPr fontId="19" type="noConversion"/>
  </si>
  <si>
    <t>중국어</t>
    <phoneticPr fontId="19" type="noConversion"/>
  </si>
  <si>
    <t>일어</t>
    <phoneticPr fontId="19" type="noConversion"/>
  </si>
  <si>
    <t>컴퓨터</t>
    <phoneticPr fontId="19" type="noConversion"/>
  </si>
  <si>
    <t>기술.가정</t>
    <phoneticPr fontId="19" type="noConversion"/>
  </si>
  <si>
    <t>보건</t>
    <phoneticPr fontId="19" type="noConversion"/>
  </si>
  <si>
    <t>체육</t>
    <phoneticPr fontId="19" type="noConversion"/>
  </si>
  <si>
    <t>미술</t>
    <phoneticPr fontId="19" type="noConversion"/>
  </si>
  <si>
    <t>음악</t>
    <phoneticPr fontId="19" type="noConversion"/>
  </si>
  <si>
    <t>도덕</t>
    <phoneticPr fontId="19" type="noConversion"/>
  </si>
  <si>
    <t>지구과학</t>
    <phoneticPr fontId="5" type="noConversion"/>
  </si>
  <si>
    <t>화학</t>
    <phoneticPr fontId="5" type="noConversion"/>
  </si>
  <si>
    <t>물리</t>
    <phoneticPr fontId="5" type="noConversion"/>
  </si>
  <si>
    <t>생물</t>
    <phoneticPr fontId="19" type="noConversion"/>
  </si>
  <si>
    <t>지리</t>
    <phoneticPr fontId="19" type="noConversion"/>
  </si>
  <si>
    <t>사회</t>
    <phoneticPr fontId="19" type="noConversion"/>
  </si>
  <si>
    <t>한문</t>
    <phoneticPr fontId="9" type="noConversion"/>
  </si>
  <si>
    <t>윤리</t>
    <phoneticPr fontId="19" type="noConversion"/>
  </si>
  <si>
    <t>과학</t>
    <phoneticPr fontId="19" type="noConversion"/>
  </si>
  <si>
    <t>국사</t>
    <phoneticPr fontId="19" type="noConversion"/>
  </si>
  <si>
    <t>수학</t>
    <phoneticPr fontId="19" type="noConversion"/>
  </si>
  <si>
    <t>영어</t>
    <phoneticPr fontId="19" type="noConversion"/>
  </si>
  <si>
    <t>국어</t>
    <phoneticPr fontId="19" type="noConversion"/>
  </si>
  <si>
    <t>N</t>
    <phoneticPr fontId="9" type="noConversion"/>
  </si>
  <si>
    <t>Y</t>
    <phoneticPr fontId="9" type="noConversion"/>
  </si>
  <si>
    <t>여부</t>
    <phoneticPr fontId="9" type="noConversion"/>
  </si>
  <si>
    <t>정부기관단체</t>
    <phoneticPr fontId="19" type="noConversion"/>
  </si>
  <si>
    <t>4</t>
    <phoneticPr fontId="5" type="noConversion"/>
  </si>
  <si>
    <t>공공기관단체</t>
    <phoneticPr fontId="19" type="noConversion"/>
  </si>
  <si>
    <t>비영리단체</t>
    <phoneticPr fontId="19" type="noConversion"/>
  </si>
  <si>
    <t>2</t>
    <phoneticPr fontId="5" type="noConversion"/>
  </si>
  <si>
    <t>영리단체</t>
    <phoneticPr fontId="19" type="noConversion"/>
  </si>
  <si>
    <t>1</t>
    <phoneticPr fontId="5" type="noConversion"/>
  </si>
  <si>
    <t>단체분류</t>
    <phoneticPr fontId="9" type="noConversion"/>
  </si>
  <si>
    <t>통일교</t>
    <phoneticPr fontId="5" type="noConversion"/>
  </si>
  <si>
    <t>도교</t>
    <phoneticPr fontId="5" type="noConversion"/>
  </si>
  <si>
    <t>힌두교</t>
    <phoneticPr fontId="5" type="noConversion"/>
  </si>
  <si>
    <t>이슬람교</t>
    <phoneticPr fontId="5" type="noConversion"/>
  </si>
  <si>
    <t>증산교</t>
    <phoneticPr fontId="5" type="noConversion"/>
  </si>
  <si>
    <t>천도교</t>
    <phoneticPr fontId="5" type="noConversion"/>
  </si>
  <si>
    <t>유교</t>
    <phoneticPr fontId="5" type="noConversion"/>
  </si>
  <si>
    <t>원불교</t>
    <phoneticPr fontId="5" type="noConversion"/>
  </si>
  <si>
    <t>천주교</t>
    <phoneticPr fontId="5" type="noConversion"/>
  </si>
  <si>
    <t>기독교</t>
    <phoneticPr fontId="5" type="noConversion"/>
  </si>
  <si>
    <t>불교</t>
    <phoneticPr fontId="5" type="noConversion"/>
  </si>
  <si>
    <t>종교명</t>
    <phoneticPr fontId="9" type="noConversion"/>
  </si>
  <si>
    <t>고급</t>
    <phoneticPr fontId="5" type="noConversion"/>
  </si>
  <si>
    <t>중급</t>
    <phoneticPr fontId="5" type="noConversion"/>
  </si>
  <si>
    <t>초급</t>
    <phoneticPr fontId="5" type="noConversion"/>
  </si>
  <si>
    <t>수준분류</t>
    <phoneticPr fontId="9" type="noConversion"/>
  </si>
  <si>
    <t>20+(성인)</t>
    <phoneticPr fontId="9" type="noConversion"/>
  </si>
  <si>
    <t>20세 이상</t>
    <phoneticPr fontId="9" type="noConversion"/>
  </si>
  <si>
    <t>10대</t>
    <phoneticPr fontId="9" type="noConversion"/>
  </si>
  <si>
    <t>8-11세</t>
    <phoneticPr fontId="5" type="noConversion"/>
  </si>
  <si>
    <t>4-7세</t>
    <phoneticPr fontId="5" type="noConversion"/>
  </si>
  <si>
    <t>0-3세</t>
    <phoneticPr fontId="5" type="noConversion"/>
  </si>
  <si>
    <t>추천연령</t>
    <phoneticPr fontId="9" type="noConversion"/>
  </si>
  <si>
    <t>겨울방학특강</t>
    <phoneticPr fontId="9" type="noConversion"/>
  </si>
  <si>
    <t>여름방학특강</t>
    <phoneticPr fontId="9" type="noConversion"/>
  </si>
  <si>
    <t>2학기</t>
    <phoneticPr fontId="5" type="noConversion"/>
  </si>
  <si>
    <t>1학기</t>
    <phoneticPr fontId="5" type="noConversion"/>
  </si>
  <si>
    <t>학기</t>
    <phoneticPr fontId="9" type="noConversion"/>
  </si>
  <si>
    <t>6학년</t>
    <phoneticPr fontId="5" type="noConversion"/>
  </si>
  <si>
    <t>5학년</t>
    <phoneticPr fontId="5" type="noConversion"/>
  </si>
  <si>
    <t>4학년</t>
    <phoneticPr fontId="5" type="noConversion"/>
  </si>
  <si>
    <t>3학년</t>
    <phoneticPr fontId="5" type="noConversion"/>
  </si>
  <si>
    <t>2학년</t>
    <phoneticPr fontId="5" type="noConversion"/>
  </si>
  <si>
    <t>1학년</t>
    <phoneticPr fontId="5" type="noConversion"/>
  </si>
  <si>
    <t>학년</t>
    <phoneticPr fontId="9" type="noConversion"/>
  </si>
  <si>
    <t>성인</t>
    <phoneticPr fontId="5" type="noConversion"/>
  </si>
  <si>
    <t>고등</t>
    <phoneticPr fontId="5" type="noConversion"/>
  </si>
  <si>
    <t>중등</t>
    <phoneticPr fontId="5" type="noConversion"/>
  </si>
  <si>
    <t>초등</t>
    <phoneticPr fontId="5" type="noConversion"/>
  </si>
  <si>
    <t>어린이</t>
    <phoneticPr fontId="5" type="noConversion"/>
  </si>
  <si>
    <t>유아</t>
    <phoneticPr fontId="5" type="noConversion"/>
  </si>
  <si>
    <t>학생분류</t>
    <phoneticPr fontId="9" type="noConversion"/>
  </si>
  <si>
    <t>매거진</t>
  </si>
  <si>
    <t>리얼리티</t>
  </si>
  <si>
    <t>강좌</t>
  </si>
  <si>
    <t>하이라이트</t>
  </si>
  <si>
    <t>중계</t>
  </si>
  <si>
    <t>스포츠방송유형</t>
    <phoneticPr fontId="9" type="noConversion"/>
  </si>
  <si>
    <t>서핑</t>
  </si>
  <si>
    <t>비치발리볼</t>
  </si>
  <si>
    <t>웨이크보드</t>
  </si>
  <si>
    <t>스노보드</t>
  </si>
  <si>
    <t>스키</t>
  </si>
  <si>
    <t>검도</t>
  </si>
  <si>
    <t>종합격투기</t>
  </si>
  <si>
    <t>이종격투기</t>
  </si>
  <si>
    <t>역도</t>
  </si>
  <si>
    <t>태권도</t>
  </si>
  <si>
    <t>소프트볼</t>
  </si>
  <si>
    <t>사격</t>
  </si>
  <si>
    <t>요트</t>
  </si>
  <si>
    <t>조정</t>
  </si>
  <si>
    <t>하키</t>
  </si>
  <si>
    <t>핸드볼</t>
  </si>
  <si>
    <t>레슬링</t>
  </si>
  <si>
    <t>육상</t>
  </si>
  <si>
    <t>유도</t>
  </si>
  <si>
    <t>체조</t>
  </si>
  <si>
    <t>펜싱</t>
  </si>
  <si>
    <t>승마</t>
  </si>
  <si>
    <t>사이클</t>
  </si>
  <si>
    <t>카누</t>
  </si>
  <si>
    <t>배트민턴</t>
  </si>
  <si>
    <t>양궁</t>
  </si>
  <si>
    <t>탁구</t>
  </si>
  <si>
    <t>당구</t>
  </si>
  <si>
    <t>스케이트</t>
  </si>
  <si>
    <t>씨름</t>
  </si>
  <si>
    <t>권투</t>
  </si>
  <si>
    <t>수영</t>
  </si>
  <si>
    <t>볼링</t>
  </si>
  <si>
    <t>테니스</t>
  </si>
  <si>
    <t>골프</t>
  </si>
  <si>
    <t>배구</t>
  </si>
  <si>
    <t>농구</t>
  </si>
  <si>
    <t>야구</t>
  </si>
  <si>
    <t>축구</t>
  </si>
  <si>
    <t>스포츠 경기명</t>
    <phoneticPr fontId="9" type="noConversion"/>
  </si>
  <si>
    <t>토,일</t>
    <phoneticPr fontId="5" type="noConversion"/>
  </si>
  <si>
    <t>수,목</t>
    <phoneticPr fontId="5" type="noConversion"/>
  </si>
  <si>
    <t>월,화</t>
    <phoneticPr fontId="5" type="noConversion"/>
  </si>
  <si>
    <t>토</t>
    <phoneticPr fontId="5" type="noConversion"/>
  </si>
  <si>
    <t>금</t>
    <phoneticPr fontId="5" type="noConversion"/>
  </si>
  <si>
    <t>목</t>
    <phoneticPr fontId="5" type="noConversion"/>
  </si>
  <si>
    <t>수</t>
    <phoneticPr fontId="5" type="noConversion"/>
  </si>
  <si>
    <t>화</t>
    <phoneticPr fontId="5" type="noConversion"/>
  </si>
  <si>
    <t>월</t>
    <phoneticPr fontId="5" type="noConversion"/>
  </si>
  <si>
    <t>일</t>
    <phoneticPr fontId="5" type="noConversion"/>
  </si>
  <si>
    <t>방송요일</t>
    <phoneticPr fontId="9" type="noConversion"/>
  </si>
  <si>
    <t>기타</t>
    <phoneticPr fontId="9" type="noConversion"/>
  </si>
  <si>
    <t>LIVE PPV</t>
    <phoneticPr fontId="9" type="noConversion"/>
  </si>
  <si>
    <t>중화TV</t>
    <phoneticPr fontId="9" type="noConversion"/>
  </si>
  <si>
    <t>온게임넷</t>
    <phoneticPr fontId="9" type="noConversion"/>
  </si>
  <si>
    <t>바둑TV</t>
    <phoneticPr fontId="9" type="noConversion"/>
  </si>
  <si>
    <t>XTM</t>
    <phoneticPr fontId="9" type="noConversion"/>
  </si>
  <si>
    <t>Olive</t>
    <phoneticPr fontId="9" type="noConversion"/>
  </si>
  <si>
    <t>Story On</t>
    <phoneticPr fontId="9" type="noConversion"/>
  </si>
  <si>
    <t>On Style</t>
    <phoneticPr fontId="9" type="noConversion"/>
  </si>
  <si>
    <t>채널CGV</t>
    <phoneticPr fontId="9" type="noConversion"/>
  </si>
  <si>
    <t>OCN</t>
    <phoneticPr fontId="9" type="noConversion"/>
  </si>
  <si>
    <t>Mnet</t>
    <phoneticPr fontId="9" type="noConversion"/>
  </si>
  <si>
    <t>tvN</t>
    <phoneticPr fontId="9" type="noConversion"/>
  </si>
  <si>
    <t>채널A</t>
    <phoneticPr fontId="5" type="noConversion"/>
  </si>
  <si>
    <t>TV조선</t>
    <phoneticPr fontId="5" type="noConversion"/>
  </si>
  <si>
    <t>MBN</t>
    <phoneticPr fontId="5" type="noConversion"/>
  </si>
  <si>
    <t>JTBC</t>
    <phoneticPr fontId="5" type="noConversion"/>
  </si>
  <si>
    <t>CBS</t>
    <phoneticPr fontId="5" type="noConversion"/>
  </si>
  <si>
    <t>EBS</t>
    <phoneticPr fontId="5" type="noConversion"/>
  </si>
  <si>
    <t>SBS</t>
    <phoneticPr fontId="5" type="noConversion"/>
  </si>
  <si>
    <t>MBC</t>
    <phoneticPr fontId="5" type="noConversion"/>
  </si>
  <si>
    <t>KBS2</t>
    <phoneticPr fontId="5" type="noConversion"/>
  </si>
  <si>
    <t>KBS1</t>
    <phoneticPr fontId="5" type="noConversion"/>
  </si>
  <si>
    <t>방송채널</t>
    <phoneticPr fontId="9" type="noConversion"/>
  </si>
  <si>
    <t xml:space="preserve"> </t>
    <phoneticPr fontId="9" type="noConversion"/>
  </si>
  <si>
    <t>NA</t>
    <phoneticPr fontId="9" type="noConversion"/>
  </si>
  <si>
    <t>더빙</t>
    <phoneticPr fontId="9" type="noConversion"/>
  </si>
  <si>
    <t>자막</t>
    <phoneticPr fontId="9" type="noConversion"/>
  </si>
  <si>
    <t>자막더빙 여부</t>
    <phoneticPr fontId="9" type="noConversion"/>
  </si>
  <si>
    <t>미완결</t>
    <phoneticPr fontId="9" type="noConversion"/>
  </si>
  <si>
    <t>N</t>
    <phoneticPr fontId="9" type="noConversion"/>
  </si>
  <si>
    <t>완결</t>
    <phoneticPr fontId="9" type="noConversion"/>
  </si>
  <si>
    <t>Y</t>
    <phoneticPr fontId="9" type="noConversion"/>
  </si>
  <si>
    <t>완결 여부</t>
    <phoneticPr fontId="9" type="noConversion"/>
  </si>
  <si>
    <t>WIDESCREEN</t>
    <phoneticPr fontId="9" type="noConversion"/>
  </si>
  <si>
    <t>STANDARD</t>
    <phoneticPr fontId="9" type="noConversion"/>
  </si>
  <si>
    <t>화면비</t>
    <phoneticPr fontId="9" type="noConversion"/>
  </si>
  <si>
    <t>Ultra HD</t>
    <phoneticPr fontId="9" type="noConversion"/>
  </si>
  <si>
    <t>Full HD</t>
    <phoneticPr fontId="9" type="noConversion"/>
  </si>
  <si>
    <t>HD</t>
    <phoneticPr fontId="9" type="noConversion"/>
  </si>
  <si>
    <t>SD</t>
    <phoneticPr fontId="9" type="noConversion"/>
  </si>
  <si>
    <t>화질</t>
    <phoneticPr fontId="9" type="noConversion"/>
  </si>
  <si>
    <t>방송불가</t>
    <phoneticPr fontId="5" type="noConversion"/>
  </si>
  <si>
    <t>성인전용</t>
    <phoneticPr fontId="5" type="noConversion"/>
  </si>
  <si>
    <t>19세이상</t>
    <phoneticPr fontId="5" type="noConversion"/>
  </si>
  <si>
    <t>15세이상</t>
  </si>
  <si>
    <t>12세이상</t>
  </si>
  <si>
    <t>7세이상</t>
  </si>
  <si>
    <t>관람 등급</t>
    <phoneticPr fontId="9" type="noConversion"/>
  </si>
  <si>
    <t>장르시트 참조</t>
    <phoneticPr fontId="9" type="noConversion"/>
  </si>
  <si>
    <t xml:space="preserve"> </t>
    <phoneticPr fontId="9" type="noConversion"/>
  </si>
  <si>
    <t>장르</t>
    <phoneticPr fontId="9" type="noConversion"/>
  </si>
  <si>
    <t>언어시트 참조</t>
    <phoneticPr fontId="9" type="noConversion"/>
  </si>
  <si>
    <t>언어</t>
    <phoneticPr fontId="9" type="noConversion"/>
  </si>
  <si>
    <t>국가시트 참조</t>
    <phoneticPr fontId="9" type="noConversion"/>
  </si>
  <si>
    <t>국가</t>
    <phoneticPr fontId="9" type="noConversion"/>
  </si>
  <si>
    <t>코드값</t>
    <phoneticPr fontId="9" type="noConversion"/>
  </si>
  <si>
    <t xml:space="preserve">코드명 </t>
    <phoneticPr fontId="9" type="noConversion"/>
  </si>
  <si>
    <t>항목</t>
    <phoneticPr fontId="9" type="noConversion"/>
  </si>
  <si>
    <t>짐바브웨</t>
  </si>
  <si>
    <t>ZWE</t>
  </si>
  <si>
    <t>잠비아</t>
  </si>
  <si>
    <t>ZMB</t>
  </si>
  <si>
    <t>남아프리카 공화국</t>
  </si>
  <si>
    <t>ZAF</t>
  </si>
  <si>
    <t>예멘</t>
  </si>
  <si>
    <t>YEM</t>
  </si>
  <si>
    <t>사모아</t>
  </si>
  <si>
    <t>WSM</t>
  </si>
  <si>
    <t>왈리스 퓌튀나</t>
  </si>
  <si>
    <t>WLF</t>
  </si>
  <si>
    <t>바누아투</t>
  </si>
  <si>
    <t>VUT</t>
  </si>
  <si>
    <t>베트남</t>
  </si>
  <si>
    <t>VNM</t>
  </si>
  <si>
    <t>미국령 버진아일랜드</t>
  </si>
  <si>
    <t>VIR</t>
  </si>
  <si>
    <t>영국령 버진아일랜드</t>
  </si>
  <si>
    <t>VGB</t>
  </si>
  <si>
    <t>베네수엘라</t>
  </si>
  <si>
    <t>VEN</t>
  </si>
  <si>
    <t>세인트빈센트 그레나딘</t>
  </si>
  <si>
    <t>VCT</t>
  </si>
  <si>
    <t>바티칸 시국</t>
  </si>
  <si>
    <t>VAT</t>
  </si>
  <si>
    <t>우즈베키스탄</t>
  </si>
  <si>
    <t>UZB</t>
  </si>
  <si>
    <t>우루과이</t>
  </si>
  <si>
    <t>URY</t>
  </si>
  <si>
    <t>미국령 군소 제도</t>
  </si>
  <si>
    <t>UMI</t>
  </si>
  <si>
    <t>우크라이나</t>
  </si>
  <si>
    <t>UKR</t>
  </si>
  <si>
    <t>우간다</t>
  </si>
  <si>
    <t>UGA</t>
  </si>
  <si>
    <t>탄자니아</t>
  </si>
  <si>
    <t>TZA</t>
  </si>
  <si>
    <t>투발루</t>
  </si>
  <si>
    <t>TUV</t>
  </si>
  <si>
    <t>터키</t>
  </si>
  <si>
    <t>TUR</t>
  </si>
  <si>
    <t>튀니지</t>
  </si>
  <si>
    <t>TUN</t>
  </si>
  <si>
    <t>트리니다드 토바고</t>
  </si>
  <si>
    <t>TTO</t>
  </si>
  <si>
    <t>통가</t>
  </si>
  <si>
    <t>TON</t>
  </si>
  <si>
    <t>동티모르</t>
  </si>
  <si>
    <t>TLS</t>
  </si>
  <si>
    <t>투르크메니스탄</t>
  </si>
  <si>
    <t>TKM</t>
  </si>
  <si>
    <t>토켈라우</t>
  </si>
  <si>
    <t>TKL</t>
  </si>
  <si>
    <t>타지키스탄</t>
  </si>
  <si>
    <t>TJK</t>
  </si>
  <si>
    <t>토고</t>
  </si>
  <si>
    <t>TGO</t>
  </si>
  <si>
    <t>차드</t>
  </si>
  <si>
    <t>TCD</t>
  </si>
  <si>
    <t>터크스 케이커스 제도</t>
  </si>
  <si>
    <t>TCA</t>
  </si>
  <si>
    <t>시리아</t>
  </si>
  <si>
    <t>SYR</t>
  </si>
  <si>
    <t>세이셸</t>
  </si>
  <si>
    <t>SYC</t>
  </si>
  <si>
    <t>스와질란드</t>
  </si>
  <si>
    <t>SWZ</t>
  </si>
  <si>
    <t>스웨덴</t>
  </si>
  <si>
    <t>SWE</t>
  </si>
  <si>
    <t>슬로베니아</t>
  </si>
  <si>
    <t>SVN</t>
  </si>
  <si>
    <t>슬로바키아</t>
  </si>
  <si>
    <t>SVK</t>
  </si>
  <si>
    <t>수리남</t>
  </si>
  <si>
    <t>SUR</t>
  </si>
  <si>
    <t>상투메 프린시페</t>
  </si>
  <si>
    <t>STP</t>
  </si>
  <si>
    <t>세르비아</t>
  </si>
  <si>
    <t>SRB</t>
  </si>
  <si>
    <t>생피에르 미클롱</t>
  </si>
  <si>
    <t>SPM</t>
  </si>
  <si>
    <t>소말리아</t>
  </si>
  <si>
    <t>SOM</t>
  </si>
  <si>
    <t>산마리노</t>
  </si>
  <si>
    <t>SMR</t>
  </si>
  <si>
    <t>엘살바도르</t>
  </si>
  <si>
    <t>SLV</t>
  </si>
  <si>
    <t>시에라리온</t>
  </si>
  <si>
    <t>SLE</t>
  </si>
  <si>
    <t>솔로몬 제도</t>
  </si>
  <si>
    <t>SLB</t>
  </si>
  <si>
    <t>스발바르 얀마옌</t>
  </si>
  <si>
    <t>SJM</t>
  </si>
  <si>
    <t>세인트헬레나</t>
  </si>
  <si>
    <t>SHN</t>
  </si>
  <si>
    <t>사우스조지아 사우스샌드위치 제도</t>
  </si>
  <si>
    <t>SGS</t>
  </si>
  <si>
    <t>싱가포르</t>
  </si>
  <si>
    <t>SGP</t>
  </si>
  <si>
    <t>세네갈</t>
  </si>
  <si>
    <t>SEN</t>
  </si>
  <si>
    <t>수단</t>
  </si>
  <si>
    <t>SDN</t>
  </si>
  <si>
    <t>사우디아라비아</t>
  </si>
  <si>
    <t>SAU</t>
  </si>
  <si>
    <t>르완다</t>
  </si>
  <si>
    <t>RWA</t>
  </si>
  <si>
    <t>러시아</t>
  </si>
  <si>
    <t>RUS</t>
  </si>
  <si>
    <t>루마니아</t>
  </si>
  <si>
    <t>ROU</t>
  </si>
  <si>
    <t>레위니옹</t>
  </si>
  <si>
    <t>REU</t>
  </si>
  <si>
    <t>카타르</t>
  </si>
  <si>
    <t>QAT</t>
  </si>
  <si>
    <t>프랑스령 폴리네시아</t>
  </si>
  <si>
    <t>PYF</t>
  </si>
  <si>
    <t>팔레스타인</t>
  </si>
  <si>
    <t>PSE</t>
  </si>
  <si>
    <t>파라과이</t>
  </si>
  <si>
    <t>PRY</t>
  </si>
  <si>
    <t>포르투갈</t>
  </si>
  <si>
    <t>PRT</t>
  </si>
  <si>
    <t>조선민주주의인민공화국</t>
  </si>
  <si>
    <t>PRK</t>
  </si>
  <si>
    <t>푸에르토리코</t>
  </si>
  <si>
    <t>PRI</t>
  </si>
  <si>
    <t>폴란드</t>
  </si>
  <si>
    <t>POL</t>
  </si>
  <si>
    <t>파푸아 뉴기니</t>
  </si>
  <si>
    <t>PNG</t>
  </si>
  <si>
    <t>팔라우</t>
  </si>
  <si>
    <t>PLW</t>
  </si>
  <si>
    <t>필리핀</t>
  </si>
  <si>
    <t>PHL</t>
  </si>
  <si>
    <t>페루</t>
  </si>
  <si>
    <t>PER</t>
  </si>
  <si>
    <t>핏케언 제도</t>
  </si>
  <si>
    <t>PCN</t>
  </si>
  <si>
    <t>파나마</t>
  </si>
  <si>
    <t>PAN</t>
  </si>
  <si>
    <t>파키스탄</t>
  </si>
  <si>
    <t>PAK</t>
  </si>
  <si>
    <t>오만</t>
  </si>
  <si>
    <t>OMN</t>
  </si>
  <si>
    <t>뉴질랜드</t>
  </si>
  <si>
    <t>NZL</t>
  </si>
  <si>
    <t>나우루</t>
  </si>
  <si>
    <t>NRU</t>
  </si>
  <si>
    <t>네팔</t>
  </si>
  <si>
    <t>NPL</t>
  </si>
  <si>
    <t>노르웨이</t>
  </si>
  <si>
    <t>NOR</t>
  </si>
  <si>
    <t>네덜란드</t>
  </si>
  <si>
    <t>NLD</t>
  </si>
  <si>
    <t>니우에</t>
  </si>
  <si>
    <t>NIU</t>
  </si>
  <si>
    <t>니카라과</t>
  </si>
  <si>
    <t>NIC</t>
  </si>
  <si>
    <t>나이지리아</t>
  </si>
  <si>
    <t>NGA</t>
  </si>
  <si>
    <t>노퍽 섬</t>
  </si>
  <si>
    <t>NFK</t>
  </si>
  <si>
    <t>니제르</t>
  </si>
  <si>
    <t>NER</t>
  </si>
  <si>
    <t>누벨칼레도니</t>
  </si>
  <si>
    <t>NCL</t>
  </si>
  <si>
    <t>나미비아</t>
  </si>
  <si>
    <t>NAM</t>
  </si>
  <si>
    <t>마요트</t>
  </si>
  <si>
    <t>MYT</t>
  </si>
  <si>
    <t>말레이시아</t>
  </si>
  <si>
    <t>MYS</t>
  </si>
  <si>
    <t>말라위</t>
  </si>
  <si>
    <t>MWI</t>
  </si>
  <si>
    <t>모리셔스</t>
  </si>
  <si>
    <t>MUS</t>
  </si>
  <si>
    <t>마르티니크</t>
  </si>
  <si>
    <t>MTQ</t>
  </si>
  <si>
    <t>몬트세랫</t>
  </si>
  <si>
    <t>MSR</t>
  </si>
  <si>
    <t>모리타니</t>
  </si>
  <si>
    <t>MRT</t>
  </si>
  <si>
    <t>모잠비크</t>
  </si>
  <si>
    <t>MOZ</t>
  </si>
  <si>
    <t>북마리아나 제도</t>
  </si>
  <si>
    <t>MNP</t>
  </si>
  <si>
    <t>몽골</t>
  </si>
  <si>
    <t>MNG</t>
  </si>
  <si>
    <t>몬테네그로</t>
  </si>
  <si>
    <t>MNE</t>
  </si>
  <si>
    <t>미얀마</t>
  </si>
  <si>
    <t>MMR</t>
  </si>
  <si>
    <t>몰타</t>
  </si>
  <si>
    <t>MLT</t>
  </si>
  <si>
    <t>말리</t>
  </si>
  <si>
    <t>MLI</t>
  </si>
  <si>
    <t>마케도니아 공화국</t>
  </si>
  <si>
    <t>MKD</t>
  </si>
  <si>
    <t>마셜 제도</t>
  </si>
  <si>
    <t>MHL</t>
  </si>
  <si>
    <t>멕시코</t>
  </si>
  <si>
    <t>MEX</t>
  </si>
  <si>
    <t>몰디브</t>
  </si>
  <si>
    <t>MDV</t>
  </si>
  <si>
    <t>마다가스카르</t>
  </si>
  <si>
    <t>MDG</t>
  </si>
  <si>
    <t>몰도바</t>
  </si>
  <si>
    <t>MDA</t>
  </si>
  <si>
    <t>모나코</t>
  </si>
  <si>
    <t>MCO</t>
  </si>
  <si>
    <t>모로코</t>
  </si>
  <si>
    <t>MAR</t>
  </si>
  <si>
    <t>생마르탱</t>
  </si>
  <si>
    <t>MAF</t>
  </si>
  <si>
    <t>마카오</t>
  </si>
  <si>
    <t>MAC</t>
  </si>
  <si>
    <t>라트비아</t>
  </si>
  <si>
    <t>LVA</t>
  </si>
  <si>
    <t>룩셈부르크</t>
  </si>
  <si>
    <t>LUX</t>
  </si>
  <si>
    <t>리투아니아</t>
  </si>
  <si>
    <t>LTU</t>
  </si>
  <si>
    <t>레소토</t>
  </si>
  <si>
    <t>LSO</t>
  </si>
  <si>
    <t>스리랑카</t>
  </si>
  <si>
    <t>LKA</t>
  </si>
  <si>
    <t>리히텐슈타인</t>
  </si>
  <si>
    <t>LIE</t>
  </si>
  <si>
    <t>세인트루시아</t>
  </si>
  <si>
    <t>LCA</t>
  </si>
  <si>
    <t>리비아</t>
  </si>
  <si>
    <t>LBY</t>
  </si>
  <si>
    <t>라이베리아</t>
  </si>
  <si>
    <t>LBR</t>
  </si>
  <si>
    <t>레바논</t>
  </si>
  <si>
    <t>LBN</t>
  </si>
  <si>
    <t>라오스</t>
  </si>
  <si>
    <t>LAO</t>
  </si>
  <si>
    <t>쿠웨이트</t>
  </si>
  <si>
    <t>KWT</t>
  </si>
  <si>
    <t>세인트키츠 네비스</t>
  </si>
  <si>
    <t>KNA</t>
  </si>
  <si>
    <t>키리바시</t>
  </si>
  <si>
    <t>KIR</t>
  </si>
  <si>
    <t>캄보디아</t>
  </si>
  <si>
    <t>KHM</t>
  </si>
  <si>
    <t>키르기스스탄</t>
  </si>
  <si>
    <t>KGZ</t>
  </si>
  <si>
    <t>케냐</t>
  </si>
  <si>
    <t>KEN</t>
  </si>
  <si>
    <t>카자흐스탄</t>
  </si>
  <si>
    <t>KAZ</t>
  </si>
  <si>
    <t>요르단</t>
  </si>
  <si>
    <t>JOR</t>
  </si>
  <si>
    <t>저지 섬</t>
  </si>
  <si>
    <t>JEY</t>
  </si>
  <si>
    <t>자메이카</t>
  </si>
  <si>
    <t>JAM</t>
  </si>
  <si>
    <t>이스라엘</t>
  </si>
  <si>
    <t>ISR</t>
  </si>
  <si>
    <t>아이슬란드</t>
  </si>
  <si>
    <t>ISL</t>
  </si>
  <si>
    <t>이라크</t>
  </si>
  <si>
    <t>IRQ</t>
  </si>
  <si>
    <t>이란</t>
  </si>
  <si>
    <t>IRN</t>
  </si>
  <si>
    <t>아일랜드</t>
  </si>
  <si>
    <t>IRL</t>
  </si>
  <si>
    <t>영국령 인도양 지역</t>
  </si>
  <si>
    <t>IOT</t>
  </si>
  <si>
    <t>맨 섬</t>
  </si>
  <si>
    <t>IMN</t>
  </si>
  <si>
    <t>인도네시아</t>
  </si>
  <si>
    <t>IDN</t>
  </si>
  <si>
    <t>헝가리</t>
  </si>
  <si>
    <t>HUN</t>
  </si>
  <si>
    <t>아이티</t>
  </si>
  <si>
    <t>HTI</t>
  </si>
  <si>
    <t>크로아티아</t>
  </si>
  <si>
    <t>HRV</t>
  </si>
  <si>
    <t>온두라스</t>
  </si>
  <si>
    <t>HND</t>
  </si>
  <si>
    <t>허드 맥도널드 제도</t>
  </si>
  <si>
    <t>HMD</t>
  </si>
  <si>
    <t>가이아나</t>
  </si>
  <si>
    <t>GUY</t>
  </si>
  <si>
    <t>괌</t>
  </si>
  <si>
    <t>GUM</t>
  </si>
  <si>
    <t>프랑스령 기아나</t>
  </si>
  <si>
    <t>GUF</t>
  </si>
  <si>
    <t>과테말라</t>
  </si>
  <si>
    <t>GTM</t>
  </si>
  <si>
    <t>그린란드</t>
  </si>
  <si>
    <t>GRL</t>
  </si>
  <si>
    <t>그레나다</t>
  </si>
  <si>
    <t>GRD</t>
  </si>
  <si>
    <t>그리스</t>
  </si>
  <si>
    <t>GRC</t>
  </si>
  <si>
    <t>적도 기니</t>
  </si>
  <si>
    <t>GNQ</t>
  </si>
  <si>
    <t>기니비사우</t>
  </si>
  <si>
    <t>GNB</t>
  </si>
  <si>
    <t>감비아</t>
  </si>
  <si>
    <t>GMB</t>
  </si>
  <si>
    <t>과들루프</t>
  </si>
  <si>
    <t>GLP</t>
  </si>
  <si>
    <t>기니</t>
  </si>
  <si>
    <t>GIN</t>
  </si>
  <si>
    <t>지브롤터</t>
  </si>
  <si>
    <t>GIB</t>
  </si>
  <si>
    <t>가나</t>
  </si>
  <si>
    <t>GHA</t>
  </si>
  <si>
    <t>건지 섬</t>
  </si>
  <si>
    <t>GGY</t>
  </si>
  <si>
    <t>조지아</t>
  </si>
  <si>
    <t>GEO</t>
  </si>
  <si>
    <t>가봉</t>
  </si>
  <si>
    <t>GAB</t>
  </si>
  <si>
    <t>미크로네시아 연방</t>
  </si>
  <si>
    <t>FSM</t>
  </si>
  <si>
    <t>페로 제도</t>
  </si>
  <si>
    <t>FRO</t>
  </si>
  <si>
    <t>포클랜드 제도</t>
  </si>
  <si>
    <t>FLK</t>
  </si>
  <si>
    <t>피지</t>
  </si>
  <si>
    <t>FJI</t>
  </si>
  <si>
    <t>핀란드</t>
  </si>
  <si>
    <t>FIN</t>
  </si>
  <si>
    <t>에티오피아</t>
  </si>
  <si>
    <t>ETH</t>
  </si>
  <si>
    <t>에스토니아</t>
  </si>
  <si>
    <t>EST</t>
  </si>
  <si>
    <t>스페인</t>
  </si>
  <si>
    <t>ESP</t>
  </si>
  <si>
    <t>서사하라</t>
  </si>
  <si>
    <t>ESH</t>
  </si>
  <si>
    <t>에리트레아</t>
  </si>
  <si>
    <t>ERI</t>
  </si>
  <si>
    <t>이집트</t>
  </si>
  <si>
    <t>EGY</t>
  </si>
  <si>
    <t>에콰도르</t>
  </si>
  <si>
    <t>ECU</t>
  </si>
  <si>
    <t>알제리</t>
  </si>
  <si>
    <t>DZA</t>
  </si>
  <si>
    <t>도미니카 공화국</t>
  </si>
  <si>
    <t>DOM</t>
  </si>
  <si>
    <t>덴마크</t>
  </si>
  <si>
    <t>DNK</t>
  </si>
  <si>
    <t>도미니카</t>
  </si>
  <si>
    <t>DMA</t>
  </si>
  <si>
    <t>지부티</t>
  </si>
  <si>
    <t>DJI</t>
  </si>
  <si>
    <t>체코</t>
  </si>
  <si>
    <t>CZE</t>
  </si>
  <si>
    <t>키프로스</t>
  </si>
  <si>
    <t>CYP</t>
  </si>
  <si>
    <t>케이맨 제도</t>
  </si>
  <si>
    <t>CYM</t>
  </si>
  <si>
    <t>크리스마스 섬</t>
  </si>
  <si>
    <t>CXR</t>
  </si>
  <si>
    <t>쿠바</t>
  </si>
  <si>
    <t>CUB</t>
  </si>
  <si>
    <t>코스타리카</t>
  </si>
  <si>
    <t>CRI</t>
  </si>
  <si>
    <t>카보베르데</t>
  </si>
  <si>
    <t>CPV</t>
  </si>
  <si>
    <t>코모로</t>
  </si>
  <si>
    <t>COM</t>
  </si>
  <si>
    <t>콜롬비아</t>
  </si>
  <si>
    <t>COL</t>
  </si>
  <si>
    <t>쿡 제도</t>
  </si>
  <si>
    <t>COK</t>
  </si>
  <si>
    <t>콩고 공화국</t>
  </si>
  <si>
    <t>COG</t>
  </si>
  <si>
    <t>콩고 민주 공화국</t>
  </si>
  <si>
    <t>COD</t>
  </si>
  <si>
    <t>카메룬</t>
  </si>
  <si>
    <t>CMR</t>
  </si>
  <si>
    <t>코트디부아르</t>
  </si>
  <si>
    <t>CIV</t>
  </si>
  <si>
    <t>칠레</t>
  </si>
  <si>
    <t>CHL</t>
  </si>
  <si>
    <t>스위스</t>
  </si>
  <si>
    <t>CHE</t>
  </si>
  <si>
    <t>코코스 제도</t>
  </si>
  <si>
    <t>CCK</t>
  </si>
  <si>
    <t>캐나다</t>
  </si>
  <si>
    <t>CAN</t>
  </si>
  <si>
    <t>중앙아프리카 공화국</t>
  </si>
  <si>
    <t>CAF</t>
  </si>
  <si>
    <t>보츠와나</t>
  </si>
  <si>
    <t>BWA</t>
  </si>
  <si>
    <t>부베 섬</t>
  </si>
  <si>
    <t>BVT</t>
  </si>
  <si>
    <t>부탄</t>
  </si>
  <si>
    <t>BTN</t>
  </si>
  <si>
    <t>브루나이</t>
  </si>
  <si>
    <t>BRN</t>
  </si>
  <si>
    <t>바베이도스</t>
  </si>
  <si>
    <t>BRB</t>
  </si>
  <si>
    <t>브라질</t>
  </si>
  <si>
    <t>BRA</t>
  </si>
  <si>
    <t>볼리비아</t>
  </si>
  <si>
    <t>BOL</t>
  </si>
  <si>
    <t>버뮤다</t>
  </si>
  <si>
    <t>BMU</t>
  </si>
  <si>
    <t>벨리즈</t>
  </si>
  <si>
    <t>BLZ</t>
  </si>
  <si>
    <t>벨라루스</t>
  </si>
  <si>
    <t>BLR</t>
  </si>
  <si>
    <t>생바르텔레미</t>
  </si>
  <si>
    <t>BLM</t>
  </si>
  <si>
    <t>보스니아 헤르체고비나</t>
  </si>
  <si>
    <t>BIH</t>
  </si>
  <si>
    <t>바하마</t>
  </si>
  <si>
    <t>BHS</t>
  </si>
  <si>
    <t>바레인</t>
  </si>
  <si>
    <t>BHR</t>
  </si>
  <si>
    <t>불가리아</t>
  </si>
  <si>
    <t>BGR</t>
  </si>
  <si>
    <t>방글라데시</t>
  </si>
  <si>
    <t>BGD</t>
  </si>
  <si>
    <t>부르키나파소</t>
  </si>
  <si>
    <t>BFA</t>
  </si>
  <si>
    <t>베냉</t>
  </si>
  <si>
    <t>BEN</t>
  </si>
  <si>
    <t>벨기에</t>
  </si>
  <si>
    <t>BEL</t>
  </si>
  <si>
    <t>부룬디</t>
  </si>
  <si>
    <t>BDI</t>
  </si>
  <si>
    <t>아제르바이잔</t>
  </si>
  <si>
    <t>AZE</t>
  </si>
  <si>
    <t>오스트리아</t>
  </si>
  <si>
    <t>AUT</t>
  </si>
  <si>
    <t>오스트레일리아</t>
  </si>
  <si>
    <t>AUS</t>
  </si>
  <si>
    <t>앤티가 바부다</t>
  </si>
  <si>
    <t>ATG</t>
  </si>
  <si>
    <t>프랑스령 남부와 남극 지역</t>
  </si>
  <si>
    <t>ATF</t>
  </si>
  <si>
    <t>남극</t>
  </si>
  <si>
    <t>ATA</t>
  </si>
  <si>
    <t>아메리칸사모아</t>
  </si>
  <si>
    <t>ASM</t>
  </si>
  <si>
    <t>아르메니아</t>
  </si>
  <si>
    <t>ARM</t>
  </si>
  <si>
    <t>아르헨티나</t>
  </si>
  <si>
    <t>ARG</t>
  </si>
  <si>
    <t>아랍에미리트</t>
  </si>
  <si>
    <t>ARE</t>
  </si>
  <si>
    <t>네덜란드령 안틸레스</t>
  </si>
  <si>
    <t>ANT</t>
  </si>
  <si>
    <t>안도라</t>
  </si>
  <si>
    <t>AND</t>
  </si>
  <si>
    <t>알바니아</t>
  </si>
  <si>
    <t>ALB</t>
  </si>
  <si>
    <t>올란드 제도</t>
  </si>
  <si>
    <t>ALA</t>
  </si>
  <si>
    <t>앵귈라</t>
  </si>
  <si>
    <t>AIA</t>
  </si>
  <si>
    <t>앙골라</t>
  </si>
  <si>
    <t>AGO</t>
  </si>
  <si>
    <t>아프가니스탄</t>
  </si>
  <si>
    <t>AFG</t>
  </si>
  <si>
    <t>아루바</t>
  </si>
  <si>
    <t>ABW</t>
  </si>
  <si>
    <t>이탈리아</t>
  </si>
  <si>
    <t>ITA</t>
  </si>
  <si>
    <t>타이</t>
  </si>
  <si>
    <t>THA</t>
  </si>
  <si>
    <t>독일</t>
  </si>
  <si>
    <t>DEU</t>
  </si>
  <si>
    <t>중화민국</t>
  </si>
  <si>
    <t>TWN</t>
  </si>
  <si>
    <t>홍콩</t>
  </si>
  <si>
    <t>HKG</t>
  </si>
  <si>
    <t>중화인민공화국</t>
  </si>
  <si>
    <t>CHN</t>
  </si>
  <si>
    <t>인도</t>
  </si>
  <si>
    <t>IND</t>
  </si>
  <si>
    <t>일본</t>
  </si>
  <si>
    <t>JPN</t>
  </si>
  <si>
    <t>프랑스</t>
  </si>
  <si>
    <t>FRA</t>
  </si>
  <si>
    <t>영국</t>
  </si>
  <si>
    <t>GBR</t>
  </si>
  <si>
    <t>미국</t>
  </si>
  <si>
    <t>USA</t>
  </si>
  <si>
    <t>대한민국</t>
  </si>
  <si>
    <t>KOR</t>
  </si>
  <si>
    <t>코드값</t>
    <phoneticPr fontId="9" type="noConversion"/>
  </si>
  <si>
    <t>코드명</t>
    <phoneticPr fontId="9" type="noConversion"/>
  </si>
  <si>
    <t>주니어</t>
  </si>
  <si>
    <t>ZUN</t>
  </si>
  <si>
    <t>줄루어</t>
  </si>
  <si>
    <t>ZUL</t>
  </si>
  <si>
    <t>잔데어; 아잔데어</t>
  </si>
  <si>
    <t>ZND</t>
  </si>
  <si>
    <t>중국어</t>
  </si>
  <si>
    <t>ZHO</t>
  </si>
  <si>
    <t>좡어</t>
  </si>
  <si>
    <t>ZHA</t>
  </si>
  <si>
    <t>제나가어</t>
  </si>
  <si>
    <t>ZEN</t>
  </si>
  <si>
    <t>사포텍어</t>
  </si>
  <si>
    <t>ZAP</t>
  </si>
  <si>
    <t>유피크어군</t>
  </si>
  <si>
    <t>YPK</t>
  </si>
  <si>
    <t>요루바어</t>
  </si>
  <si>
    <t>YOR</t>
  </si>
  <si>
    <t>이디시어</t>
  </si>
  <si>
    <t>YID</t>
  </si>
  <si>
    <t>야프어</t>
  </si>
  <si>
    <t>YAP</t>
  </si>
  <si>
    <t>야오어</t>
  </si>
  <si>
    <t>YAO</t>
  </si>
  <si>
    <t>코사어</t>
  </si>
  <si>
    <t>XHO</t>
  </si>
  <si>
    <t>칼미크어</t>
  </si>
  <si>
    <t>XAL</t>
  </si>
  <si>
    <t>월로프어</t>
  </si>
  <si>
    <t>WOL</t>
  </si>
  <si>
    <t>왈론어</t>
  </si>
  <si>
    <t>WLN</t>
  </si>
  <si>
    <t>소르비아어계</t>
  </si>
  <si>
    <t>WEN</t>
  </si>
  <si>
    <t>웨일스어</t>
  </si>
  <si>
    <t>WEL</t>
  </si>
  <si>
    <t>와쇼어</t>
  </si>
  <si>
    <t>WAS</t>
  </si>
  <si>
    <t>와라이어</t>
  </si>
  <si>
    <t>WAR</t>
  </si>
  <si>
    <t>왈라모어; 월라이타어</t>
  </si>
  <si>
    <t>WAL</t>
  </si>
  <si>
    <t>와카시어족</t>
  </si>
  <si>
    <t>WAK</t>
  </si>
  <si>
    <t>보트어</t>
  </si>
  <si>
    <t>VOT</t>
  </si>
  <si>
    <t>볼라퓌크</t>
  </si>
  <si>
    <t>VOL</t>
  </si>
  <si>
    <t>베트남어</t>
  </si>
  <si>
    <t>VIE</t>
  </si>
  <si>
    <t>벤다어</t>
  </si>
  <si>
    <t>바이어</t>
  </si>
  <si>
    <t>VAI</t>
  </si>
  <si>
    <t>우즈베크어</t>
  </si>
  <si>
    <t>우르두어</t>
  </si>
  <si>
    <t>URD</t>
  </si>
  <si>
    <t>미확인 언어</t>
  </si>
  <si>
    <t>UND</t>
  </si>
  <si>
    <t>움분두어</t>
  </si>
  <si>
    <t>UMB</t>
  </si>
  <si>
    <t>우크라이나어</t>
  </si>
  <si>
    <t>위구르어</t>
  </si>
  <si>
    <t>UIG</t>
  </si>
  <si>
    <t>우가리트어</t>
  </si>
  <si>
    <t>우드무르트어</t>
  </si>
  <si>
    <t>UDM</t>
  </si>
  <si>
    <t>투바어</t>
  </si>
  <si>
    <t>TYV</t>
  </si>
  <si>
    <t>트위어</t>
  </si>
  <si>
    <t>TWI</t>
  </si>
  <si>
    <t>투발루어</t>
  </si>
  <si>
    <t>TVL</t>
  </si>
  <si>
    <t>알타이어족 (기타)</t>
  </si>
  <si>
    <t>TUT</t>
  </si>
  <si>
    <t>터키어; 튀르크어</t>
  </si>
  <si>
    <t>투피어족</t>
  </si>
  <si>
    <t>TUP</t>
  </si>
  <si>
    <t>툼부카어</t>
  </si>
  <si>
    <t>TUM</t>
  </si>
  <si>
    <t>투르크멘어</t>
  </si>
  <si>
    <t>TUK</t>
  </si>
  <si>
    <t>총가어</t>
  </si>
  <si>
    <t>TSO</t>
  </si>
  <si>
    <t>츠와나어</t>
  </si>
  <si>
    <t>TSN</t>
  </si>
  <si>
    <t>침시아어</t>
  </si>
  <si>
    <t>TSI</t>
  </si>
  <si>
    <t>톡피신어</t>
  </si>
  <si>
    <t>TPI</t>
  </si>
  <si>
    <t>통가어 (통가 제도)</t>
  </si>
  <si>
    <t>통가어 (니아사)</t>
  </si>
  <si>
    <t>TOG</t>
  </si>
  <si>
    <t>타마셰크어</t>
  </si>
  <si>
    <t>TMH</t>
  </si>
  <si>
    <t>틀링깃어</t>
  </si>
  <si>
    <t>TLI</t>
  </si>
  <si>
    <t>클링온어</t>
  </si>
  <si>
    <t>TLH</t>
  </si>
  <si>
    <t>티브어</t>
  </si>
  <si>
    <t>TIV</t>
  </si>
  <si>
    <t>티그리냐어</t>
  </si>
  <si>
    <t>TIR</t>
  </si>
  <si>
    <t>티그레어</t>
  </si>
  <si>
    <t>TIG</t>
  </si>
  <si>
    <t>티베트어</t>
  </si>
  <si>
    <t>TIB</t>
  </si>
  <si>
    <t>타이어</t>
  </si>
  <si>
    <t>타갈로그어</t>
  </si>
  <si>
    <t>TGL</t>
  </si>
  <si>
    <t>타지크어</t>
  </si>
  <si>
    <t>TGK</t>
  </si>
  <si>
    <t>테툼어</t>
  </si>
  <si>
    <t>TET</t>
  </si>
  <si>
    <t>테레나어; 테레노어</t>
  </si>
  <si>
    <t>TER</t>
  </si>
  <si>
    <t>템네어</t>
  </si>
  <si>
    <t>TEM</t>
  </si>
  <si>
    <t>텔루구어</t>
  </si>
  <si>
    <t>TEL</t>
  </si>
  <si>
    <t>타타르어</t>
  </si>
  <si>
    <t>TAT</t>
  </si>
  <si>
    <t>타밀어</t>
  </si>
  <si>
    <t>TAM</t>
  </si>
  <si>
    <t>타이어군 (기타)</t>
  </si>
  <si>
    <t>TAI</t>
  </si>
  <si>
    <t>타히티어</t>
  </si>
  <si>
    <t>TAH</t>
  </si>
  <si>
    <t>시리아어</t>
  </si>
  <si>
    <t>스웨덴어</t>
  </si>
  <si>
    <t>스와힐리어; 키스와힐리어</t>
  </si>
  <si>
    <t>SWA</t>
  </si>
  <si>
    <t>수메르어</t>
  </si>
  <si>
    <t>SUX</t>
  </si>
  <si>
    <t>수수어</t>
  </si>
  <si>
    <t>SUS</t>
  </si>
  <si>
    <t>순다어</t>
  </si>
  <si>
    <t>SUN</t>
  </si>
  <si>
    <t>수쿠마어</t>
  </si>
  <si>
    <t>SUK</t>
  </si>
  <si>
    <t>스와티어</t>
  </si>
  <si>
    <t>SSW</t>
  </si>
  <si>
    <t>나일사하라어족 (기타)</t>
  </si>
  <si>
    <t>SSA</t>
  </si>
  <si>
    <t>세레르어</t>
  </si>
  <si>
    <t>SRR</t>
  </si>
  <si>
    <t>세르비아어</t>
  </si>
  <si>
    <t>SRP</t>
  </si>
  <si>
    <t>사르데냐어</t>
  </si>
  <si>
    <t>SRD</t>
  </si>
  <si>
    <t>알바니아어</t>
  </si>
  <si>
    <t>SQI</t>
  </si>
  <si>
    <t>소토어 (남)</t>
  </si>
  <si>
    <t>SOT</t>
  </si>
  <si>
    <t>송가이어</t>
  </si>
  <si>
    <t>SON</t>
  </si>
  <si>
    <t>소말리어</t>
  </si>
  <si>
    <t>소그드어</t>
  </si>
  <si>
    <t>SOG</t>
  </si>
  <si>
    <t>신드어</t>
  </si>
  <si>
    <t>SND</t>
  </si>
  <si>
    <t>쇼나어</t>
  </si>
  <si>
    <t>SNA</t>
  </si>
  <si>
    <t>사미어 (스콜트)</t>
  </si>
  <si>
    <t>SMS</t>
  </si>
  <si>
    <t>사모아어</t>
  </si>
  <si>
    <t>SMO</t>
  </si>
  <si>
    <t>사미어 (이나리)</t>
  </si>
  <si>
    <t>SMN</t>
  </si>
  <si>
    <t>사미어 (룰레)</t>
  </si>
  <si>
    <t>SMJ</t>
  </si>
  <si>
    <t>사미어계 (기타)</t>
  </si>
  <si>
    <t>SMI</t>
  </si>
  <si>
    <t>사미어 (북)</t>
  </si>
  <si>
    <t>SME</t>
  </si>
  <si>
    <t>사미어 (남)</t>
  </si>
  <si>
    <t>SMA</t>
  </si>
  <si>
    <t>슬로베니아어</t>
  </si>
  <si>
    <t>슬로바키아어</t>
  </si>
  <si>
    <t>SLO</t>
  </si>
  <si>
    <t>SLK</t>
  </si>
  <si>
    <t>슬라브어파 (기타)</t>
  </si>
  <si>
    <t>SLA</t>
  </si>
  <si>
    <t>시노티베트어족 (기타)</t>
  </si>
  <si>
    <t>SIT</t>
  </si>
  <si>
    <t>수어족</t>
  </si>
  <si>
    <t>SIO</t>
  </si>
  <si>
    <t>싱할라어</t>
  </si>
  <si>
    <t>SIN</t>
  </si>
  <si>
    <t>시다모어</t>
  </si>
  <si>
    <t>SID</t>
  </si>
  <si>
    <t>샨어</t>
  </si>
  <si>
    <t>수화, 각종</t>
  </si>
  <si>
    <t>SGN</t>
  </si>
  <si>
    <t>아일랜드어 (고대) (900년 이전)</t>
  </si>
  <si>
    <t>SGA</t>
  </si>
  <si>
    <t>셈어파 (기타)</t>
  </si>
  <si>
    <t>SEM</t>
  </si>
  <si>
    <t>셀쿠프어</t>
  </si>
  <si>
    <t>SEL</t>
  </si>
  <si>
    <t>크로아티아어</t>
  </si>
  <si>
    <t>SCR</t>
  </si>
  <si>
    <t>스코트어</t>
  </si>
  <si>
    <t>SCO</t>
  </si>
  <si>
    <t>시칠리아어</t>
  </si>
  <si>
    <t>SCN</t>
  </si>
  <si>
    <t>SCC</t>
  </si>
  <si>
    <t>산탈어</t>
  </si>
  <si>
    <t>SAT</t>
  </si>
  <si>
    <t>사사크어</t>
  </si>
  <si>
    <t>SAS</t>
  </si>
  <si>
    <t>산스크리트어</t>
  </si>
  <si>
    <t>SAN</t>
  </si>
  <si>
    <t>사마리아 아람어</t>
  </si>
  <si>
    <t>SAM</t>
  </si>
  <si>
    <t>살리시어족</t>
  </si>
  <si>
    <t>SAL</t>
  </si>
  <si>
    <t>남아메리카 인디언 제어 (기타)</t>
  </si>
  <si>
    <t>SAI</t>
  </si>
  <si>
    <t>야쿠트어</t>
  </si>
  <si>
    <t>SAH</t>
  </si>
  <si>
    <t>상고어</t>
  </si>
  <si>
    <t>SAG</t>
  </si>
  <si>
    <t>산다웨어</t>
  </si>
  <si>
    <t>SAD</t>
  </si>
  <si>
    <t>러시아어</t>
  </si>
  <si>
    <t>룬디어</t>
  </si>
  <si>
    <t>RUN</t>
  </si>
  <si>
    <t>루마니아어</t>
  </si>
  <si>
    <t>RUM</t>
  </si>
  <si>
    <t>루신어</t>
  </si>
  <si>
    <t>RUE</t>
  </si>
  <si>
    <t>RON</t>
  </si>
  <si>
    <t>롬어; 로마니어; 집시어</t>
  </si>
  <si>
    <t>ROM</t>
  </si>
  <si>
    <t>로만슈어; 레토로망어; 라이티아 로망스어</t>
  </si>
  <si>
    <t>ROH</t>
  </si>
  <si>
    <t>로망스어군 (기타)</t>
  </si>
  <si>
    <t>ROA</t>
  </si>
  <si>
    <t>라로통가어</t>
  </si>
  <si>
    <t>RAR</t>
  </si>
  <si>
    <t>라파누이어</t>
  </si>
  <si>
    <t>RAP</t>
  </si>
  <si>
    <t>라자스탄어</t>
  </si>
  <si>
    <t>RAJ</t>
  </si>
  <si>
    <t>케추아어</t>
  </si>
  <si>
    <t>QUE</t>
  </si>
  <si>
    <t>파슈토어</t>
  </si>
  <si>
    <t>PUS</t>
  </si>
  <si>
    <t>프로방스어 (고대) (1500년 이전)</t>
  </si>
  <si>
    <t>PRO</t>
  </si>
  <si>
    <t>프라크리트 제어</t>
  </si>
  <si>
    <t>PRA</t>
  </si>
  <si>
    <t>포르투갈어</t>
  </si>
  <si>
    <t>POR</t>
  </si>
  <si>
    <t>폰페이어; 포나페어</t>
  </si>
  <si>
    <t>PON</t>
  </si>
  <si>
    <t>폴란드어</t>
  </si>
  <si>
    <t>팔리어</t>
  </si>
  <si>
    <t>PLI</t>
  </si>
  <si>
    <t>페니키아어</t>
  </si>
  <si>
    <t>PHN</t>
  </si>
  <si>
    <t>필리핀 제어 (기타)</t>
  </si>
  <si>
    <t>PHI</t>
  </si>
  <si>
    <t>페르시아어; 파르시어</t>
  </si>
  <si>
    <t>페르시아어 (고대) (BC 600년-BC 400년경)</t>
  </si>
  <si>
    <t>PEO</t>
  </si>
  <si>
    <t>팔라우어</t>
  </si>
  <si>
    <t>PAU</t>
  </si>
  <si>
    <t>파피아멘토어</t>
  </si>
  <si>
    <t>PAP</t>
  </si>
  <si>
    <t>펀자브어</t>
  </si>
  <si>
    <t>팜팡가어; 카팜팡가어</t>
  </si>
  <si>
    <t>PAM</t>
  </si>
  <si>
    <t>팔레비어</t>
  </si>
  <si>
    <t>PAL</t>
  </si>
  <si>
    <t>팡가시난어</t>
  </si>
  <si>
    <t>PAG</t>
  </si>
  <si>
    <t>파푸아 제어 (기타)</t>
  </si>
  <si>
    <t>PAA</t>
  </si>
  <si>
    <t>오토미어군</t>
  </si>
  <si>
    <t>OTO</t>
  </si>
  <si>
    <t>튀르크어 (오스만); 오스만 투르크어 (1500년경-1928년)</t>
  </si>
  <si>
    <t>OTA</t>
  </si>
  <si>
    <t>오세트어</t>
  </si>
  <si>
    <t>OSS</t>
  </si>
  <si>
    <t>오세이지어</t>
  </si>
  <si>
    <t>OSA</t>
  </si>
  <si>
    <t>오로모어; 갈라어</t>
  </si>
  <si>
    <t>ORM</t>
  </si>
  <si>
    <t>오리야어</t>
  </si>
  <si>
    <t>ORI</t>
  </si>
  <si>
    <t>오지브와어</t>
  </si>
  <si>
    <t>OJI</t>
  </si>
  <si>
    <t>오크어; 옥시탕; 랑그도크어; 프로방스어 (1500년 이후)</t>
  </si>
  <si>
    <t>OCI</t>
  </si>
  <si>
    <t>은제마어</t>
  </si>
  <si>
    <t>NZI</t>
  </si>
  <si>
    <t>니오로어</t>
  </si>
  <si>
    <t>NYO</t>
  </si>
  <si>
    <t>은콜레어; 니안콜레어</t>
  </si>
  <si>
    <t>NYN</t>
  </si>
  <si>
    <t>니암웨지어</t>
  </si>
  <si>
    <t>NYM</t>
  </si>
  <si>
    <t>니안자어; 체와어; 치체와</t>
  </si>
  <si>
    <t>NYA</t>
  </si>
  <si>
    <t>네와르어 (고전)</t>
  </si>
  <si>
    <t>NWC</t>
  </si>
  <si>
    <t>누비아어군</t>
  </si>
  <si>
    <t>NUB</t>
  </si>
  <si>
    <t>소토어 (북)</t>
  </si>
  <si>
    <t>NSO</t>
  </si>
  <si>
    <t>노르웨이어</t>
  </si>
  <si>
    <t>노르드어 (고대)</t>
  </si>
  <si>
    <t>NON</t>
  </si>
  <si>
    <t>노가이어</t>
  </si>
  <si>
    <t>NOG</t>
  </si>
  <si>
    <t>노르웨이어 (보크몰); 덴마크-노르웨이어</t>
  </si>
  <si>
    <t>NOB</t>
  </si>
  <si>
    <t>노르웨이어 (뉘노르스크); 신노르웨이어</t>
  </si>
  <si>
    <t>NNO</t>
  </si>
  <si>
    <t>네덜란드어; 플라망어</t>
  </si>
  <si>
    <t>NLA</t>
  </si>
  <si>
    <t>니우에어</t>
  </si>
  <si>
    <t>니제르코르도판어족 (기타)</t>
  </si>
  <si>
    <t>네와르어; 네팔바사</t>
  </si>
  <si>
    <t>NEW</t>
  </si>
  <si>
    <t>네팔어</t>
  </si>
  <si>
    <t>NEP</t>
  </si>
  <si>
    <t>저지 색슨어; 저지 독일어</t>
  </si>
  <si>
    <t>NDS</t>
  </si>
  <si>
    <t>은동가어</t>
  </si>
  <si>
    <t>NDO</t>
  </si>
  <si>
    <t>은데벨레어 (북)</t>
  </si>
  <si>
    <t>NDE</t>
  </si>
  <si>
    <t>은데벨레어 (남)</t>
  </si>
  <si>
    <t>NBL</t>
  </si>
  <si>
    <t>나바호어</t>
  </si>
  <si>
    <t>NAV</t>
  </si>
  <si>
    <t>나우루어</t>
  </si>
  <si>
    <t>NAU</t>
  </si>
  <si>
    <t>나폴리어</t>
  </si>
  <si>
    <t>NAP</t>
  </si>
  <si>
    <t>북아메리카 인디언 제어</t>
  </si>
  <si>
    <t>NAI</t>
  </si>
  <si>
    <t>나와어; 나와틀어</t>
  </si>
  <si>
    <t>NAH</t>
  </si>
  <si>
    <t>에르지아어</t>
  </si>
  <si>
    <t>MYV</t>
  </si>
  <si>
    <t>마야어족</t>
  </si>
  <si>
    <t>MYN</t>
  </si>
  <si>
    <t>버마어</t>
  </si>
  <si>
    <t>MYA</t>
  </si>
  <si>
    <t>마르와르어</t>
  </si>
  <si>
    <t>MWR</t>
  </si>
  <si>
    <t>미란데어</t>
  </si>
  <si>
    <t>MWL</t>
  </si>
  <si>
    <t>무스코지어; 크리크어</t>
  </si>
  <si>
    <t>문다어파</t>
  </si>
  <si>
    <t>MUN</t>
  </si>
  <si>
    <t>다중 언어</t>
  </si>
  <si>
    <t>MUL</t>
  </si>
  <si>
    <t>말레이어</t>
  </si>
  <si>
    <t>MSA</t>
  </si>
  <si>
    <t>마오리어</t>
  </si>
  <si>
    <t>MRI</t>
  </si>
  <si>
    <t>모시어</t>
  </si>
  <si>
    <t>MOS</t>
  </si>
  <si>
    <t>몽골어</t>
  </si>
  <si>
    <t>MON</t>
  </si>
  <si>
    <t>몰도바어</t>
  </si>
  <si>
    <t>MOL</t>
  </si>
  <si>
    <t>모호크어</t>
  </si>
  <si>
    <t>MOH</t>
  </si>
  <si>
    <t>마노보어군</t>
  </si>
  <si>
    <t>MNO</t>
  </si>
  <si>
    <t>마니푸르어; 마니푸리어</t>
  </si>
  <si>
    <t>MNI</t>
  </si>
  <si>
    <t>만주어</t>
  </si>
  <si>
    <t>MNC</t>
  </si>
  <si>
    <t>몰타어</t>
  </si>
  <si>
    <t>마다가스카르어</t>
  </si>
  <si>
    <t>MLG</t>
  </si>
  <si>
    <t>몬크메르어파 (기타)</t>
  </si>
  <si>
    <t>MKH</t>
  </si>
  <si>
    <t>마케도니아어</t>
  </si>
  <si>
    <t>기타 언어</t>
  </si>
  <si>
    <t>MIS</t>
  </si>
  <si>
    <t>미낭카바우어</t>
  </si>
  <si>
    <t>MIN</t>
  </si>
  <si>
    <t>미크맥어</t>
  </si>
  <si>
    <t>MIC</t>
  </si>
  <si>
    <t>아일랜드어 (중세) (900년-1200년경)</t>
  </si>
  <si>
    <t>MGA</t>
  </si>
  <si>
    <t>멘데어</t>
  </si>
  <si>
    <t>MEN</t>
  </si>
  <si>
    <t>만다르어</t>
  </si>
  <si>
    <t>MDR</t>
  </si>
  <si>
    <t>모크샤어</t>
  </si>
  <si>
    <t>MDF</t>
  </si>
  <si>
    <t>MAY</t>
  </si>
  <si>
    <t>마사이어</t>
  </si>
  <si>
    <t>MAS</t>
  </si>
  <si>
    <t>마라타어</t>
  </si>
  <si>
    <t>오스트로네시아어족 (기타)</t>
  </si>
  <si>
    <t>MAP</t>
  </si>
  <si>
    <t>MAO</t>
  </si>
  <si>
    <t>만데어; 만딩고어</t>
  </si>
  <si>
    <t>MAN</t>
  </si>
  <si>
    <t>말라얄람어</t>
  </si>
  <si>
    <t>MAL</t>
  </si>
  <si>
    <t>마카사르어</t>
  </si>
  <si>
    <t>MAK</t>
  </si>
  <si>
    <t>마이틸라어; 마이틸리어</t>
  </si>
  <si>
    <t>MAI</t>
  </si>
  <si>
    <t>마셜어</t>
  </si>
  <si>
    <t>MAH</t>
  </si>
  <si>
    <t>마가드어; 마가히어</t>
  </si>
  <si>
    <t>MAG</t>
  </si>
  <si>
    <t>마두라어</t>
  </si>
  <si>
    <t>MAD</t>
  </si>
  <si>
    <t>루샤이어</t>
  </si>
  <si>
    <t>LUS</t>
  </si>
  <si>
    <t>루오어 (케냐와 탄자니아)</t>
  </si>
  <si>
    <t>LUO</t>
  </si>
  <si>
    <t>룬다어</t>
  </si>
  <si>
    <t>LUN</t>
  </si>
  <si>
    <t>루이세뇨어</t>
  </si>
  <si>
    <t>LUI</t>
  </si>
  <si>
    <t>간다어</t>
  </si>
  <si>
    <t>LUG</t>
  </si>
  <si>
    <t>루바카탕가어</t>
  </si>
  <si>
    <t>LUB</t>
  </si>
  <si>
    <t>루바룰루아어</t>
  </si>
  <si>
    <t>LUA</t>
  </si>
  <si>
    <t>룩셈부르크어</t>
  </si>
  <si>
    <t>LTZ</t>
  </si>
  <si>
    <t>로지어</t>
  </si>
  <si>
    <t>LOZ</t>
  </si>
  <si>
    <t>몽고어</t>
  </si>
  <si>
    <t>LOL</t>
  </si>
  <si>
    <t>리투아니아어</t>
  </si>
  <si>
    <t>LIT</t>
  </si>
  <si>
    <t>링갈라어</t>
  </si>
  <si>
    <t>LIN</t>
  </si>
  <si>
    <t>림뷔르흐어</t>
  </si>
  <si>
    <t>LIM</t>
  </si>
  <si>
    <t>레즈긴어</t>
  </si>
  <si>
    <t>LEZ</t>
  </si>
  <si>
    <t>라트비아어</t>
  </si>
  <si>
    <t>LAV</t>
  </si>
  <si>
    <t>라틴어</t>
  </si>
  <si>
    <t>LAT</t>
  </si>
  <si>
    <t>라오어</t>
  </si>
  <si>
    <t>람바어</t>
  </si>
  <si>
    <t>LAM</t>
  </si>
  <si>
    <t>란다어</t>
  </si>
  <si>
    <t>LAH</t>
  </si>
  <si>
    <t>라디노어; 유대스페인어</t>
  </si>
  <si>
    <t>LAD</t>
  </si>
  <si>
    <t>쿠테나이어</t>
  </si>
  <si>
    <t>KUT</t>
  </si>
  <si>
    <t>코스라에어; 쿠사이에어</t>
  </si>
  <si>
    <t>KUS</t>
  </si>
  <si>
    <t>쿠르드어</t>
  </si>
  <si>
    <t>KUR</t>
  </si>
  <si>
    <t>쿠미크어</t>
  </si>
  <si>
    <t>KUM</t>
  </si>
  <si>
    <t>콰냐마어</t>
  </si>
  <si>
    <t>KUA</t>
  </si>
  <si>
    <t>쿠루크어</t>
  </si>
  <si>
    <t>KRU</t>
  </si>
  <si>
    <t>크루어</t>
  </si>
  <si>
    <t>KRO</t>
  </si>
  <si>
    <t>카라차이발카르어</t>
  </si>
  <si>
    <t>KRC</t>
  </si>
  <si>
    <t>크펠레어</t>
  </si>
  <si>
    <t>KPE</t>
  </si>
  <si>
    <t>콩고어</t>
  </si>
  <si>
    <t>KON</t>
  </si>
  <si>
    <t>코미어</t>
  </si>
  <si>
    <t>KOM</t>
  </si>
  <si>
    <t>콘칸어</t>
  </si>
  <si>
    <t>KOK</t>
  </si>
  <si>
    <t>키르기스어</t>
  </si>
  <si>
    <t>르완다어; 키냐르완다어</t>
  </si>
  <si>
    <t>KIN</t>
  </si>
  <si>
    <t>키쿠유어; 기쿠유어</t>
  </si>
  <si>
    <t>KIK</t>
  </si>
  <si>
    <t>호탄어</t>
  </si>
  <si>
    <t>KHO</t>
  </si>
  <si>
    <t>크메르어</t>
  </si>
  <si>
    <t>코이산어족 (기타)</t>
  </si>
  <si>
    <t>KHI</t>
  </si>
  <si>
    <t>카시어</t>
  </si>
  <si>
    <t>KHA</t>
  </si>
  <si>
    <t>카바르디아어</t>
  </si>
  <si>
    <t>KBD</t>
  </si>
  <si>
    <t>카자흐어</t>
  </si>
  <si>
    <t>카위어</t>
  </si>
  <si>
    <t>KAW</t>
  </si>
  <si>
    <t>카누리어</t>
  </si>
  <si>
    <t>KAU</t>
  </si>
  <si>
    <t>조지아어</t>
  </si>
  <si>
    <t>KAT</t>
  </si>
  <si>
    <t>카슈미르어</t>
  </si>
  <si>
    <t>KAS</t>
  </si>
  <si>
    <t>카렌어</t>
  </si>
  <si>
    <t>KAR</t>
  </si>
  <si>
    <t>칸나다어</t>
  </si>
  <si>
    <t>KAN</t>
  </si>
  <si>
    <t>캄바어</t>
  </si>
  <si>
    <t>KAM</t>
  </si>
  <si>
    <t>그린란드어; 칼랄리수트</t>
  </si>
  <si>
    <t>KAL</t>
  </si>
  <si>
    <t>카친어</t>
  </si>
  <si>
    <t>KAC</t>
  </si>
  <si>
    <t>카빌어</t>
  </si>
  <si>
    <t>KAB</t>
  </si>
  <si>
    <t>카라칼파크어</t>
  </si>
  <si>
    <t>KAA</t>
  </si>
  <si>
    <t>유대아랍어</t>
  </si>
  <si>
    <t>JRB</t>
  </si>
  <si>
    <t>유대페르시아어</t>
  </si>
  <si>
    <t>JPR</t>
  </si>
  <si>
    <t>로지반</t>
  </si>
  <si>
    <t>JBO</t>
  </si>
  <si>
    <t>자바어</t>
  </si>
  <si>
    <t>JAV</t>
  </si>
  <si>
    <t>이탈리아어</t>
  </si>
  <si>
    <t>아이슬란드어</t>
  </si>
  <si>
    <t>이로쿼이어족</t>
  </si>
  <si>
    <t>IRO</t>
  </si>
  <si>
    <t>이란어군 (기타)</t>
  </si>
  <si>
    <t>IRA</t>
  </si>
  <si>
    <t>이누피아크어; 북부 이누이트어</t>
  </si>
  <si>
    <t>IPK</t>
  </si>
  <si>
    <t>인구시어</t>
  </si>
  <si>
    <t>INH</t>
  </si>
  <si>
    <t>인도유럽어족 (기타)</t>
  </si>
  <si>
    <t>INE</t>
  </si>
  <si>
    <t>인도네시아어</t>
  </si>
  <si>
    <t>인테르링구아 (국제보조어협회)</t>
  </si>
  <si>
    <t>INA</t>
  </si>
  <si>
    <t>일로코어; 일로카노어</t>
  </si>
  <si>
    <t>ILO</t>
  </si>
  <si>
    <t>이누이트어; 이눅티투트</t>
  </si>
  <si>
    <t>IKU</t>
  </si>
  <si>
    <t>이조어</t>
  </si>
  <si>
    <t>IJO</t>
  </si>
  <si>
    <t>쓰촨 이어</t>
  </si>
  <si>
    <t>III</t>
  </si>
  <si>
    <t>이도</t>
  </si>
  <si>
    <t>IDO</t>
  </si>
  <si>
    <t>ICE</t>
  </si>
  <si>
    <t>이그보어</t>
  </si>
  <si>
    <t>IBO</t>
  </si>
  <si>
    <t>이반어</t>
  </si>
  <si>
    <t>IBA</t>
  </si>
  <si>
    <t>아르메니아어</t>
  </si>
  <si>
    <t>HYE</t>
  </si>
  <si>
    <t>후파어</t>
  </si>
  <si>
    <t>HUP</t>
  </si>
  <si>
    <t>헝가리어</t>
  </si>
  <si>
    <t>소르비아어 (고지)</t>
  </si>
  <si>
    <t>HSB</t>
  </si>
  <si>
    <t>히리 모투어</t>
  </si>
  <si>
    <t>HMO</t>
  </si>
  <si>
    <t>몽어</t>
  </si>
  <si>
    <t>HMN</t>
  </si>
  <si>
    <t>히타이트어</t>
  </si>
  <si>
    <t>HIT</t>
  </si>
  <si>
    <t>힌디어</t>
  </si>
  <si>
    <t>HIN</t>
  </si>
  <si>
    <t>히마찰어</t>
  </si>
  <si>
    <t>HIM</t>
  </si>
  <si>
    <t>힐리가이노어</t>
  </si>
  <si>
    <t>HIL</t>
  </si>
  <si>
    <t>헤레로어</t>
  </si>
  <si>
    <t>HER</t>
  </si>
  <si>
    <t>히브리어</t>
  </si>
  <si>
    <t>HEB</t>
  </si>
  <si>
    <t>하와이어</t>
  </si>
  <si>
    <t>HAW</t>
  </si>
  <si>
    <t>하우사어</t>
  </si>
  <si>
    <t>HAU</t>
  </si>
  <si>
    <t>아이티 크리올어</t>
  </si>
  <si>
    <t>HAT</t>
  </si>
  <si>
    <t>하이다어</t>
  </si>
  <si>
    <t>HAI</t>
  </si>
  <si>
    <t>그위친어</t>
  </si>
  <si>
    <t>GWI</t>
  </si>
  <si>
    <t>구자라트어</t>
  </si>
  <si>
    <t>GUJ</t>
  </si>
  <si>
    <t>과라니어</t>
  </si>
  <si>
    <t>GRN</t>
  </si>
  <si>
    <t>그리스어 (현대) (1453년 이후)</t>
  </si>
  <si>
    <t>GRE</t>
  </si>
  <si>
    <t>그리스어 (고대) (1453년 이전)</t>
  </si>
  <si>
    <t>그레보어</t>
  </si>
  <si>
    <t>GRB</t>
  </si>
  <si>
    <t>고트어</t>
  </si>
  <si>
    <t>GOT</t>
  </si>
  <si>
    <t>곤드어</t>
  </si>
  <si>
    <t>GON</t>
  </si>
  <si>
    <t>독일어 (고대 고지) (750년-1050년경)</t>
  </si>
  <si>
    <t>GOH</t>
  </si>
  <si>
    <t>독일어 (중세 고지) (1050년-1500년경)</t>
  </si>
  <si>
    <t>GMH</t>
  </si>
  <si>
    <t>맨어; 맹크스어</t>
  </si>
  <si>
    <t>GLV</t>
  </si>
  <si>
    <t>갈리시아어; 갈레고어</t>
  </si>
  <si>
    <t>GLG</t>
  </si>
  <si>
    <t>아일랜드어</t>
  </si>
  <si>
    <t>GLE</t>
  </si>
  <si>
    <t>게일어; 스코틀랜드 게일어</t>
  </si>
  <si>
    <t>GLA</t>
  </si>
  <si>
    <t>키리바스어</t>
  </si>
  <si>
    <t>GIL</t>
  </si>
  <si>
    <t>게에즈어</t>
  </si>
  <si>
    <t>GEZ</t>
  </si>
  <si>
    <t>독일어</t>
  </si>
  <si>
    <t>GER</t>
  </si>
  <si>
    <t>게르만어파 (기타)</t>
  </si>
  <si>
    <t>GEM</t>
  </si>
  <si>
    <t>그바야어</t>
  </si>
  <si>
    <t>GBA</t>
  </si>
  <si>
    <t>가요어</t>
  </si>
  <si>
    <t>GAY</t>
  </si>
  <si>
    <t>가어</t>
  </si>
  <si>
    <t>GAA</t>
  </si>
  <si>
    <t>풀라어</t>
  </si>
  <si>
    <t>FUL</t>
  </si>
  <si>
    <t>프리지아어</t>
  </si>
  <si>
    <t>FRY</t>
  </si>
  <si>
    <t>프랑스어 (고대) (842년-1400년경)</t>
  </si>
  <si>
    <t>프랑스어 (중세) (1400년-1600년경)</t>
  </si>
  <si>
    <t>FRM</t>
  </si>
  <si>
    <t>프랑스어</t>
  </si>
  <si>
    <t>폰어</t>
  </si>
  <si>
    <t>FON</t>
  </si>
  <si>
    <t>핀우고르어파 (기타)</t>
  </si>
  <si>
    <t>FIU</t>
  </si>
  <si>
    <t>핀란드어</t>
  </si>
  <si>
    <t>필리핀어</t>
  </si>
  <si>
    <t>FIL</t>
  </si>
  <si>
    <t>피지어</t>
  </si>
  <si>
    <t>FIJ</t>
  </si>
  <si>
    <t>판티어</t>
  </si>
  <si>
    <t>FAT</t>
  </si>
  <si>
    <t>FAS</t>
  </si>
  <si>
    <t>페로어</t>
  </si>
  <si>
    <t>FAO</t>
  </si>
  <si>
    <t>팡어</t>
  </si>
  <si>
    <t>FAN</t>
  </si>
  <si>
    <t>에원도어; 야운데어</t>
  </si>
  <si>
    <t>EWO</t>
  </si>
  <si>
    <t>에웨어</t>
  </si>
  <si>
    <t>EWE</t>
  </si>
  <si>
    <t>바스크어</t>
  </si>
  <si>
    <t>EUS</t>
  </si>
  <si>
    <t>에스토니아어</t>
  </si>
  <si>
    <t>에스페란토</t>
  </si>
  <si>
    <t>EPO</t>
  </si>
  <si>
    <t>영어 (중세) (1100년-1500년경)</t>
  </si>
  <si>
    <t>ENM</t>
  </si>
  <si>
    <t>엘람어</t>
  </si>
  <si>
    <t>ELX</t>
  </si>
  <si>
    <t>ELL</t>
  </si>
  <si>
    <t>에카주크어</t>
  </si>
  <si>
    <t>EKA</t>
  </si>
  <si>
    <t>이집트어 (고대)</t>
  </si>
  <si>
    <t>에피크어</t>
  </si>
  <si>
    <t>EFI</t>
  </si>
  <si>
    <t>종카어</t>
  </si>
  <si>
    <t>DZO</t>
  </si>
  <si>
    <t>듈라어</t>
  </si>
  <si>
    <t>DYU</t>
  </si>
  <si>
    <t>DUT</t>
  </si>
  <si>
    <t>네덜란드어 (중세) (1050년-1350년경)</t>
  </si>
  <si>
    <t>DUM</t>
  </si>
  <si>
    <t>두알라어</t>
  </si>
  <si>
    <t>DUA</t>
  </si>
  <si>
    <t>소르비아어 (저지)</t>
  </si>
  <si>
    <t>DSB</t>
  </si>
  <si>
    <t>드라비다어족 (기타)</t>
  </si>
  <si>
    <t>DRA</t>
  </si>
  <si>
    <t>도그라어</t>
  </si>
  <si>
    <t>DOI</t>
  </si>
  <si>
    <t>디베히어</t>
  </si>
  <si>
    <t>DIV</t>
  </si>
  <si>
    <t>딩카어</t>
  </si>
  <si>
    <t>DIN</t>
  </si>
  <si>
    <t>도그리브어</t>
  </si>
  <si>
    <t>DGR</t>
  </si>
  <si>
    <t>슬레이비어 (아타파스카)</t>
  </si>
  <si>
    <t>DEN</t>
  </si>
  <si>
    <t>델라웨어어</t>
  </si>
  <si>
    <t>DEL</t>
  </si>
  <si>
    <t>다야크어</t>
  </si>
  <si>
    <t>DAY</t>
  </si>
  <si>
    <t>다르과어</t>
  </si>
  <si>
    <t>DAR</t>
  </si>
  <si>
    <t>덴마크어</t>
  </si>
  <si>
    <t>DAN</t>
  </si>
  <si>
    <t>다코타어</t>
  </si>
  <si>
    <t>DAK</t>
  </si>
  <si>
    <t>체코어</t>
  </si>
  <si>
    <t>쿠시어파 (기타)</t>
  </si>
  <si>
    <t>CUS</t>
  </si>
  <si>
    <t>카슈브어</t>
  </si>
  <si>
    <t>CSB</t>
  </si>
  <si>
    <t>크리올어 및 피진어 (이외의 언어를 바탕으로 한 기타)</t>
  </si>
  <si>
    <t>CRP</t>
  </si>
  <si>
    <t>크림 타타르어; 크림 튀르크어</t>
  </si>
  <si>
    <t>CRH</t>
  </si>
  <si>
    <t>크리어</t>
  </si>
  <si>
    <t>CRE</t>
  </si>
  <si>
    <t>크리올어 및 피진어 (포르투갈어를 바탕으로 한 기타)</t>
  </si>
  <si>
    <t>CPP</t>
  </si>
  <si>
    <t>크리올어 및 피진어 (프랑스어를 바탕으로 한 기타)</t>
  </si>
  <si>
    <t>CPF</t>
  </si>
  <si>
    <t>크리올어 및 피진어 (영어를 바탕으로 한 기타)</t>
  </si>
  <si>
    <t>CPE</t>
  </si>
  <si>
    <t>코르시카어</t>
  </si>
  <si>
    <t>COS</t>
  </si>
  <si>
    <t>콘월어</t>
  </si>
  <si>
    <t>COR</t>
  </si>
  <si>
    <t>콥트어</t>
  </si>
  <si>
    <t>COP</t>
  </si>
  <si>
    <t>참어군</t>
  </si>
  <si>
    <t>CMC</t>
  </si>
  <si>
    <t>샤이엔어</t>
  </si>
  <si>
    <t>CHY</t>
  </si>
  <si>
    <t>추바슈어</t>
  </si>
  <si>
    <t>CHV</t>
  </si>
  <si>
    <t>슬라브어 (고대 교회); 고대/교회 슬라브어; 고대 불가리아어</t>
  </si>
  <si>
    <t>CHU</t>
  </si>
  <si>
    <t>체로키어</t>
  </si>
  <si>
    <t>CHR</t>
  </si>
  <si>
    <t>치페위안어</t>
  </si>
  <si>
    <t>CHP</t>
  </si>
  <si>
    <t>촉토어</t>
  </si>
  <si>
    <t>CHO</t>
  </si>
  <si>
    <t>치누크 통상어</t>
  </si>
  <si>
    <t>마리어</t>
  </si>
  <si>
    <t>CHM</t>
  </si>
  <si>
    <t>추크어; 트루크어</t>
  </si>
  <si>
    <t>CHK</t>
  </si>
  <si>
    <t>차가타이어</t>
  </si>
  <si>
    <t>CHG</t>
  </si>
  <si>
    <t>체첸어</t>
  </si>
  <si>
    <t>치브차어</t>
  </si>
  <si>
    <t>CHB</t>
  </si>
  <si>
    <t>차모로어</t>
  </si>
  <si>
    <t>CHA</t>
  </si>
  <si>
    <t>CES</t>
  </si>
  <si>
    <t>켈트어파 (기타)</t>
  </si>
  <si>
    <t>CEL</t>
  </si>
  <si>
    <t>세부어; 세부아노어</t>
  </si>
  <si>
    <t>CEB</t>
  </si>
  <si>
    <t>카프카스 제어 (기타)</t>
  </si>
  <si>
    <t>CAU</t>
  </si>
  <si>
    <t>카탈루냐어; 카탈란</t>
  </si>
  <si>
    <t>CAT</t>
  </si>
  <si>
    <t>카리브어</t>
  </si>
  <si>
    <t>CAR</t>
  </si>
  <si>
    <t>중앙아메리카 인디언 제어 (기타)</t>
  </si>
  <si>
    <t>CAI</t>
  </si>
  <si>
    <t>카도어</t>
  </si>
  <si>
    <t>CAD</t>
  </si>
  <si>
    <t>블린어</t>
  </si>
  <si>
    <t>BYN</t>
  </si>
  <si>
    <t>BUR</t>
  </si>
  <si>
    <t>불가리아어</t>
  </si>
  <si>
    <t>BUL</t>
  </si>
  <si>
    <t>부기어</t>
  </si>
  <si>
    <t>BUG</t>
  </si>
  <si>
    <t>부리아트어</t>
  </si>
  <si>
    <t>BUA</t>
  </si>
  <si>
    <t>브르타뉴어</t>
  </si>
  <si>
    <t>BRE</t>
  </si>
  <si>
    <t>브라지어</t>
  </si>
  <si>
    <t>보스니아어</t>
  </si>
  <si>
    <t>BOS</t>
  </si>
  <si>
    <t>BOD</t>
  </si>
  <si>
    <t>반투어군 (기타)</t>
  </si>
  <si>
    <t>BNT</t>
  </si>
  <si>
    <t>블랙풋어; 식시카어</t>
  </si>
  <si>
    <t>BLA</t>
  </si>
  <si>
    <t>비슐라마어</t>
  </si>
  <si>
    <t>BIS</t>
  </si>
  <si>
    <t>비니어</t>
  </si>
  <si>
    <t>BIN</t>
  </si>
  <si>
    <t>비콜어</t>
  </si>
  <si>
    <t>BIK</t>
  </si>
  <si>
    <t>비하르어</t>
  </si>
  <si>
    <t>보지푸르어; 보지푸리어</t>
  </si>
  <si>
    <t>BHO</t>
  </si>
  <si>
    <t>베르베르어파 (기타)</t>
  </si>
  <si>
    <t>BER</t>
  </si>
  <si>
    <t>벵골어</t>
  </si>
  <si>
    <t>벰바어</t>
  </si>
  <si>
    <t>BEM</t>
  </si>
  <si>
    <t>벨라루스어</t>
  </si>
  <si>
    <t>베자어</t>
  </si>
  <si>
    <t>BEJ</t>
  </si>
  <si>
    <t>발트어파 (기타)</t>
  </si>
  <si>
    <t>BAT</t>
  </si>
  <si>
    <t>바사어</t>
  </si>
  <si>
    <t>BAS</t>
  </si>
  <si>
    <t>바바리아어</t>
  </si>
  <si>
    <t>BAR</t>
  </si>
  <si>
    <t>BAQ</t>
  </si>
  <si>
    <t>발리어</t>
  </si>
  <si>
    <t>BAN</t>
  </si>
  <si>
    <t>밤바라어</t>
  </si>
  <si>
    <t>BAM</t>
  </si>
  <si>
    <t>발루치어</t>
  </si>
  <si>
    <t>BAL</t>
  </si>
  <si>
    <t>바슈키르어</t>
  </si>
  <si>
    <t>BAK</t>
  </si>
  <si>
    <t>바밀레케어계</t>
  </si>
  <si>
    <t>BAI</t>
  </si>
  <si>
    <t>반다어</t>
  </si>
  <si>
    <t>BAD</t>
  </si>
  <si>
    <t>아제르바이잔어; 아제리어</t>
  </si>
  <si>
    <t>아이마라어</t>
  </si>
  <si>
    <t>AYM</t>
  </si>
  <si>
    <t>아와드어</t>
  </si>
  <si>
    <t>AWA</t>
  </si>
  <si>
    <t>아베스타어</t>
  </si>
  <si>
    <t>AVE</t>
  </si>
  <si>
    <t>아바르어</t>
  </si>
  <si>
    <t>AVA</t>
  </si>
  <si>
    <t>오스트레일리아어족</t>
  </si>
  <si>
    <t>아타파스카어군</t>
  </si>
  <si>
    <t>ATH</t>
  </si>
  <si>
    <t>아스투리아스어; 바블리어</t>
  </si>
  <si>
    <t>AST</t>
  </si>
  <si>
    <t>아삼어</t>
  </si>
  <si>
    <t>아라와크어</t>
  </si>
  <si>
    <t>ARW</t>
  </si>
  <si>
    <t>인공 언어 (기타)</t>
  </si>
  <si>
    <t>ART</t>
  </si>
  <si>
    <t>아라파호어</t>
  </si>
  <si>
    <t>ARP</t>
  </si>
  <si>
    <t>아라우칸어</t>
  </si>
  <si>
    <t>ARN</t>
  </si>
  <si>
    <t>아라곤어</t>
  </si>
  <si>
    <t>아람어</t>
  </si>
  <si>
    <t>ARC</t>
  </si>
  <si>
    <t>아랍어</t>
  </si>
  <si>
    <t>ARA</t>
  </si>
  <si>
    <t>아파치 제어</t>
  </si>
  <si>
    <t>APA</t>
  </si>
  <si>
    <t>영어 (고대); 앵글로색슨어 (450년-1100년경)</t>
  </si>
  <si>
    <t>ANG</t>
  </si>
  <si>
    <t>암하라어</t>
  </si>
  <si>
    <t>AMH</t>
  </si>
  <si>
    <t>남부 알타이어</t>
  </si>
  <si>
    <t>ALT</t>
  </si>
  <si>
    <t>알공킨어파</t>
  </si>
  <si>
    <t>ALG</t>
  </si>
  <si>
    <t>알류트어</t>
  </si>
  <si>
    <t>ALE</t>
  </si>
  <si>
    <t>아카드어</t>
  </si>
  <si>
    <t>AKK</t>
  </si>
  <si>
    <t>아칸어</t>
  </si>
  <si>
    <t>AKA</t>
  </si>
  <si>
    <t>아이누어</t>
  </si>
  <si>
    <t>AIN</t>
  </si>
  <si>
    <t>아프리칸스어</t>
  </si>
  <si>
    <t>AFR</t>
  </si>
  <si>
    <t>아프리힐리어</t>
  </si>
  <si>
    <t>AFH</t>
  </si>
  <si>
    <t>아프리카아시아어족; 함셈어족 (기타)</t>
  </si>
  <si>
    <t>AFA</t>
  </si>
  <si>
    <t>아디게어</t>
  </si>
  <si>
    <t>ADY</t>
  </si>
  <si>
    <t>아당메어</t>
  </si>
  <si>
    <t>ADA</t>
  </si>
  <si>
    <t>아촐리어</t>
  </si>
  <si>
    <t>ACH</t>
  </si>
  <si>
    <t>아체어</t>
  </si>
  <si>
    <t>ACE</t>
  </si>
  <si>
    <t>압하스어; 압수아어</t>
  </si>
  <si>
    <t>ABK</t>
  </si>
  <si>
    <t>아파르어</t>
  </si>
  <si>
    <t>AAR</t>
  </si>
  <si>
    <t>아라페시어, 아부</t>
  </si>
  <si>
    <t>AAH</t>
  </si>
  <si>
    <t>인도아리아어군 (기타)</t>
  </si>
  <si>
    <t>INC</t>
  </si>
  <si>
    <t>스페인어; 에스파냐어; 카스티야어</t>
  </si>
  <si>
    <t>SPA</t>
  </si>
  <si>
    <t>FRE</t>
  </si>
  <si>
    <t>CHI</t>
  </si>
  <si>
    <t>일본어</t>
  </si>
  <si>
    <t>영어</t>
  </si>
  <si>
    <t>ENG</t>
  </si>
  <si>
    <t>한국어</t>
  </si>
  <si>
    <t>불교</t>
    <phoneticPr fontId="9" type="noConversion"/>
  </si>
  <si>
    <t>종교</t>
  </si>
  <si>
    <t>기타</t>
  </si>
  <si>
    <t>천주교</t>
    <phoneticPr fontId="9" type="noConversion"/>
  </si>
  <si>
    <t>기독교</t>
    <phoneticPr fontId="9" type="noConversion"/>
  </si>
  <si>
    <t>UCC</t>
  </si>
  <si>
    <t>공공/공익</t>
  </si>
  <si>
    <t>다문화사회</t>
  </si>
  <si>
    <t>상업광고</t>
  </si>
  <si>
    <t>광고</t>
  </si>
  <si>
    <t>OAP</t>
  </si>
  <si>
    <t>성인</t>
  </si>
  <si>
    <t>화보영상</t>
  </si>
  <si>
    <t>성인애니</t>
  </si>
  <si>
    <t>성인영화</t>
  </si>
  <si>
    <t>AV</t>
  </si>
  <si>
    <t>클래식</t>
  </si>
  <si>
    <t>음악</t>
  </si>
  <si>
    <t>국악</t>
  </si>
  <si>
    <t>크로스오버</t>
  </si>
  <si>
    <t>성악/합창</t>
  </si>
  <si>
    <t>오페라</t>
  </si>
  <si>
    <t>독주곡</t>
  </si>
  <si>
    <t>실내악</t>
  </si>
  <si>
    <t>협주곡</t>
  </si>
  <si>
    <t>교향곡</t>
  </si>
  <si>
    <t>관현악</t>
  </si>
  <si>
    <t>토크음악</t>
  </si>
  <si>
    <t>TV쇼</t>
  </si>
  <si>
    <t>인기순위</t>
  </si>
  <si>
    <t>콘서트</t>
  </si>
  <si>
    <t>라이브 클립</t>
  </si>
  <si>
    <t>라이브 공연</t>
  </si>
  <si>
    <t>라이브 실황</t>
  </si>
  <si>
    <t>뮤직비디오</t>
  </si>
  <si>
    <t>OST</t>
  </si>
  <si>
    <t>트로트</t>
  </si>
  <si>
    <t>재즈/블루스</t>
  </si>
  <si>
    <t>록/메탈</t>
  </si>
  <si>
    <t>랩/힙합</t>
  </si>
  <si>
    <t>R&amp;B/소울</t>
  </si>
  <si>
    <t>댄스/일렉</t>
  </si>
  <si>
    <t>팝/발라드</t>
  </si>
  <si>
    <t>교양</t>
  </si>
  <si>
    <t>교육</t>
  </si>
  <si>
    <t>경제/경영</t>
  </si>
  <si>
    <t>자격증/직업</t>
  </si>
  <si>
    <t>외국어</t>
  </si>
  <si>
    <t>방과후학습</t>
  </si>
  <si>
    <t>선행학습</t>
  </si>
  <si>
    <t>특강</t>
  </si>
  <si>
    <t>방학특강</t>
  </si>
  <si>
    <t>시험특강</t>
  </si>
  <si>
    <t>교과내신</t>
  </si>
  <si>
    <t>과학</t>
  </si>
  <si>
    <t>사회</t>
  </si>
  <si>
    <t>수학</t>
  </si>
  <si>
    <t>국어</t>
  </si>
  <si>
    <t>유학정보</t>
  </si>
  <si>
    <t>교육정보</t>
  </si>
  <si>
    <t>수능/입시전략</t>
  </si>
  <si>
    <t>낚시</t>
    <phoneticPr fontId="9" type="noConversion"/>
  </si>
  <si>
    <t>스포츠</t>
  </si>
  <si>
    <t>091500</t>
    <phoneticPr fontId="9" type="noConversion"/>
  </si>
  <si>
    <t>바둑</t>
    <phoneticPr fontId="9" type="noConversion"/>
  </si>
  <si>
    <t>091400</t>
    <phoneticPr fontId="9" type="noConversion"/>
  </si>
  <si>
    <t>091300</t>
  </si>
  <si>
    <t>익스트림 스포츠</t>
    <phoneticPr fontId="9" type="noConversion"/>
  </si>
  <si>
    <t>091200</t>
    <phoneticPr fontId="5" type="noConversion"/>
  </si>
  <si>
    <t>체조</t>
    <phoneticPr fontId="9" type="noConversion"/>
  </si>
  <si>
    <t>091100</t>
    <phoneticPr fontId="5" type="noConversion"/>
  </si>
  <si>
    <t>091000</t>
    <phoneticPr fontId="5" type="noConversion"/>
  </si>
  <si>
    <t>국제종합경기</t>
  </si>
  <si>
    <t>090900</t>
    <phoneticPr fontId="5" type="noConversion"/>
  </si>
  <si>
    <t>피겨</t>
  </si>
  <si>
    <t>090800</t>
    <phoneticPr fontId="5" type="noConversion"/>
  </si>
  <si>
    <t>090700</t>
    <phoneticPr fontId="5" type="noConversion"/>
  </si>
  <si>
    <t>090600</t>
    <phoneticPr fontId="5" type="noConversion"/>
  </si>
  <si>
    <t>090500</t>
    <phoneticPr fontId="5" type="noConversion"/>
  </si>
  <si>
    <t>090400</t>
    <phoneticPr fontId="5" type="noConversion"/>
  </si>
  <si>
    <t>090300</t>
    <phoneticPr fontId="5" type="noConversion"/>
  </si>
  <si>
    <t>격투기</t>
  </si>
  <si>
    <t>090200</t>
    <phoneticPr fontId="5" type="noConversion"/>
  </si>
  <si>
    <t>e스포츠</t>
  </si>
  <si>
    <t>090100</t>
    <phoneticPr fontId="5" type="noConversion"/>
  </si>
  <si>
    <t>090000</t>
    <phoneticPr fontId="5" type="noConversion"/>
  </si>
  <si>
    <t>시사</t>
  </si>
  <si>
    <t>다큐멘터리</t>
  </si>
  <si>
    <t>081100</t>
    <phoneticPr fontId="5" type="noConversion"/>
  </si>
  <si>
    <t>081000</t>
    <phoneticPr fontId="5" type="noConversion"/>
  </si>
  <si>
    <t>미스터리</t>
  </si>
  <si>
    <t>080900</t>
    <phoneticPr fontId="5" type="noConversion"/>
  </si>
  <si>
    <t>여행</t>
  </si>
  <si>
    <t>080800</t>
    <phoneticPr fontId="5" type="noConversion"/>
  </si>
  <si>
    <t>역사/전쟁</t>
  </si>
  <si>
    <t>080700</t>
    <phoneticPr fontId="5" type="noConversion"/>
  </si>
  <si>
    <t>과학기술</t>
  </si>
  <si>
    <t>080600</t>
    <phoneticPr fontId="5" type="noConversion"/>
  </si>
  <si>
    <t>우주</t>
  </si>
  <si>
    <t>080500</t>
    <phoneticPr fontId="5" type="noConversion"/>
  </si>
  <si>
    <t>080400</t>
    <phoneticPr fontId="5" type="noConversion"/>
  </si>
  <si>
    <t>문화예술</t>
  </si>
  <si>
    <t>080300</t>
    <phoneticPr fontId="5" type="noConversion"/>
  </si>
  <si>
    <t>휴먼감동</t>
  </si>
  <si>
    <t>080200</t>
    <phoneticPr fontId="5" type="noConversion"/>
  </si>
  <si>
    <t>자연환경</t>
  </si>
  <si>
    <t>080100</t>
    <phoneticPr fontId="5" type="noConversion"/>
  </si>
  <si>
    <t>080000</t>
    <phoneticPr fontId="5" type="noConversion"/>
  </si>
  <si>
    <t>라이프스타일</t>
  </si>
  <si>
    <t>071000</t>
  </si>
  <si>
    <t>생활정보</t>
  </si>
  <si>
    <t>070900</t>
    <phoneticPr fontId="5" type="noConversion"/>
  </si>
  <si>
    <t>070800</t>
    <phoneticPr fontId="5" type="noConversion"/>
  </si>
  <si>
    <t>금융경제</t>
  </si>
  <si>
    <t>070700</t>
    <phoneticPr fontId="5" type="noConversion"/>
  </si>
  <si>
    <t>뷰티/헤어</t>
  </si>
  <si>
    <t>070600</t>
    <phoneticPr fontId="5" type="noConversion"/>
  </si>
  <si>
    <t>패션</t>
  </si>
  <si>
    <t>070500</t>
    <phoneticPr fontId="5" type="noConversion"/>
  </si>
  <si>
    <t>다이어트</t>
  </si>
  <si>
    <t>070400</t>
    <phoneticPr fontId="5" type="noConversion"/>
  </si>
  <si>
    <t>건강</t>
  </si>
  <si>
    <t>070300</t>
    <phoneticPr fontId="5" type="noConversion"/>
  </si>
  <si>
    <t>레저</t>
  </si>
  <si>
    <t>070200</t>
    <phoneticPr fontId="5" type="noConversion"/>
  </si>
  <si>
    <t>취미</t>
  </si>
  <si>
    <t>070100</t>
    <phoneticPr fontId="5" type="noConversion"/>
  </si>
  <si>
    <t>070000</t>
    <phoneticPr fontId="5" type="noConversion"/>
  </si>
  <si>
    <t>교양/상식</t>
    <phoneticPr fontId="9" type="noConversion"/>
  </si>
  <si>
    <t>시사교양</t>
  </si>
  <si>
    <t>060700</t>
    <phoneticPr fontId="5" type="noConversion"/>
  </si>
  <si>
    <t>060600</t>
    <phoneticPr fontId="5" type="noConversion"/>
  </si>
  <si>
    <t>대담</t>
  </si>
  <si>
    <t>060500</t>
    <phoneticPr fontId="5" type="noConversion"/>
  </si>
  <si>
    <t>토론</t>
  </si>
  <si>
    <t>060400</t>
    <phoneticPr fontId="5" type="noConversion"/>
  </si>
  <si>
    <t>미디어비평</t>
  </si>
  <si>
    <t>060300</t>
    <phoneticPr fontId="5" type="noConversion"/>
  </si>
  <si>
    <t>기획취재</t>
  </si>
  <si>
    <t>060200</t>
    <phoneticPr fontId="5" type="noConversion"/>
  </si>
  <si>
    <t>뉴스보도</t>
  </si>
  <si>
    <t>060100</t>
    <phoneticPr fontId="5" type="noConversion"/>
  </si>
  <si>
    <t>060000</t>
    <phoneticPr fontId="5" type="noConversion"/>
  </si>
  <si>
    <t>리얼리티</t>
    <phoneticPr fontId="9" type="noConversion"/>
  </si>
  <si>
    <t>TV연예/오락</t>
  </si>
  <si>
    <t>050900</t>
    <phoneticPr fontId="5" type="noConversion"/>
  </si>
  <si>
    <t>시상식</t>
  </si>
  <si>
    <t>050800</t>
    <phoneticPr fontId="5" type="noConversion"/>
  </si>
  <si>
    <t>시트콤</t>
  </si>
  <si>
    <t>050700</t>
    <phoneticPr fontId="5" type="noConversion"/>
  </si>
  <si>
    <t>오디션</t>
  </si>
  <si>
    <t>050600</t>
    <phoneticPr fontId="5" type="noConversion"/>
  </si>
  <si>
    <t>퀴즈쇼</t>
  </si>
  <si>
    <t>050500</t>
    <phoneticPr fontId="5" type="noConversion"/>
  </si>
  <si>
    <t>개그/코미디쇼</t>
  </si>
  <si>
    <t>050400</t>
    <phoneticPr fontId="5" type="noConversion"/>
  </si>
  <si>
    <t>인터뷰/토크쇼</t>
  </si>
  <si>
    <t>050300</t>
    <phoneticPr fontId="5" type="noConversion"/>
  </si>
  <si>
    <t>연예뉴스</t>
  </si>
  <si>
    <t>050200</t>
    <phoneticPr fontId="5" type="noConversion"/>
  </si>
  <si>
    <t>예능</t>
  </si>
  <si>
    <t>050100</t>
    <phoneticPr fontId="5" type="noConversion"/>
  </si>
  <si>
    <t>050000</t>
    <phoneticPr fontId="5" type="noConversion"/>
  </si>
  <si>
    <t>애니시리즈</t>
  </si>
  <si>
    <t>042500</t>
  </si>
  <si>
    <t>서부</t>
  </si>
  <si>
    <t>042400</t>
  </si>
  <si>
    <t>뮤지컬</t>
  </si>
  <si>
    <t>042300</t>
  </si>
  <si>
    <t>042200</t>
  </si>
  <si>
    <t>스포츠</t>
    <phoneticPr fontId="9" type="noConversion"/>
  </si>
  <si>
    <t>042100</t>
    <phoneticPr fontId="5" type="noConversion"/>
  </si>
  <si>
    <t>교양</t>
    <phoneticPr fontId="9" type="noConversion"/>
  </si>
  <si>
    <t>042000</t>
    <phoneticPr fontId="5" type="noConversion"/>
  </si>
  <si>
    <t>교육</t>
    <phoneticPr fontId="9" type="noConversion"/>
  </si>
  <si>
    <t>041900</t>
    <phoneticPr fontId="5" type="noConversion"/>
  </si>
  <si>
    <t>메디컬</t>
    <phoneticPr fontId="9" type="noConversion"/>
  </si>
  <si>
    <t>041800</t>
    <phoneticPr fontId="5" type="noConversion"/>
  </si>
  <si>
    <t>전쟁</t>
    <phoneticPr fontId="9" type="noConversion"/>
  </si>
  <si>
    <t>041700</t>
    <phoneticPr fontId="5" type="noConversion"/>
  </si>
  <si>
    <t>사회/정서</t>
    <phoneticPr fontId="9" type="noConversion"/>
  </si>
  <si>
    <t>유아/어린이</t>
  </si>
  <si>
    <t>041613</t>
    <phoneticPr fontId="9" type="noConversion"/>
  </si>
  <si>
    <t>자연/동물</t>
    <phoneticPr fontId="9" type="noConversion"/>
  </si>
  <si>
    <t>041612</t>
    <phoneticPr fontId="9" type="noConversion"/>
  </si>
  <si>
    <t>041611</t>
    <phoneticPr fontId="5" type="noConversion"/>
  </si>
  <si>
    <t>기초생활학습</t>
  </si>
  <si>
    <t>041610</t>
    <phoneticPr fontId="5" type="noConversion"/>
  </si>
  <si>
    <t>창의/인지</t>
  </si>
  <si>
    <t>041609</t>
    <phoneticPr fontId="5" type="noConversion"/>
  </si>
  <si>
    <t>신체놀이</t>
  </si>
  <si>
    <t>041608</t>
    <phoneticPr fontId="5" type="noConversion"/>
  </si>
  <si>
    <t>미술학습</t>
  </si>
  <si>
    <t>041607</t>
    <phoneticPr fontId="5" type="noConversion"/>
  </si>
  <si>
    <t>음악학습</t>
  </si>
  <si>
    <t>041606</t>
    <phoneticPr fontId="5" type="noConversion"/>
  </si>
  <si>
    <t>과학/수학학습</t>
  </si>
  <si>
    <t>041605</t>
    <phoneticPr fontId="5" type="noConversion"/>
  </si>
  <si>
    <t>외국어학습</t>
  </si>
  <si>
    <t>041604</t>
    <phoneticPr fontId="5" type="noConversion"/>
  </si>
  <si>
    <t>한글/한자</t>
  </si>
  <si>
    <t>041603</t>
    <phoneticPr fontId="5" type="noConversion"/>
  </si>
  <si>
    <t>동화</t>
  </si>
  <si>
    <t>041602</t>
    <phoneticPr fontId="5" type="noConversion"/>
  </si>
  <si>
    <t>동요</t>
  </si>
  <si>
    <t>041601</t>
    <phoneticPr fontId="5" type="noConversion"/>
  </si>
  <si>
    <t>041600</t>
    <phoneticPr fontId="5" type="noConversion"/>
  </si>
  <si>
    <t>학원/순정</t>
  </si>
  <si>
    <t>041500</t>
    <phoneticPr fontId="5" type="noConversion"/>
  </si>
  <si>
    <t>다큐</t>
  </si>
  <si>
    <t>041400</t>
    <phoneticPr fontId="5" type="noConversion"/>
  </si>
  <si>
    <t>모험</t>
  </si>
  <si>
    <t>041300</t>
    <phoneticPr fontId="5" type="noConversion"/>
  </si>
  <si>
    <t>역사</t>
    <phoneticPr fontId="9" type="noConversion"/>
  </si>
  <si>
    <t>041200</t>
    <phoneticPr fontId="5" type="noConversion"/>
  </si>
  <si>
    <t>사극</t>
  </si>
  <si>
    <t>041100</t>
    <phoneticPr fontId="5" type="noConversion"/>
  </si>
  <si>
    <t>범죄/추리</t>
  </si>
  <si>
    <t>041000</t>
    <phoneticPr fontId="5" type="noConversion"/>
  </si>
  <si>
    <t>무협</t>
  </si>
  <si>
    <t>040900</t>
    <phoneticPr fontId="5" type="noConversion"/>
  </si>
  <si>
    <t>공포/스릴러</t>
  </si>
  <si>
    <t>040800</t>
    <phoneticPr fontId="5" type="noConversion"/>
  </si>
  <si>
    <t>코미디</t>
  </si>
  <si>
    <t>040700</t>
    <phoneticPr fontId="5" type="noConversion"/>
  </si>
  <si>
    <t>로맨스</t>
  </si>
  <si>
    <t>040600</t>
    <phoneticPr fontId="5" type="noConversion"/>
  </si>
  <si>
    <t>드라마</t>
  </si>
  <si>
    <t>040500</t>
    <phoneticPr fontId="5" type="noConversion"/>
  </si>
  <si>
    <t>휴먼/가족</t>
  </si>
  <si>
    <t>040400</t>
    <phoneticPr fontId="5" type="noConversion"/>
  </si>
  <si>
    <t>판타지</t>
  </si>
  <si>
    <t>040300</t>
    <phoneticPr fontId="5" type="noConversion"/>
  </si>
  <si>
    <t>SF</t>
  </si>
  <si>
    <t>040200</t>
    <phoneticPr fontId="5" type="noConversion"/>
  </si>
  <si>
    <t>액션</t>
  </si>
  <si>
    <t>040100</t>
    <phoneticPr fontId="5" type="noConversion"/>
  </si>
  <si>
    <t>040000</t>
    <phoneticPr fontId="5" type="noConversion"/>
  </si>
  <si>
    <t>TV시리즈</t>
  </si>
  <si>
    <t>032500</t>
  </si>
  <si>
    <t>032400</t>
  </si>
  <si>
    <t>032300</t>
  </si>
  <si>
    <t>032200</t>
  </si>
  <si>
    <t>032100</t>
    <phoneticPr fontId="5" type="noConversion"/>
  </si>
  <si>
    <t>032000</t>
    <phoneticPr fontId="5" type="noConversion"/>
  </si>
  <si>
    <t>031900</t>
    <phoneticPr fontId="5" type="noConversion"/>
  </si>
  <si>
    <t>031800</t>
    <phoneticPr fontId="5" type="noConversion"/>
  </si>
  <si>
    <t>031700</t>
    <phoneticPr fontId="5" type="noConversion"/>
  </si>
  <si>
    <t>031613</t>
  </si>
  <si>
    <t>031612</t>
  </si>
  <si>
    <t>031611</t>
    <phoneticPr fontId="5" type="noConversion"/>
  </si>
  <si>
    <t>031610</t>
    <phoneticPr fontId="5" type="noConversion"/>
  </si>
  <si>
    <t>031609</t>
    <phoneticPr fontId="5" type="noConversion"/>
  </si>
  <si>
    <t>031608</t>
    <phoneticPr fontId="5" type="noConversion"/>
  </si>
  <si>
    <t>031607</t>
    <phoneticPr fontId="5" type="noConversion"/>
  </si>
  <si>
    <t>031606</t>
    <phoneticPr fontId="5" type="noConversion"/>
  </si>
  <si>
    <t>031605</t>
    <phoneticPr fontId="5" type="noConversion"/>
  </si>
  <si>
    <t>031604</t>
    <phoneticPr fontId="5" type="noConversion"/>
  </si>
  <si>
    <t>031603</t>
    <phoneticPr fontId="5" type="noConversion"/>
  </si>
  <si>
    <t>031602</t>
    <phoneticPr fontId="5" type="noConversion"/>
  </si>
  <si>
    <t>031601</t>
    <phoneticPr fontId="5" type="noConversion"/>
  </si>
  <si>
    <t>031600</t>
    <phoneticPr fontId="5" type="noConversion"/>
  </si>
  <si>
    <t>031500</t>
    <phoneticPr fontId="5" type="noConversion"/>
  </si>
  <si>
    <t>031400</t>
    <phoneticPr fontId="5" type="noConversion"/>
  </si>
  <si>
    <t>031300</t>
    <phoneticPr fontId="5" type="noConversion"/>
  </si>
  <si>
    <t>031200</t>
    <phoneticPr fontId="5" type="noConversion"/>
  </si>
  <si>
    <t>031100</t>
    <phoneticPr fontId="5" type="noConversion"/>
  </si>
  <si>
    <t>031000</t>
    <phoneticPr fontId="5" type="noConversion"/>
  </si>
  <si>
    <t>030900</t>
    <phoneticPr fontId="5" type="noConversion"/>
  </si>
  <si>
    <t>030800</t>
    <phoneticPr fontId="5" type="noConversion"/>
  </si>
  <si>
    <t>030700</t>
    <phoneticPr fontId="5" type="noConversion"/>
  </si>
  <si>
    <t>030600</t>
    <phoneticPr fontId="5" type="noConversion"/>
  </si>
  <si>
    <t>030500</t>
    <phoneticPr fontId="5" type="noConversion"/>
  </si>
  <si>
    <t>030400</t>
    <phoneticPr fontId="5" type="noConversion"/>
  </si>
  <si>
    <t>030300</t>
    <phoneticPr fontId="5" type="noConversion"/>
  </si>
  <si>
    <t>030200</t>
    <phoneticPr fontId="5" type="noConversion"/>
  </si>
  <si>
    <t>030100</t>
    <phoneticPr fontId="5" type="noConversion"/>
  </si>
  <si>
    <t>030000</t>
    <phoneticPr fontId="5" type="noConversion"/>
  </si>
  <si>
    <t>단편</t>
    <phoneticPr fontId="9" type="noConversion"/>
  </si>
  <si>
    <t>애니영화</t>
  </si>
  <si>
    <t>022600</t>
    <phoneticPr fontId="9" type="noConversion"/>
  </si>
  <si>
    <t>022500</t>
  </si>
  <si>
    <t>022400</t>
  </si>
  <si>
    <t>022300</t>
  </si>
  <si>
    <t>022200</t>
  </si>
  <si>
    <t>022100</t>
    <phoneticPr fontId="5" type="noConversion"/>
  </si>
  <si>
    <t>022000</t>
    <phoneticPr fontId="5" type="noConversion"/>
  </si>
  <si>
    <t>021900</t>
    <phoneticPr fontId="5" type="noConversion"/>
  </si>
  <si>
    <t>021800</t>
    <phoneticPr fontId="5" type="noConversion"/>
  </si>
  <si>
    <t>021700</t>
    <phoneticPr fontId="5" type="noConversion"/>
  </si>
  <si>
    <t>021600</t>
    <phoneticPr fontId="5" type="noConversion"/>
  </si>
  <si>
    <t>021500</t>
    <phoneticPr fontId="5" type="noConversion"/>
  </si>
  <si>
    <t>021400</t>
    <phoneticPr fontId="5" type="noConversion"/>
  </si>
  <si>
    <t>021300</t>
    <phoneticPr fontId="5" type="noConversion"/>
  </si>
  <si>
    <t>021200</t>
    <phoneticPr fontId="5" type="noConversion"/>
  </si>
  <si>
    <t>021100</t>
    <phoneticPr fontId="5" type="noConversion"/>
  </si>
  <si>
    <t>021000</t>
    <phoneticPr fontId="5" type="noConversion"/>
  </si>
  <si>
    <t>020900</t>
    <phoneticPr fontId="5" type="noConversion"/>
  </si>
  <si>
    <t>020800</t>
    <phoneticPr fontId="5" type="noConversion"/>
  </si>
  <si>
    <t>020700</t>
    <phoneticPr fontId="5" type="noConversion"/>
  </si>
  <si>
    <t>020600</t>
    <phoneticPr fontId="5" type="noConversion"/>
  </si>
  <si>
    <t>020500</t>
    <phoneticPr fontId="5" type="noConversion"/>
  </si>
  <si>
    <t>020400</t>
    <phoneticPr fontId="5" type="noConversion"/>
  </si>
  <si>
    <t>020300</t>
    <phoneticPr fontId="5" type="noConversion"/>
  </si>
  <si>
    <t>020200</t>
    <phoneticPr fontId="5" type="noConversion"/>
  </si>
  <si>
    <t>020100</t>
    <phoneticPr fontId="5" type="noConversion"/>
  </si>
  <si>
    <t>020000</t>
    <phoneticPr fontId="5" type="noConversion"/>
  </si>
  <si>
    <t>실사영화</t>
  </si>
  <si>
    <t>012600</t>
    <phoneticPr fontId="9" type="noConversion"/>
  </si>
  <si>
    <t>012500</t>
  </si>
  <si>
    <t>012400</t>
  </si>
  <si>
    <t>012300</t>
  </si>
  <si>
    <t>012200</t>
  </si>
  <si>
    <t>012100</t>
    <phoneticPr fontId="5" type="noConversion"/>
  </si>
  <si>
    <t>012000</t>
    <phoneticPr fontId="5" type="noConversion"/>
  </si>
  <si>
    <t>011900</t>
    <phoneticPr fontId="5" type="noConversion"/>
  </si>
  <si>
    <t>011800</t>
    <phoneticPr fontId="5" type="noConversion"/>
  </si>
  <si>
    <t>011700</t>
    <phoneticPr fontId="5" type="noConversion"/>
  </si>
  <si>
    <t>011600</t>
    <phoneticPr fontId="5" type="noConversion"/>
  </si>
  <si>
    <t>011500</t>
    <phoneticPr fontId="5" type="noConversion"/>
  </si>
  <si>
    <t>011400</t>
    <phoneticPr fontId="5" type="noConversion"/>
  </si>
  <si>
    <t>011300</t>
    <phoneticPr fontId="5" type="noConversion"/>
  </si>
  <si>
    <t>실사영화</t>
    <phoneticPr fontId="9" type="noConversion"/>
  </si>
  <si>
    <t>011200</t>
    <phoneticPr fontId="5" type="noConversion"/>
  </si>
  <si>
    <t>011100</t>
    <phoneticPr fontId="5" type="noConversion"/>
  </si>
  <si>
    <t>011000</t>
    <phoneticPr fontId="5" type="noConversion"/>
  </si>
  <si>
    <t>010900</t>
    <phoneticPr fontId="5" type="noConversion"/>
  </si>
  <si>
    <t>010800</t>
    <phoneticPr fontId="5" type="noConversion"/>
  </si>
  <si>
    <t>010700</t>
    <phoneticPr fontId="5" type="noConversion"/>
  </si>
  <si>
    <t>010600</t>
    <phoneticPr fontId="5" type="noConversion"/>
  </si>
  <si>
    <t>010500</t>
    <phoneticPr fontId="5" type="noConversion"/>
  </si>
  <si>
    <t>010400</t>
    <phoneticPr fontId="5" type="noConversion"/>
  </si>
  <si>
    <t>010300</t>
    <phoneticPr fontId="5" type="noConversion"/>
  </si>
  <si>
    <t>010200</t>
    <phoneticPr fontId="5" type="noConversion"/>
  </si>
  <si>
    <t>010100</t>
    <phoneticPr fontId="5" type="noConversion"/>
  </si>
  <si>
    <t>010000</t>
    <phoneticPr fontId="5" type="noConversion"/>
  </si>
  <si>
    <r>
      <t>3</t>
    </r>
    <r>
      <rPr>
        <sz val="10"/>
        <color indexed="8"/>
        <rFont val="돋움"/>
        <family val="3"/>
        <charset val="129"/>
      </rPr>
      <t>차</t>
    </r>
    <phoneticPr fontId="5" type="noConversion"/>
  </si>
  <si>
    <r>
      <t>2</t>
    </r>
    <r>
      <rPr>
        <sz val="10"/>
        <color indexed="8"/>
        <rFont val="돋움"/>
        <family val="3"/>
        <charset val="129"/>
      </rPr>
      <t>차</t>
    </r>
    <phoneticPr fontId="5" type="noConversion"/>
  </si>
  <si>
    <r>
      <t>1</t>
    </r>
    <r>
      <rPr>
        <sz val="10"/>
        <color indexed="8"/>
        <rFont val="돋움"/>
        <family val="3"/>
        <charset val="129"/>
      </rPr>
      <t>차</t>
    </r>
    <phoneticPr fontId="5" type="noConversion"/>
  </si>
  <si>
    <t>코드</t>
    <phoneticPr fontId="5" type="noConversion"/>
  </si>
  <si>
    <t>에피소드 회차</t>
    <phoneticPr fontId="9" type="noConversion"/>
  </si>
  <si>
    <t>시놉시스</t>
    <phoneticPr fontId="9" type="noConversion"/>
  </si>
  <si>
    <t>HD</t>
  </si>
  <si>
    <t>시리즈명/프로그램</t>
    <phoneticPr fontId="9" type="noConversion"/>
  </si>
  <si>
    <t>시리즈 시놉시스
(한글80자 이내)</t>
    <phoneticPr fontId="9" type="noConversion"/>
  </si>
  <si>
    <t>출연진
(여러명일때 콤마(,)로 분리)</t>
    <phoneticPr fontId="9" type="noConversion"/>
  </si>
  <si>
    <t>감독/연출
(여러명일때 콤마(,)로 분리)</t>
    <phoneticPr fontId="9" type="noConversion"/>
  </si>
  <si>
    <t>작가
(여러명일때 콤마(,)로 분리)</t>
    <phoneticPr fontId="9" type="noConversion"/>
  </si>
  <si>
    <t>제작진
(여러명일때 콤마(,)로 분리)</t>
    <phoneticPr fontId="9" type="noConversion"/>
  </si>
  <si>
    <t>제작사
(여러명일때 콤마(,)로 분리)</t>
    <phoneticPr fontId="9" type="noConversion"/>
  </si>
  <si>
    <t>화질
UHD/HD/SD</t>
    <phoneticPr fontId="9" type="noConversion"/>
  </si>
  <si>
    <t>영상
2D/3D</t>
    <phoneticPr fontId="9" type="noConversion"/>
  </si>
  <si>
    <t>콘텐츠별 시놉시스
(한글 600자이내)</t>
    <phoneticPr fontId="9" type="noConversion"/>
  </si>
  <si>
    <t>STANDARD</t>
  </si>
  <si>
    <t>애니메이션
코미디/일상</t>
    <phoneticPr fontId="9" type="noConversion"/>
  </si>
  <si>
    <r>
      <t xml:space="preserve">시리즈 정보 </t>
    </r>
    <r>
      <rPr>
        <b/>
        <sz val="10"/>
        <color rgb="FFFF0000"/>
        <rFont val="맑은 고딕"/>
        <family val="3"/>
        <charset val="129"/>
        <scheme val="major"/>
      </rPr>
      <t>( 단편인 경우 입력할 필요 없음)</t>
    </r>
    <phoneticPr fontId="9" type="noConversion"/>
  </si>
  <si>
    <t>상영시간
(HH:MM:SS)
(예: 01:00:00)</t>
    <phoneticPr fontId="9" type="noConversion"/>
  </si>
  <si>
    <t>0:30:00</t>
    <phoneticPr fontId="9" type="noConversion"/>
  </si>
  <si>
    <t>더빙</t>
    <phoneticPr fontId="5" type="noConversion"/>
  </si>
  <si>
    <t>클레버 멤버들의 살찌우기 대결! 하루에 몸무게를 10kg이나 늘린다고요...?</t>
    <phoneticPr fontId="5" type="noConversion"/>
  </si>
  <si>
    <r>
      <t>멤버들끼리 첫 여행</t>
    </r>
    <r>
      <rPr>
        <sz val="10"/>
        <color rgb="FF000000"/>
        <rFont val="Segoe UI Emoji"/>
        <family val="2"/>
      </rPr>
      <t>💕</t>
    </r>
    <r>
      <rPr>
        <sz val="10"/>
        <color rgb="FF000000"/>
        <rFont val="나눔고딕"/>
        <family val="3"/>
        <charset val="129"/>
      </rPr>
      <t xml:space="preserve"> 24시간 파자마 파티 했습니다</t>
    </r>
    <r>
      <rPr>
        <sz val="10"/>
        <color rgb="FF000000"/>
        <rFont val="Segoe UI Emoji"/>
        <family val="2"/>
      </rPr>
      <t>🙌</t>
    </r>
    <r>
      <rPr>
        <sz val="10"/>
        <color rgb="FF000000"/>
        <rFont val="나눔고딕"/>
        <family val="3"/>
        <charset val="129"/>
      </rPr>
      <t>맛있는 거 먹고 즐겁게 게임 했던 여행 우리 같이 놀아요</t>
    </r>
    <r>
      <rPr>
        <sz val="10"/>
        <color rgb="FF000000"/>
        <rFont val="Segoe UI Emoji"/>
        <family val="2"/>
      </rPr>
      <t>❤️</t>
    </r>
    <phoneticPr fontId="5" type="noConversion"/>
  </si>
  <si>
    <t>워터파크 통째로 빌렸습니다? 문 닫을 때 까지 워터파크에서 놀기! ㅋㅋㅋㅋ</t>
    <phoneticPr fontId="5" type="noConversion"/>
  </si>
  <si>
    <r>
      <t>내가 뽑은 색깔 음식 먹기! 멤버들은 어떤 샐깔의 음식을 먹게될까요? ㅋㅋㅋ 다 같이 보러가요</t>
    </r>
    <r>
      <rPr>
        <sz val="10"/>
        <color rgb="FF000000"/>
        <rFont val="Segoe UI Emoji"/>
        <family val="2"/>
      </rPr>
      <t>❤️</t>
    </r>
    <phoneticPr fontId="5" type="noConversion"/>
  </si>
  <si>
    <t>1초 듣고 K-POP 노래 맞추기 비타민 VS 피어스 승자는 50만원 레스토랑 밥 먹기 패자는 5천원 라면 먹기!ㅋㅋㅋ 불꽃튀는 대결의 현장으로 여러분들 초대합니다!!</t>
    <phoneticPr fontId="5" type="noConversion"/>
  </si>
  <si>
    <t>1초 듣고 K-POP 노래 맞추기</t>
    <phoneticPr fontId="9" type="noConversion"/>
  </si>
  <si>
    <t xml:space="preserve">우당탕탕 개학식 전날 </t>
    <phoneticPr fontId="9" type="noConversion"/>
  </si>
  <si>
    <t>사연드라마 : 엄마한테 매일 거짓말하는 동생</t>
    <phoneticPr fontId="9" type="noConversion"/>
  </si>
  <si>
    <t>유학파인척 친구들 무시하는 아이돌 연습생 참교육</t>
    <phoneticPr fontId="9" type="noConversion"/>
  </si>
  <si>
    <t>방학 vs 개학 24시간 멤버의 일상 비교</t>
    <phoneticPr fontId="9" type="noConversion"/>
  </si>
  <si>
    <t>상상극장</t>
    <phoneticPr fontId="9" type="noConversion"/>
  </si>
  <si>
    <t>설레는 방학식 날! 비타민의 아침일상</t>
    <phoneticPr fontId="9" type="noConversion"/>
  </si>
  <si>
    <t>라면 먹을 때 절대 하면 안되는 유형 6가지</t>
    <phoneticPr fontId="9" type="noConversion"/>
  </si>
  <si>
    <t>다이나믹한 개학날 아침일상 중계</t>
    <phoneticPr fontId="9" type="noConversion"/>
  </si>
  <si>
    <t>큰일났어요! ㅠㅠ 사랑이 개학날 아침 방학숙제가 사라졌다?! 어떻게 하죠? ㅠㅠ 다이나믹한 개학날 아침일상 중계</t>
    <phoneticPr fontId="5" type="noConversion"/>
  </si>
  <si>
    <r>
      <t xml:space="preserve">라면 먹다가 비타민 멤버들이 싸웠다구요? </t>
    </r>
    <r>
      <rPr>
        <sz val="10"/>
        <rFont val="Segoe UI Emoji"/>
        <family val="2"/>
      </rPr>
      <t>😱</t>
    </r>
    <r>
      <rPr>
        <sz val="10"/>
        <rFont val="나눔고딕"/>
        <family val="3"/>
        <charset val="129"/>
      </rPr>
      <t xml:space="preserve"> 라면 먹을 때 절대 하면 안되는 유형 6가지!｜너구리 + 계란, 한강라면, 소식좌, 대식좌, 괴식가 총 출동</t>
    </r>
    <phoneticPr fontId="5" type="noConversion"/>
  </si>
  <si>
    <t>설레는 방학식 날! 비타민의 아침일상을 공개합니다 그런데... 성적표가..?! ㅠㅠ 과연 나예의 1학기 성적은..?</t>
    <phoneticPr fontId="5" type="noConversion"/>
  </si>
  <si>
    <t>충격! 엄마가 공부한다고 혼내요... 경찰서에 잡혀갈 뻔 했다구요?ㅠㅠ 노는게 모범생인 세상은 어떤 모습일까?</t>
    <phoneticPr fontId="5" type="noConversion"/>
  </si>
  <si>
    <t xml:space="preserve">비타민 vs 피어스 숨막히는 댄스대결 과연 승자는? 방심하는 순간 진다!! 어마무시한 댄스대결!!! </t>
    <phoneticPr fontId="9" type="noConversion"/>
  </si>
  <si>
    <t xml:space="preserve">방학 vs 개학 24시간 멤버의 일상을 비교합니다! 방학중인 멤버와 개학한 멤버의 일상은 얼마나 다를까요?! 개학 방학 차이 일상 비교! </t>
    <phoneticPr fontId="5" type="noConversion"/>
  </si>
  <si>
    <t>유학파인척 친구들 무시하는 아이돌 연습생 참교육했습니다!!!! 유학다녀왔다고 잘난척하는 친구의 실체가 드러났습니다</t>
    <phoneticPr fontId="5" type="noConversion"/>
  </si>
  <si>
    <t>엄마한테 매일 거짓말하는 동생.. 진짜 너무한 거 아니야? 사랑이 결국 폭발했습니다 내 숙제까지 훔치는 뻔뻔한 동생의 최후</t>
    <phoneticPr fontId="5" type="noConversion"/>
  </si>
  <si>
    <t>개학식 첫날부터 지각(?) 방학숙제하느라 밤 새웠어요..ㅠㅠ개학식 전날 짐챙기고 밀린 방학숙제하기!</t>
    <phoneticPr fontId="5" type="noConversion"/>
  </si>
  <si>
    <t>뭐든지 다 잘하는 아이돌 지망생 친구가 너무 부러워요...공부도 잘하고 얼굴도 예쁘고 춤도 잘추고 못하는게 뭐야 도대체!</t>
    <phoneticPr fontId="5" type="noConversion"/>
  </si>
  <si>
    <t>초등학생 VS 중학생 용돈 사용 비교</t>
    <phoneticPr fontId="9" type="noConversion"/>
  </si>
  <si>
    <t>초등학생 VS 중학생 용돈 사용을 비교해봤습니다ㅋㅋ달라도 너무 달라요 ㅋㅋㅋ</t>
    <phoneticPr fontId="5" type="noConversion"/>
  </si>
  <si>
    <r>
      <t xml:space="preserve">길에서 만난 외국인이 중학생 시윤이에게 말을 건다면?! </t>
    </r>
    <r>
      <rPr>
        <sz val="10"/>
        <rFont val="Segoe UI Emoji"/>
        <family val="2"/>
      </rPr>
      <t>😨</t>
    </r>
    <r>
      <rPr>
        <sz val="10"/>
        <rFont val="나눔고딕"/>
        <family val="3"/>
        <charset val="129"/>
      </rPr>
      <t xml:space="preserve"> 과연 어떤 반응을..? 비타민 멤버들의 유창한 영어실력 공개?!</t>
    </r>
    <phoneticPr fontId="5" type="noConversion"/>
  </si>
  <si>
    <t>실험카메라</t>
    <phoneticPr fontId="9" type="noConversion"/>
  </si>
  <si>
    <t>친구 집들이 브이로그 방소</t>
    <phoneticPr fontId="9" type="noConversion"/>
  </si>
  <si>
    <t>10즈 재윤이네 집에 놀러갔는데 재윤이가 없습니다 ㅠㅠ 이게 무슨일이죠?! 친구 집들이 브이로그 방소개</t>
    <phoneticPr fontId="5" type="noConversion"/>
  </si>
  <si>
    <t>생일 실험카메라</t>
    <phoneticPr fontId="9" type="noConversion"/>
  </si>
  <si>
    <t>눈물을 펑펑 흘린 채민이.. 생일 파티에 아무도 안 왔다구요?! 비타민 언니들의 깜짝 생일몰카! (반전주의) 과연 어떤 일이 있었을까요</t>
    <phoneticPr fontId="9" type="noConversion"/>
  </si>
  <si>
    <t>중학교 고등학교 새학기 교복소개</t>
    <phoneticPr fontId="9" type="noConversion"/>
  </si>
  <si>
    <t>나예와 채민이의 새로운 교복을 소개합니다! 중학생 VS 고등학생의 교복 뭐가 다를까요?! 중학교 고등학교 새학기 교복소개</t>
    <phoneticPr fontId="5" type="noConversion"/>
  </si>
  <si>
    <t>비타민vs피어스 댄스 대결</t>
    <phoneticPr fontId="9" type="noConversion"/>
  </si>
  <si>
    <t>비타민 vs 피어스 숨막히는 댄스대결</t>
    <phoneticPr fontId="9" type="noConversion"/>
  </si>
  <si>
    <t>비타민vs피어스 댄스 대결했습니다 제대로 된 승부 앞에서 긴장한 멤버들 과연 승자는 누구일까요?!</t>
    <phoneticPr fontId="5" type="noConversion"/>
  </si>
  <si>
    <t>마인크래프트 건축대결</t>
    <phoneticPr fontId="9" type="noConversion"/>
  </si>
  <si>
    <t>마인크래프트 건축대결을 해봤습니다! 이 집을 직접 지었다구요?! 사랑&amp;민솔의 모던하우스♥ vs 가린&amp;은채 핑크핑크 하우스♥ 과연 승자는..?!</t>
    <phoneticPr fontId="5" type="noConversion"/>
  </si>
  <si>
    <t>물 속에 집을 짓는다고?! 마크 야생집짓기 대결! 사랑 &amp; 민솔의 용궁집♥ vs 가린 &amp; 은채 파인애플집♥ 과연 승자는..?</t>
    <phoneticPr fontId="5" type="noConversion"/>
  </si>
  <si>
    <t>마크 야생집짓기 대결</t>
    <phoneticPr fontId="9" type="noConversion"/>
  </si>
  <si>
    <t>상욱이 나예한테 차일 뻔하다ㅠㅠ 그러게 기억을 잘했어야지ㅠ 비타민과 피어스의 육공다이어리 꾸미기 대결!!</t>
    <phoneticPr fontId="9" type="noConversion"/>
  </si>
  <si>
    <t>상욱이 나예한테 차일 뻔하다?</t>
    <phoneticPr fontId="9" type="noConversion"/>
  </si>
  <si>
    <t>비타민 &amp; 피어스의 핸드폰이 모두 사라졌다고?! 도대체 어디로 간 걸까요 ㅠㅠ 반드시 찾아야만 한다!! 그런데.. 범인이..?</t>
    <phoneticPr fontId="9" type="noConversion"/>
  </si>
  <si>
    <t>비타민 &amp; 피어스의 핸드폰이 모두 사라졌다?</t>
    <phoneticPr fontId="9" type="noConversion"/>
  </si>
  <si>
    <t>비타민 피어스와 함께 책상 꾸미기에 도전! 만원으로 꾸민 책상 맞아? 여러분들도 같이 해봐요</t>
    <phoneticPr fontId="9" type="noConversion"/>
  </si>
  <si>
    <t>비타민 피어스와 함께 책상 꾸미기</t>
    <phoneticPr fontId="9" type="noConversion"/>
  </si>
  <si>
    <t>어버이날 선물 몰래 준비하기</t>
    <phoneticPr fontId="9" type="noConversion"/>
  </si>
  <si>
    <t>어버이날 선물 몰래 준비하기! 부모님들 반응은?! ㅋㅋㅋ 몰래 준비한 부모님 선물 과연 감동 받으셨을까요?!</t>
    <phoneticPr fontId="9" type="noConversion"/>
  </si>
  <si>
    <r>
      <t>비타민과 피어스 오늘부로 해체?! 언니? 어떻게 나한테... 숨막히는 반전의 연속, 마피아게임! 숨소리까지 믿지 마...</t>
    </r>
    <r>
      <rPr>
        <sz val="10"/>
        <rFont val="Segoe UI Emoji"/>
        <family val="2"/>
      </rPr>
      <t>😰</t>
    </r>
    <r>
      <rPr>
        <sz val="10"/>
        <rFont val="나눔고딕"/>
        <family val="3"/>
        <charset val="129"/>
      </rPr>
      <t xml:space="preserve"> 과연, 기막힌 추리를 보여준 멤버는?! </t>
    </r>
    <phoneticPr fontId="9" type="noConversion"/>
  </si>
  <si>
    <t>숨막히는 반전의 연속, 마피아게임</t>
    <phoneticPr fontId="9" type="noConversion"/>
  </si>
  <si>
    <t>하얀 선물' 밀당 댄스</t>
    <phoneticPr fontId="9" type="noConversion"/>
  </si>
  <si>
    <t>하얀 선물' 밀당 댄스! 오랜만에 해보니 너무 어렵다!!! 비타민 멤버들 멘붕에 걸렸습니다!! 이거 가능한 걸까요?</t>
    <phoneticPr fontId="9" type="noConversion"/>
  </si>
  <si>
    <t>24시간 춤추면서 살기 미션</t>
    <phoneticPr fontId="9" type="noConversion"/>
  </si>
  <si>
    <r>
      <t xml:space="preserve">24시간 춤추면서 살기 미션 </t>
    </r>
    <r>
      <rPr>
        <sz val="10"/>
        <rFont val="Segoe UI Emoji"/>
        <family val="3"/>
      </rPr>
      <t>🤸‍♀️</t>
    </r>
    <r>
      <rPr>
        <sz val="10"/>
        <rFont val="나눔고딕"/>
        <family val="3"/>
        <charset val="129"/>
      </rPr>
      <t xml:space="preserve"> 하루종일 춤을 춰야 한다고요? ㅠㅠ 과연 멤버들은 춤추면서 GRWM, 춤추면서 공부(?) 춤추면서... 헥헥.. </t>
    </r>
    <phoneticPr fontId="9" type="noConversion"/>
  </si>
  <si>
    <t>피어스 스테이 6개월 댄스 연습 과정 공개</t>
    <phoneticPr fontId="9" type="noConversion"/>
  </si>
  <si>
    <t xml:space="preserve">[MV] 피어스 (PIERCE) - 스테이 (STAY) </t>
    <phoneticPr fontId="9" type="noConversion"/>
  </si>
  <si>
    <t xml:space="preserve">[MV] 피어스 (PIERCE) - 스테이 (STAY) The 7th Digital Single Music Video </t>
    <phoneticPr fontId="9" type="noConversion"/>
  </si>
  <si>
    <t xml:space="preserve">비타민이 추는 피어스의 '스테이' [STAY] </t>
    <phoneticPr fontId="9" type="noConversion"/>
  </si>
  <si>
    <r>
      <t>비타민</t>
    </r>
    <r>
      <rPr>
        <sz val="10"/>
        <color rgb="FF000000"/>
        <rFont val="Segoe UI Emoji"/>
        <family val="2"/>
      </rPr>
      <t>🍑</t>
    </r>
    <r>
      <rPr>
        <sz val="10"/>
        <color rgb="FF000000"/>
        <rFont val="나눔고딕"/>
        <family val="3"/>
        <charset val="129"/>
      </rPr>
      <t xml:space="preserve"> 이 추는 피어스의 '스테이' [STAY] 완전히 다른 느낌! 너무 잘춘다 ㄷ ㄷ ㄷ 여러분들 비타민 보러오세요 </t>
    </r>
    <phoneticPr fontId="9" type="noConversion"/>
  </si>
  <si>
    <r>
      <t>피어스 뮤직비디오 촬영을 잘 마칠 수 있을까요? 피어스의 PLAY 녹음 현장과 뮤직비디오 촬영 현장을 공개합니다</t>
    </r>
    <r>
      <rPr>
        <sz val="10"/>
        <color rgb="FF000000"/>
        <rFont val="Segoe UI Emoji"/>
        <family val="2"/>
      </rPr>
      <t>❤️</t>
    </r>
    <phoneticPr fontId="9" type="noConversion"/>
  </si>
  <si>
    <t>PLAY 뮤직비디오 촬영 현장</t>
    <phoneticPr fontId="9" type="noConversion"/>
  </si>
  <si>
    <t xml:space="preserve">[MV] 피어스 (PIERCE) - PLAY (플레이) </t>
    <phoneticPr fontId="9" type="noConversion"/>
  </si>
  <si>
    <t xml:space="preserve">[MV] 피어스 (PIERCE) - PLAY (플레이) The 8th Digital Single Music Video </t>
    <phoneticPr fontId="9" type="noConversion"/>
  </si>
  <si>
    <t>어스 아기 때 얼굴 보고 멤버 맞추기!</t>
    <phoneticPr fontId="9" type="noConversion"/>
  </si>
  <si>
    <t>피어스 PLAY 2배속 댄스 도전</t>
    <phoneticPr fontId="9" type="noConversion"/>
  </si>
  <si>
    <t>피어스 PLAY 2배속 댄스 도전했는데..너무 빨라서 신발까지 날라갔습니다!! ㄷ ㄷ 이게 무슨일이죠? 도전실패?! ㅠㅠ</t>
    <phoneticPr fontId="9" type="noConversion"/>
  </si>
  <si>
    <t>어스 아기 때 얼굴 보고 멤버 맞추기! ㅋㅋ 생각보다 더 헷갈린다! 꼴찌에게는 엄청난 벌칙이!! ㅋㅋㅋㅋ</t>
    <phoneticPr fontId="9" type="noConversion"/>
  </si>
  <si>
    <t>급식을 남기면 안 된다..?! 멤버들에게 주어진 엄청난 미션! 과연 24시간 동안 음식물 안 남기고 살기는 가능할까요? 환경을 생각하는 친구들의 특별한 도전!</t>
    <phoneticPr fontId="9" type="noConversion"/>
  </si>
  <si>
    <t>음식물 안 남기기 미션</t>
    <phoneticPr fontId="9" type="noConversion"/>
  </si>
  <si>
    <t>내 맘대로 3개월 간의 댄스 연습과정</t>
    <phoneticPr fontId="9" type="noConversion"/>
  </si>
  <si>
    <t>내 맘대로 3개월 간의 댄스 연습과정을 공개합니다. 너무 힘들어서 쓰러진 비타민?!대망의 3개월 댄스연습과정을 만나볼까요?!</t>
    <phoneticPr fontId="9" type="noConversion"/>
  </si>
  <si>
    <t>내가 뽑은 자음으로 된 음식 먹기!ㅋㅋㅋㅋ어떤 자음이 나왔을까요?! 저녁 먹기 너무 어렵다!!!ㅋㅋㅋ</t>
    <phoneticPr fontId="9" type="noConversion"/>
  </si>
  <si>
    <t>내가 뽑은 자음으로 된 음식 먹기!</t>
    <phoneticPr fontId="9" type="noConversion"/>
  </si>
  <si>
    <t>신곡 '내 맘대로' 뮤비 촬영 브이로그</t>
    <phoneticPr fontId="9" type="noConversion"/>
  </si>
  <si>
    <t>신곡 '내 맘대로' 뮤비 촬영중에 화가 잔뜩 났습니다. 촬영중에 잠들어버린 사랑이 ㅠㅠ 이게 무슨일이죠?! 비타민 신곡 '내 맘대로' 뮤비 촬영 브이로그</t>
    <phoneticPr fontId="9" type="noConversion"/>
  </si>
  <si>
    <t xml:space="preserve">[MV] 비타민 (Vitamin) - ‘내 맘대로’ (Follow My Heart) </t>
    <phoneticPr fontId="9" type="noConversion"/>
  </si>
  <si>
    <t xml:space="preserve">[MV] 비타민 (Vitamin) - ‘내 맘대로’ (Follow My Heart) Digital Single Music Video </t>
    <phoneticPr fontId="9" type="noConversion"/>
  </si>
  <si>
    <t>2박 3일간의 제주도 여행</t>
    <phoneticPr fontId="9" type="noConversion"/>
  </si>
  <si>
    <t>비타민 멤버들이 제주 공항에서 길을 잃어버렸다?! 2박 3일간의 제주도 여행에서 도대체 무슨 일이 있었던 걸까요? ㅠㅠ</t>
    <phoneticPr fontId="9" type="noConversion"/>
  </si>
  <si>
    <t>시윤이 바다 모래에 묻고 도망갔습니다ㅋㅋㅋㅋㅋ시윤이 모래 찜질중에 도망가서 맛있는거 먹으러 가기ㅋㅋㅋㅋㅋ</t>
    <phoneticPr fontId="9" type="noConversion"/>
  </si>
  <si>
    <t>제주도 여행 일기</t>
    <phoneticPr fontId="9" type="noConversion"/>
  </si>
  <si>
    <t>영하 10도 한겨울에 워터파크가면 생기는 일?! ㄷㄷ 너무 춥지만 신나게 놀았어요!</t>
    <phoneticPr fontId="9" type="noConversion"/>
  </si>
  <si>
    <t>영하 10도 한겨울에 워터파크!</t>
    <phoneticPr fontId="9" type="noConversion"/>
  </si>
  <si>
    <t>마나가하섬에서 즐거운 일상 브이로그</t>
    <phoneticPr fontId="9" type="noConversion"/>
  </si>
  <si>
    <t>어떡하죠? 비타민이 섬에 갇혔습니다!!! 탈출할 수 있을까요?! 마나가하섬에서 즐거운 일상 브이로그! 페러세일링도 기대해주세요</t>
    <phoneticPr fontId="9" type="noConversion"/>
  </si>
  <si>
    <r>
      <t>나예 민채와 첫 데이트 했습니다. 하루필름 촬영 꿀팁 알려드립니다</t>
    </r>
    <r>
      <rPr>
        <sz val="10"/>
        <color rgb="FF000000"/>
        <rFont val="Segoe UI Emoji"/>
        <family val="2"/>
      </rPr>
      <t>💛</t>
    </r>
    <r>
      <rPr>
        <sz val="10"/>
        <color rgb="FF000000"/>
        <rFont val="나눔고딕"/>
        <family val="3"/>
        <charset val="129"/>
      </rPr>
      <t xml:space="preserve"> 다이어리 꾸미기 떡볶이 먹방까지 너무 즐거웠던 하루 같이 놀아요</t>
    </r>
    <phoneticPr fontId="9" type="noConversion"/>
  </si>
  <si>
    <t xml:space="preserve">나예 민채와 첫 데이트 </t>
    <phoneticPr fontId="9" type="noConversion"/>
  </si>
  <si>
    <t>비타민 피시방에 있는 모든 음식 털어봤습니다 음식점이 되버린 피시방 ㅋㅋㅋ 비타민의 피시방 방문기</t>
    <phoneticPr fontId="9" type="noConversion"/>
  </si>
  <si>
    <t>비타민의 피시방 방문기</t>
    <phoneticPr fontId="9" type="noConversion"/>
  </si>
  <si>
    <t xml:space="preserve">인생 첫 마라탕 도전?! </t>
    <phoneticPr fontId="9" type="noConversion"/>
  </si>
  <si>
    <t xml:space="preserve">인생 첫 마라탕 도전?! 비타민 일일 멤버들과 함께 랜덤 마라탕 먹기에 도전했습니다! 다양한 재료들과 함께하는 과연 어땠을까요? </t>
    <phoneticPr fontId="9" type="noConversion"/>
  </si>
  <si>
    <t>클레버 멤버들의 좋아하는 음식 먹방</t>
    <phoneticPr fontId="9" type="noConversion"/>
  </si>
  <si>
    <t>차가운 음식 먹방 소개</t>
    <phoneticPr fontId="9" type="noConversion"/>
  </si>
  <si>
    <t>너무 더워서 24시간 동안 차가운 음식만 먹었습니다 차가운 음식 먹방 소개 여러분들도 같이 먹어요V</t>
    <phoneticPr fontId="9" type="noConversion"/>
  </si>
  <si>
    <t>하루종일 한가지 음식만 먹고 살기!</t>
    <phoneticPr fontId="9" type="noConversion"/>
  </si>
  <si>
    <t>하루종일 고기만 먹기 VS 생선만 먹기</t>
    <phoneticPr fontId="9" type="noConversion"/>
  </si>
  <si>
    <t>비타민 멤버들이 탕후루 먹다가 충격받은 이유는..? 여러분도 같이 도와주세요..!!｜길거리에 버려져있는 쓰레기들 청소하다</t>
    <phoneticPr fontId="9" type="noConversion"/>
  </si>
  <si>
    <t>고등학생vs중학생vs초등학생 일상비교</t>
    <phoneticPr fontId="9" type="noConversion"/>
  </si>
  <si>
    <t xml:space="preserve">하루종일 고기만 먹기 VS 생선만 먹기!! 어떤 음식이 덜 질릴까요? </t>
    <phoneticPr fontId="9" type="noConversion"/>
  </si>
  <si>
    <r>
      <t xml:space="preserve">하루종일 한가지 음식만 먹고 살기!!  24시간동안 라면만 </t>
    </r>
    <r>
      <rPr>
        <sz val="10"/>
        <color rgb="FF000000"/>
        <rFont val="Segoe UI Emoji"/>
        <family val="2"/>
      </rPr>
      <t>🍜</t>
    </r>
    <r>
      <rPr>
        <sz val="10"/>
        <color rgb="FF000000"/>
        <rFont val="나눔고딕"/>
        <family val="3"/>
        <charset val="129"/>
      </rPr>
      <t xml:space="preserve"> 먹고 살 수 있나요? 연어 초밥, 연어 스테이크, 연어 회... 한가지 음식으로 다양하게도..?</t>
    </r>
    <phoneticPr fontId="9" type="noConversion"/>
  </si>
  <si>
    <r>
      <t>클레버 멤버들의 좋아하는 음식 먹방! 최근에 자주 먹는 음식을 소개합니다</t>
    </r>
    <r>
      <rPr>
        <sz val="10"/>
        <color rgb="FF000000"/>
        <rFont val="Segoe UI Emoji"/>
        <family val="2"/>
      </rPr>
      <t>❤️</t>
    </r>
    <r>
      <rPr>
        <sz val="10"/>
        <color rgb="FF000000"/>
        <rFont val="나눔고딕"/>
        <family val="3"/>
        <charset val="129"/>
      </rPr>
      <t xml:space="preserve"> 멤버들마다 다양한 음식에 꽂혀 있네요!ㅋㅋ </t>
    </r>
    <phoneticPr fontId="9" type="noConversion"/>
  </si>
  <si>
    <t>사랑이네 이사한 집 최초공개!</t>
    <phoneticPr fontId="9" type="noConversion"/>
  </si>
  <si>
    <t>클레버 멤버들이 밤에 갑자기 재워 달라고 찾아왔어요 ㅠ 이게 무슨일이죠?</t>
    <phoneticPr fontId="9" type="noConversion"/>
  </si>
  <si>
    <t>고등학생vs중학생vs초등학생 일상비교!ㅋㅋ너무 달라서 소름이?!ㅋㅋㅋㅋ 갓생 브이로그 학생 일상 비교!</t>
    <phoneticPr fontId="9" type="noConversion"/>
  </si>
  <si>
    <t>비타민 멤버들이 탕후루 먹다가 충격받은 이유</t>
    <phoneticPr fontId="9" type="noConversion"/>
  </si>
  <si>
    <t>밤에 찾아온 클레버 멤버들?</t>
    <phoneticPr fontId="9" type="noConversion"/>
  </si>
  <si>
    <t xml:space="preserve">채민이와 멤버들이 놀러와서 방을 다 어질렀어요 유림이 어쩌죠? ㅠㅠ </t>
    <phoneticPr fontId="9" type="noConversion"/>
  </si>
  <si>
    <t>사랑이 이사한 집에서의 첫 아침일상</t>
    <phoneticPr fontId="9" type="noConversion"/>
  </si>
  <si>
    <t>사랑이 이사한 집에서의 첫 아침일상을 공개합니다!  침대가 없어서 바닥에서 잔다구요?! ㅋㅋㅋㅋ</t>
    <phoneticPr fontId="9" type="noConversion"/>
  </si>
  <si>
    <t xml:space="preserve">사랑이네 이사했어요! 집 최초공개!  방을 어떻게 꾸몄을까요?! 그런데..? 침대가 없다구요? </t>
    <phoneticPr fontId="9" type="noConversion"/>
  </si>
  <si>
    <r>
      <t>비타민 최초로 일본에서 팬미팅 했습니다!!</t>
    </r>
    <r>
      <rPr>
        <sz val="10"/>
        <color rgb="FF000000"/>
        <rFont val="Segoe UI Emoji"/>
        <family val="2"/>
      </rPr>
      <t>💕</t>
    </r>
    <r>
      <rPr>
        <sz val="10"/>
        <color rgb="FF000000"/>
        <rFont val="나눔고딕"/>
        <family val="3"/>
        <charset val="129"/>
      </rPr>
      <t xml:space="preserve"> 울지마요ㅠㅠ feat. 야키니쿠 먹</t>
    </r>
    <phoneticPr fontId="9" type="noConversion"/>
  </si>
  <si>
    <t xml:space="preserve">비타민 최초로 일본에서 팬미팅 </t>
    <phoneticPr fontId="9" type="noConversion"/>
  </si>
  <si>
    <t>유림이네 방 어쩌죠?</t>
    <phoneticPr fontId="9" type="noConversion"/>
  </si>
  <si>
    <t>피어스 중학교 축제 공연</t>
    <phoneticPr fontId="9" type="noConversion"/>
  </si>
  <si>
    <t xml:space="preserve">중학교 축제에서 피어스가 공연을 했다고요!? 그런데 발이 걸려서… 신곡 GREEDY 선공개 무대 공개! </t>
    <phoneticPr fontId="9" type="noConversion"/>
  </si>
  <si>
    <r>
      <t>클레버 새로운 걸그룹을 공개합니다</t>
    </r>
    <r>
      <rPr>
        <sz val="10"/>
        <color rgb="FF000000"/>
        <rFont val="Segoe UI Emoji"/>
        <family val="2"/>
      </rPr>
      <t>❤️</t>
    </r>
    <r>
      <rPr>
        <sz val="10"/>
        <color rgb="FF000000"/>
        <rFont val="나눔고딕"/>
        <family val="3"/>
        <charset val="129"/>
      </rPr>
      <t xml:space="preserve"> 과연 누굴까요? 비타민? 피어스? 궁금해요!!</t>
    </r>
    <r>
      <rPr>
        <sz val="10"/>
        <color rgb="FF000000"/>
        <rFont val="Segoe UI Emoji"/>
        <family val="2"/>
      </rPr>
      <t>⭐️</t>
    </r>
    <phoneticPr fontId="9" type="noConversion"/>
  </si>
  <si>
    <t>클레버 새로운 걸그룹을 공개</t>
    <phoneticPr fontId="9" type="noConversion"/>
  </si>
  <si>
    <t>새로운 클레버 멤버들의 방 소개</t>
    <phoneticPr fontId="9" type="noConversion"/>
  </si>
  <si>
    <t xml:space="preserve"> 피어스 멤버들의 키 공개</t>
    <phoneticPr fontId="9" type="noConversion"/>
  </si>
  <si>
    <t>클레버 용돈 대공개</t>
    <phoneticPr fontId="9" type="noConversion"/>
  </si>
  <si>
    <t>생일파티에 클레버 멤버들이 아무도 안왔습니다..ㅠㅠ 주아 어쩌죠?</t>
    <phoneticPr fontId="5" type="noConversion"/>
  </si>
  <si>
    <t>막내와의 키 차이가 20cm이상 난다구요?! 엄청난 키 차이에 놀란 멤버들! 피어스 멤버들의 키를 공개합니다!</t>
    <phoneticPr fontId="5" type="noConversion"/>
  </si>
  <si>
    <r>
      <t>새로운 클레버 멤버들의 방을 소개합니다</t>
    </r>
    <r>
      <rPr>
        <sz val="10"/>
        <color rgb="FF000000"/>
        <rFont val="Segoe UI Emoji"/>
        <family val="2"/>
      </rPr>
      <t>⭐️</t>
    </r>
    <r>
      <rPr>
        <sz val="10"/>
        <color rgb="FF000000"/>
        <rFont val="나눔고딕"/>
        <family val="3"/>
        <charset val="129"/>
      </rPr>
      <t xml:space="preserve"> 예쁘고 다양한 아이템이 있는 방 구경해요</t>
    </r>
    <r>
      <rPr>
        <sz val="10"/>
        <color rgb="FF000000"/>
        <rFont val="Segoe UI Emoji"/>
        <family val="2"/>
      </rPr>
      <t>❤️</t>
    </r>
    <r>
      <rPr>
        <sz val="10"/>
        <color rgb="FF000000"/>
        <rFont val="나눔고딕"/>
        <family val="3"/>
        <charset val="129"/>
      </rPr>
      <t xml:space="preserve"> 방소개 브이로그 학생</t>
    </r>
    <phoneticPr fontId="5" type="noConversion"/>
  </si>
  <si>
    <t>초등학생 하루 용돈이 2만원이라구요?! 클레버 용돈♥</t>
    <phoneticPr fontId="5" type="noConversion"/>
  </si>
  <si>
    <t>주아 생일 몰래카메라</t>
    <phoneticPr fontId="9" type="noConversion"/>
  </si>
  <si>
    <t>클레버 멤버들의 살찌우기 대결</t>
    <phoneticPr fontId="9" type="noConversion"/>
  </si>
  <si>
    <t>24시간 파자마 파티</t>
    <phoneticPr fontId="9" type="noConversion"/>
  </si>
  <si>
    <t>문 닫을 때 까지 워터파크에서 놀기</t>
    <phoneticPr fontId="9" type="noConversion"/>
  </si>
  <si>
    <t>만칼로리 챌린지</t>
    <phoneticPr fontId="9" type="noConversion"/>
  </si>
  <si>
    <t xml:space="preserve">내가 뽑은 색깔 음식 먹기! </t>
  </si>
  <si>
    <t>[MV] 피어스 (PIERCE) - MAYO MAYO (마요마요)</t>
    <phoneticPr fontId="9" type="noConversion"/>
  </si>
  <si>
    <t>만칼로리 챌린지 도전했습니다! ㅋㅋㅋ 이번에는 성공할 수 있을까요?</t>
    <phoneticPr fontId="5" type="noConversion"/>
  </si>
  <si>
    <t>[MV] 피어스 (PIERCE) - MAYO MAYO (마요마요) The 11th Digital Single Music Video</t>
    <phoneticPr fontId="5" type="noConversion"/>
  </si>
  <si>
    <t>긴장해서 엄청난 실수를? 피어스 녹음실과 뮤직비디오 촬영장에서 무슨 일이 있었을까요?</t>
    <phoneticPr fontId="5" type="noConversion"/>
  </si>
  <si>
    <t>피어스 신곡 마요마요 3배속 춤추다가 쓰러졌습니다 ㅋㅋㅋㅋ 과연 피어스는 성공할 수 있을까요?</t>
    <phoneticPr fontId="5" type="noConversion"/>
  </si>
  <si>
    <t>피어스 신곡 마요마요 3배속</t>
    <phoneticPr fontId="9" type="noConversion"/>
  </si>
  <si>
    <t>피어스 녹음실과 뮤직비디오 촬영장에서 무슨 일이?</t>
    <phoneticPr fontId="9" type="noConversion"/>
  </si>
  <si>
    <t>아이돌 지망생 친구가 너무 부러워요.</t>
    <phoneticPr fontId="9" type="noConversion"/>
  </si>
  <si>
    <t>피어스 스테이 6개월 댄스 연습 과정을 공개합니다!! 와 ㄷ ㄷ 첫 앨범 준비가 맞나요?! 엄청난 실력!! 행복했던 6개월 일상 연습 브이로그 공개합니다!</t>
    <phoneticPr fontId="9" type="noConversion"/>
  </si>
  <si>
    <t>키즈돌 비타민과 피어스 멤버들의 행복하고 다양한 일상이야기! 재미있는 챌린지 도전부터, 다영한 사연 이야기까지, 지금 바로 클레버TV에서 확인해 주세요!</t>
    <phoneticPr fontId="9" type="noConversion"/>
  </si>
  <si>
    <t>비타민, 피어스</t>
    <phoneticPr fontId="9" type="noConversion"/>
  </si>
  <si>
    <t>클레버 이앤엠</t>
    <phoneticPr fontId="9" type="noConversion"/>
  </si>
  <si>
    <t>클레버 TV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</si>
</sst>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>
    <font>
      <sz val="10"/>
      <name val="굴림"/>
      <family val="3"/>
    </font>
    <font>
      <sz val="10"/>
      <color theme="1"/>
      <name val="맑은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Helvetica Neue"/>
      <family val="2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name val="굴림"/>
      <family val="3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name val="굴림"/>
      <family val="3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rgb="FF222222"/>
      <name val="Consolas"/>
      <family val="3"/>
    </font>
    <font>
      <sz val="9"/>
      <color rgb="FF222222"/>
      <name val="돋움"/>
      <family val="3"/>
      <charset val="129"/>
    </font>
    <font>
      <u/>
      <sz val="9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9"/>
      <name val="Tahoma"/>
      <family val="2"/>
    </font>
    <font>
      <sz val="10"/>
      <color rgb="FF000000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6100"/>
      <name val="맑은 고딕"/>
      <family val="3"/>
      <charset val="129"/>
      <scheme val="minor"/>
    </font>
    <font>
      <sz val="10"/>
      <name val="돋움"/>
      <family val="3"/>
      <charset val="129"/>
    </font>
    <font>
      <b/>
      <sz val="10"/>
      <color rgb="FFFF0000"/>
      <name val="맑은 고딕"/>
      <family val="3"/>
      <charset val="129"/>
    </font>
    <font>
      <b/>
      <sz val="10"/>
      <color rgb="FFFF0000"/>
      <name val="Arial"/>
      <family val="2"/>
    </font>
    <font>
      <sz val="10"/>
      <color indexed="8"/>
      <name val="돋움"/>
      <family val="3"/>
      <charset val="129"/>
    </font>
    <font>
      <b/>
      <sz val="9"/>
      <color indexed="60"/>
      <name val="맑은 고딕"/>
      <family val="3"/>
      <charset val="129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1"/>
      <color indexed="8"/>
      <name val="맑은 고딕"/>
      <family val="3"/>
      <charset val="129"/>
    </font>
    <font>
      <b/>
      <sz val="10"/>
      <color rgb="FF000000"/>
      <name val="맑은 고딕"/>
      <family val="3"/>
      <charset val="129"/>
      <scheme val="major"/>
    </font>
    <font>
      <sz val="11"/>
      <name val="돋움"/>
      <family val="3"/>
      <charset val="129"/>
    </font>
    <font>
      <sz val="10"/>
      <name val="나눔고딕"/>
      <family val="3"/>
      <charset val="129"/>
    </font>
    <font>
      <sz val="10"/>
      <color rgb="FF000000"/>
      <name val="나눔고딕"/>
      <family val="3"/>
      <charset val="129"/>
    </font>
    <font>
      <sz val="10"/>
      <color rgb="FF000000"/>
      <name val="Segoe UI Emoji"/>
      <family val="2"/>
    </font>
    <font>
      <sz val="10"/>
      <color rgb="FF00000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sz val="10"/>
      <name val="Segoe UI Emoji"/>
      <family val="2"/>
    </font>
    <font>
      <b/>
      <sz val="10"/>
      <name val="나눔고딕"/>
      <family val="3"/>
      <charset val="129"/>
    </font>
    <font>
      <b/>
      <sz val="10"/>
      <color rgb="FF000000"/>
      <name val="나눔고딕"/>
      <family val="3"/>
      <charset val="129"/>
    </font>
    <font>
      <sz val="10"/>
      <name val="Segoe UI Emoji"/>
      <family val="3"/>
    </font>
  </fonts>
  <fills count="1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7E4BC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4" fillId="0" borderId="0" applyNumberFormat="0" applyFill="0" applyBorder="0" applyProtection="0">
      <alignment vertical="top"/>
    </xf>
    <xf numFmtId="0" fontId="4" fillId="0" borderId="0" applyNumberFormat="0" applyFill="0" applyBorder="0" applyProtection="0">
      <alignment vertical="top"/>
    </xf>
    <xf numFmtId="0" fontId="7" fillId="0" borderId="0"/>
    <xf numFmtId="0" fontId="3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3" fillId="2" borderId="1" applyNumberFormat="0" applyFont="0" applyAlignment="0" applyProtection="0">
      <alignment vertical="center"/>
    </xf>
    <xf numFmtId="0" fontId="22" fillId="0" borderId="0"/>
    <xf numFmtId="0" fontId="21" fillId="0" borderId="0" applyNumberFormat="0" applyFont="0" applyFill="0" applyBorder="0" applyAlignment="0" applyProtection="0"/>
    <xf numFmtId="0" fontId="21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37" fillId="0" borderId="0"/>
    <xf numFmtId="0" fontId="7" fillId="0" borderId="0"/>
    <xf numFmtId="0" fontId="1" fillId="0" borderId="0">
      <alignment vertical="center"/>
    </xf>
    <xf numFmtId="0" fontId="26" fillId="13" borderId="0">
      <alignment vertical="center"/>
    </xf>
  </cellStyleXfs>
  <cellXfs count="110">
    <xf numFmtId="0" fontId="0" fillId="0" borderId="0" xfId="0"/>
    <xf numFmtId="49" fontId="0" fillId="0" borderId="0" xfId="0" applyNumberFormat="1" applyAlignment="1">
      <alignment vertical="center"/>
    </xf>
    <xf numFmtId="49" fontId="11" fillId="0" borderId="0" xfId="0" applyNumberFormat="1" applyFont="1" applyAlignment="1">
      <alignment horizontal="center" vertical="center" wrapText="1"/>
    </xf>
    <xf numFmtId="49" fontId="12" fillId="0" borderId="0" xfId="0" applyNumberFormat="1" applyFont="1" applyAlignment="1">
      <alignment horizontal="center" vertical="center" wrapText="1"/>
    </xf>
    <xf numFmtId="0" fontId="14" fillId="0" borderId="0" xfId="4" applyFont="1">
      <alignment vertical="center"/>
    </xf>
    <xf numFmtId="0" fontId="14" fillId="0" borderId="0" xfId="4" applyFont="1" applyAlignment="1">
      <alignment horizontal="center" vertical="center"/>
    </xf>
    <xf numFmtId="0" fontId="14" fillId="0" borderId="5" xfId="4" applyFont="1" applyBorder="1" applyAlignment="1">
      <alignment horizontal="center" vertical="center"/>
    </xf>
    <xf numFmtId="0" fontId="14" fillId="0" borderId="6" xfId="4" applyFont="1" applyBorder="1" applyAlignment="1">
      <alignment horizontal="center" vertical="center"/>
    </xf>
    <xf numFmtId="49" fontId="14" fillId="0" borderId="6" xfId="4" applyNumberFormat="1" applyFont="1" applyBorder="1" applyAlignment="1">
      <alignment horizontal="center" vertical="center"/>
    </xf>
    <xf numFmtId="49" fontId="14" fillId="0" borderId="5" xfId="4" applyNumberFormat="1" applyFont="1" applyBorder="1" applyAlignment="1">
      <alignment horizontal="center" vertical="center"/>
    </xf>
    <xf numFmtId="0" fontId="16" fillId="0" borderId="0" xfId="4" applyFont="1">
      <alignment vertical="center"/>
    </xf>
    <xf numFmtId="0" fontId="6" fillId="0" borderId="5" xfId="4" applyFont="1" applyBorder="1" applyAlignment="1">
      <alignment horizontal="center" vertical="center"/>
    </xf>
    <xf numFmtId="49" fontId="11" fillId="0" borderId="5" xfId="4" applyNumberFormat="1" applyFont="1" applyBorder="1" applyAlignment="1">
      <alignment horizontal="center" vertical="center"/>
    </xf>
    <xf numFmtId="0" fontId="18" fillId="0" borderId="0" xfId="4" applyFont="1">
      <alignment vertical="center"/>
    </xf>
    <xf numFmtId="0" fontId="14" fillId="0" borderId="5" xfId="4" applyFont="1" applyBorder="1">
      <alignment vertical="center"/>
    </xf>
    <xf numFmtId="0" fontId="20" fillId="0" borderId="5" xfId="4" applyFont="1" applyBorder="1" applyAlignment="1">
      <alignment horizontal="center" vertical="center"/>
    </xf>
    <xf numFmtId="0" fontId="10" fillId="0" borderId="5" xfId="4" applyFont="1" applyBorder="1" applyAlignment="1">
      <alignment horizontal="center" vertical="center"/>
    </xf>
    <xf numFmtId="0" fontId="15" fillId="4" borderId="5" xfId="4" applyFont="1" applyFill="1" applyBorder="1" applyAlignment="1">
      <alignment horizontal="center" vertical="center"/>
    </xf>
    <xf numFmtId="0" fontId="8" fillId="0" borderId="5" xfId="4" applyFont="1" applyBorder="1">
      <alignment vertical="center"/>
    </xf>
    <xf numFmtId="0" fontId="6" fillId="0" borderId="5" xfId="4" applyFont="1" applyBorder="1" applyAlignment="1">
      <alignment wrapText="1"/>
    </xf>
    <xf numFmtId="0" fontId="14" fillId="6" borderId="5" xfId="4" applyFont="1" applyFill="1" applyBorder="1" applyAlignment="1">
      <alignment horizontal="center" vertical="center"/>
    </xf>
    <xf numFmtId="0" fontId="15" fillId="7" borderId="5" xfId="4" applyFont="1" applyFill="1" applyBorder="1" applyAlignment="1">
      <alignment horizontal="center" vertical="center"/>
    </xf>
    <xf numFmtId="0" fontId="11" fillId="0" borderId="0" xfId="4" applyFont="1">
      <alignment vertical="center"/>
    </xf>
    <xf numFmtId="0" fontId="23" fillId="0" borderId="11" xfId="7" applyFont="1" applyBorder="1" applyAlignment="1">
      <alignment horizontal="left" vertical="center" wrapText="1"/>
    </xf>
    <xf numFmtId="0" fontId="6" fillId="7" borderId="5" xfId="4" applyFont="1" applyFill="1" applyBorder="1" applyAlignment="1">
      <alignment horizontal="center" vertical="center"/>
    </xf>
    <xf numFmtId="0" fontId="23" fillId="0" borderId="11" xfId="5" applyFont="1" applyBorder="1" applyAlignment="1">
      <alignment horizontal="left" vertical="center" wrapText="1"/>
    </xf>
    <xf numFmtId="0" fontId="21" fillId="0" borderId="0" xfId="11">
      <alignment vertical="center"/>
    </xf>
    <xf numFmtId="49" fontId="21" fillId="0" borderId="0" xfId="11" applyNumberFormat="1">
      <alignment vertical="center"/>
    </xf>
    <xf numFmtId="0" fontId="3" fillId="8" borderId="5" xfId="4" applyFill="1" applyBorder="1" applyAlignment="1">
      <alignment horizontal="center"/>
    </xf>
    <xf numFmtId="49" fontId="24" fillId="8" borderId="12" xfId="4" applyNumberFormat="1" applyFont="1" applyFill="1" applyBorder="1" applyAlignment="1">
      <alignment horizontal="center" vertical="center"/>
    </xf>
    <xf numFmtId="0" fontId="11" fillId="0" borderId="0" xfId="11" applyFont="1" applyAlignment="1">
      <alignment vertical="top" wrapText="1"/>
    </xf>
    <xf numFmtId="0" fontId="25" fillId="0" borderId="0" xfId="11" applyFont="1" applyAlignment="1">
      <alignment horizontal="left" vertical="center"/>
    </xf>
    <xf numFmtId="0" fontId="26" fillId="0" borderId="0" xfId="11" applyFont="1" applyAlignment="1">
      <alignment horizontal="left" vertical="top" wrapText="1"/>
    </xf>
    <xf numFmtId="0" fontId="3" fillId="3" borderId="5" xfId="4" applyFill="1" applyBorder="1" applyAlignment="1">
      <alignment horizontal="center"/>
    </xf>
    <xf numFmtId="49" fontId="27" fillId="9" borderId="12" xfId="4" applyNumberFormat="1" applyFont="1" applyFill="1" applyBorder="1" applyAlignment="1">
      <alignment horizontal="center" vertical="center"/>
    </xf>
    <xf numFmtId="0" fontId="3" fillId="0" borderId="5" xfId="4" applyBorder="1" applyAlignment="1">
      <alignment horizontal="center"/>
    </xf>
    <xf numFmtId="49" fontId="24" fillId="0" borderId="12" xfId="4" applyNumberFormat="1" applyFont="1" applyBorder="1" applyAlignment="1">
      <alignment horizontal="center" vertical="center"/>
    </xf>
    <xf numFmtId="0" fontId="26" fillId="0" borderId="0" xfId="11" applyFont="1" applyAlignment="1">
      <alignment horizontal="left" vertical="center" wrapText="1"/>
    </xf>
    <xf numFmtId="0" fontId="11" fillId="0" borderId="0" xfId="11" quotePrefix="1" applyFont="1" applyAlignment="1">
      <alignment vertical="top" wrapText="1"/>
    </xf>
    <xf numFmtId="0" fontId="21" fillId="0" borderId="0" xfId="11" applyAlignment="1">
      <alignment vertical="top"/>
    </xf>
    <xf numFmtId="0" fontId="21" fillId="0" borderId="0" xfId="11" quotePrefix="1" applyAlignment="1">
      <alignment vertical="top" wrapText="1"/>
    </xf>
    <xf numFmtId="0" fontId="11" fillId="0" borderId="0" xfId="11" applyFont="1" applyAlignment="1">
      <alignment vertical="center" wrapText="1"/>
    </xf>
    <xf numFmtId="0" fontId="26" fillId="0" borderId="0" xfId="11" applyFont="1" applyAlignment="1">
      <alignment horizontal="left" vertical="center"/>
    </xf>
    <xf numFmtId="0" fontId="6" fillId="0" borderId="0" xfId="11" quotePrefix="1" applyFont="1" applyAlignment="1">
      <alignment vertical="center" wrapText="1"/>
    </xf>
    <xf numFmtId="0" fontId="26" fillId="0" borderId="0" xfId="11" quotePrefix="1" applyFont="1" applyAlignment="1">
      <alignment horizontal="left" vertical="center" wrapText="1"/>
    </xf>
    <xf numFmtId="0" fontId="26" fillId="0" borderId="0" xfId="11" quotePrefix="1" applyFont="1" applyAlignment="1">
      <alignment horizontal="left" vertical="top" wrapText="1"/>
    </xf>
    <xf numFmtId="0" fontId="28" fillId="0" borderId="0" xfId="11" applyFont="1">
      <alignment vertical="center"/>
    </xf>
    <xf numFmtId="0" fontId="29" fillId="0" borderId="0" xfId="11" applyFont="1" applyAlignment="1">
      <alignment horizontal="left" vertical="center"/>
    </xf>
    <xf numFmtId="0" fontId="30" fillId="0" borderId="0" xfId="11" applyFont="1">
      <alignment vertical="center"/>
    </xf>
    <xf numFmtId="0" fontId="3" fillId="4" borderId="5" xfId="4" applyFill="1" applyBorder="1" applyAlignment="1">
      <alignment horizontal="center"/>
    </xf>
    <xf numFmtId="0" fontId="31" fillId="4" borderId="5" xfId="4" applyFont="1" applyFill="1" applyBorder="1" applyAlignment="1">
      <alignment horizontal="center"/>
    </xf>
    <xf numFmtId="0" fontId="0" fillId="0" borderId="0" xfId="0" applyAlignment="1">
      <alignment horizontal="center"/>
    </xf>
    <xf numFmtId="0" fontId="23" fillId="0" borderId="11" xfId="5" applyFont="1" applyBorder="1" applyAlignment="1">
      <alignment horizontal="left" vertical="center"/>
    </xf>
    <xf numFmtId="49" fontId="34" fillId="0" borderId="13" xfId="0" applyNumberFormat="1" applyFont="1" applyBorder="1" applyAlignment="1" applyProtection="1">
      <alignment horizontal="center" vertical="center" wrapText="1"/>
      <protection locked="0"/>
    </xf>
    <xf numFmtId="49" fontId="33" fillId="0" borderId="13" xfId="0" applyNumberFormat="1" applyFont="1" applyBorder="1" applyAlignment="1" applyProtection="1">
      <alignment horizontal="center" vertical="center"/>
      <protection locked="0"/>
    </xf>
    <xf numFmtId="49" fontId="42" fillId="0" borderId="13" xfId="0" applyNumberFormat="1" applyFont="1" applyBorder="1" applyAlignment="1">
      <alignment horizontal="center" vertical="center" wrapText="1"/>
    </xf>
    <xf numFmtId="49" fontId="43" fillId="5" borderId="2" xfId="0" applyNumberFormat="1" applyFont="1" applyFill="1" applyBorder="1" applyAlignment="1">
      <alignment horizontal="center" vertical="center" wrapText="1"/>
    </xf>
    <xf numFmtId="49" fontId="43" fillId="11" borderId="13" xfId="0" applyNumberFormat="1" applyFont="1" applyFill="1" applyBorder="1" applyAlignment="1">
      <alignment horizontal="center" vertical="center" wrapText="1"/>
    </xf>
    <xf numFmtId="49" fontId="43" fillId="11" borderId="15" xfId="0" applyNumberFormat="1" applyFont="1" applyFill="1" applyBorder="1" applyAlignment="1">
      <alignment horizontal="center" vertical="center" wrapText="1"/>
    </xf>
    <xf numFmtId="49" fontId="43" fillId="5" borderId="5" xfId="0" applyNumberFormat="1" applyFont="1" applyFill="1" applyBorder="1" applyAlignment="1">
      <alignment horizontal="center" vertical="center" wrapText="1"/>
    </xf>
    <xf numFmtId="49" fontId="43" fillId="11" borderId="5" xfId="0" applyNumberFormat="1" applyFont="1" applyFill="1" applyBorder="1" applyAlignment="1">
      <alignment horizontal="center" vertical="center" wrapText="1"/>
    </xf>
    <xf numFmtId="49" fontId="43" fillId="11" borderId="17" xfId="0" applyNumberFormat="1" applyFont="1" applyFill="1" applyBorder="1" applyAlignment="1">
      <alignment horizontal="center" vertical="center" wrapText="1"/>
    </xf>
    <xf numFmtId="49" fontId="43" fillId="11" borderId="18" xfId="0" applyNumberFormat="1" applyFont="1" applyFill="1" applyBorder="1" applyAlignment="1">
      <alignment horizontal="center" vertical="center" wrapText="1"/>
    </xf>
    <xf numFmtId="49" fontId="43" fillId="6" borderId="5" xfId="0" applyNumberFormat="1" applyFont="1" applyFill="1" applyBorder="1" applyAlignment="1">
      <alignment horizontal="center" vertical="center" wrapText="1"/>
    </xf>
    <xf numFmtId="49" fontId="43" fillId="10" borderId="5" xfId="0" applyNumberFormat="1" applyFont="1" applyFill="1" applyBorder="1" applyAlignment="1">
      <alignment horizontal="center" vertical="center" wrapText="1"/>
    </xf>
    <xf numFmtId="0" fontId="33" fillId="0" borderId="13" xfId="0" applyFont="1" applyBorder="1" applyAlignment="1">
      <alignment horizontal="left" vertical="center" wrapText="1" readingOrder="1"/>
    </xf>
    <xf numFmtId="0" fontId="33" fillId="0" borderId="13" xfId="0" applyFont="1" applyBorder="1" applyAlignment="1">
      <alignment horizontal="left" wrapText="1"/>
    </xf>
    <xf numFmtId="0" fontId="41" fillId="0" borderId="13" xfId="0" applyFont="1" applyBorder="1" applyAlignment="1">
      <alignment horizontal="left" vertical="center"/>
    </xf>
    <xf numFmtId="0" fontId="0" fillId="0" borderId="0" xfId="0" applyAlignment="1">
      <alignment horizontal="left" wrapText="1"/>
    </xf>
    <xf numFmtId="0" fontId="43" fillId="10" borderId="2" xfId="0" applyFont="1" applyFill="1" applyBorder="1" applyAlignment="1">
      <alignment horizontal="center" vertical="center" wrapText="1"/>
    </xf>
    <xf numFmtId="0" fontId="38" fillId="0" borderId="13" xfId="11" applyFont="1" applyBorder="1">
      <alignment vertical="center"/>
    </xf>
    <xf numFmtId="0" fontId="46" fillId="0" borderId="13" xfId="11" applyFont="1" applyBorder="1">
      <alignment vertical="center"/>
    </xf>
    <xf numFmtId="0" fontId="46" fillId="0" borderId="13" xfId="11" quotePrefix="1" applyFont="1" applyBorder="1">
      <alignment vertical="center"/>
    </xf>
    <xf numFmtId="0" fontId="38" fillId="0" borderId="13" xfId="17" applyFont="1" applyFill="1" applyBorder="1">
      <alignment vertical="center"/>
    </xf>
    <xf numFmtId="0" fontId="39" fillId="0" borderId="13" xfId="11" applyFont="1" applyBorder="1">
      <alignment vertical="center"/>
    </xf>
    <xf numFmtId="0" fontId="39" fillId="0" borderId="13" xfId="11" applyFont="1" applyBorder="1" applyAlignment="1">
      <alignment horizontal="left" vertical="center" indent="1"/>
    </xf>
    <xf numFmtId="0" fontId="33" fillId="0" borderId="13" xfId="0" quotePrefix="1" applyFont="1" applyBorder="1" applyAlignment="1">
      <alignment horizontal="left" vertical="center" wrapText="1" readingOrder="1"/>
    </xf>
    <xf numFmtId="0" fontId="46" fillId="0" borderId="6" xfId="0" applyFont="1" applyBorder="1" applyAlignment="1">
      <alignment horizontal="center" vertical="center" wrapText="1"/>
    </xf>
    <xf numFmtId="0" fontId="46" fillId="0" borderId="7" xfId="0" applyFont="1" applyBorder="1" applyAlignment="1">
      <alignment horizontal="center" vertical="center" wrapText="1"/>
    </xf>
    <xf numFmtId="21" fontId="46" fillId="0" borderId="6" xfId="0" applyNumberFormat="1" applyFont="1" applyBorder="1" applyAlignment="1">
      <alignment horizontal="center" vertical="center" wrapText="1"/>
    </xf>
    <xf numFmtId="0" fontId="46" fillId="0" borderId="8" xfId="0" applyFont="1" applyBorder="1" applyAlignment="1">
      <alignment horizontal="center" vertical="center" wrapText="1"/>
    </xf>
    <xf numFmtId="0" fontId="47" fillId="0" borderId="6" xfId="0" applyFont="1" applyBorder="1" applyAlignment="1">
      <alignment horizontal="center" vertical="center" wrapText="1"/>
    </xf>
    <xf numFmtId="0" fontId="47" fillId="0" borderId="8" xfId="0" applyFont="1" applyBorder="1" applyAlignment="1">
      <alignment horizontal="center" vertical="center" wrapText="1"/>
    </xf>
    <xf numFmtId="0" fontId="47" fillId="0" borderId="7" xfId="0" applyFont="1" applyBorder="1" applyAlignment="1">
      <alignment horizontal="center" vertical="center" wrapText="1"/>
    </xf>
    <xf numFmtId="49" fontId="33" fillId="0" borderId="6" xfId="0" applyNumberFormat="1" applyFont="1" applyBorder="1" applyAlignment="1" applyProtection="1">
      <alignment horizontal="center" vertical="top" wrapText="1"/>
      <protection locked="0"/>
    </xf>
    <xf numFmtId="49" fontId="33" fillId="0" borderId="8" xfId="0" applyNumberFormat="1" applyFont="1" applyBorder="1" applyAlignment="1" applyProtection="1">
      <alignment horizontal="center" vertical="top" wrapText="1"/>
      <protection locked="0"/>
    </xf>
    <xf numFmtId="49" fontId="33" fillId="12" borderId="6" xfId="0" applyNumberFormat="1" applyFont="1" applyFill="1" applyBorder="1" applyAlignment="1" applyProtection="1">
      <alignment horizontal="center" vertical="top" wrapText="1"/>
      <protection locked="0"/>
    </xf>
    <xf numFmtId="49" fontId="33" fillId="12" borderId="8" xfId="0" applyNumberFormat="1" applyFont="1" applyFill="1" applyBorder="1" applyAlignment="1" applyProtection="1">
      <alignment horizontal="center" vertical="top" wrapText="1"/>
      <protection locked="0"/>
    </xf>
    <xf numFmtId="49" fontId="33" fillId="0" borderId="6" xfId="0" applyNumberFormat="1" applyFont="1" applyBorder="1" applyAlignment="1" applyProtection="1">
      <alignment horizontal="center" vertical="center" wrapText="1"/>
      <protection locked="0"/>
    </xf>
    <xf numFmtId="49" fontId="33" fillId="0" borderId="8" xfId="0" applyNumberFormat="1" applyFont="1" applyBorder="1" applyAlignment="1" applyProtection="1">
      <alignment horizontal="center" vertical="center" wrapText="1"/>
      <protection locked="0"/>
    </xf>
    <xf numFmtId="0" fontId="33" fillId="0" borderId="13" xfId="12" applyFont="1" applyBorder="1" applyAlignment="1">
      <alignment horizontal="center" vertical="top" wrapText="1"/>
    </xf>
    <xf numFmtId="49" fontId="43" fillId="11" borderId="2" xfId="0" applyNumberFormat="1" applyFont="1" applyFill="1" applyBorder="1" applyAlignment="1">
      <alignment horizontal="center" vertical="center" wrapText="1"/>
    </xf>
    <xf numFmtId="49" fontId="43" fillId="11" borderId="3" xfId="0" applyNumberFormat="1" applyFont="1" applyFill="1" applyBorder="1" applyAlignment="1">
      <alignment horizontal="center" vertical="center" wrapText="1"/>
    </xf>
    <xf numFmtId="49" fontId="43" fillId="11" borderId="4" xfId="0" applyNumberFormat="1" applyFont="1" applyFill="1" applyBorder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/>
    </xf>
    <xf numFmtId="0" fontId="36" fillId="0" borderId="13" xfId="0" applyFont="1" applyBorder="1" applyAlignment="1">
      <alignment horizontal="center" vertical="top" wrapText="1"/>
    </xf>
    <xf numFmtId="49" fontId="33" fillId="0" borderId="13" xfId="0" applyNumberFormat="1" applyFont="1" applyBorder="1" applyAlignment="1" applyProtection="1">
      <alignment horizontal="center" vertical="top" wrapText="1"/>
      <protection locked="0"/>
    </xf>
    <xf numFmtId="49" fontId="12" fillId="0" borderId="0" xfId="0" applyNumberFormat="1" applyFont="1" applyAlignment="1">
      <alignment horizontal="center" vertical="center" wrapText="1"/>
    </xf>
    <xf numFmtId="49" fontId="43" fillId="10" borderId="14" xfId="0" applyNumberFormat="1" applyFont="1" applyFill="1" applyBorder="1" applyAlignment="1">
      <alignment horizontal="center" vertical="center" wrapText="1"/>
    </xf>
    <xf numFmtId="49" fontId="43" fillId="10" borderId="15" xfId="0" applyNumberFormat="1" applyFont="1" applyFill="1" applyBorder="1" applyAlignment="1">
      <alignment horizontal="center" vertical="center" wrapText="1"/>
    </xf>
    <xf numFmtId="49" fontId="43" fillId="6" borderId="3" xfId="0" applyNumberFormat="1" applyFont="1" applyFill="1" applyBorder="1" applyAlignment="1">
      <alignment horizontal="center" vertical="center" wrapText="1"/>
    </xf>
    <xf numFmtId="49" fontId="43" fillId="6" borderId="16" xfId="0" applyNumberFormat="1" applyFont="1" applyFill="1" applyBorder="1" applyAlignment="1">
      <alignment horizontal="center" vertical="center" wrapText="1"/>
    </xf>
    <xf numFmtId="49" fontId="43" fillId="10" borderId="13" xfId="0" applyNumberFormat="1" applyFont="1" applyFill="1" applyBorder="1" applyAlignment="1">
      <alignment horizontal="center" vertical="center" wrapText="1"/>
    </xf>
    <xf numFmtId="0" fontId="14" fillId="0" borderId="5" xfId="4" applyFont="1" applyBorder="1" applyAlignment="1">
      <alignment horizontal="center" vertical="center"/>
    </xf>
    <xf numFmtId="0" fontId="14" fillId="0" borderId="6" xfId="4" applyFont="1" applyBorder="1" applyAlignment="1">
      <alignment horizontal="center" vertical="center"/>
    </xf>
    <xf numFmtId="0" fontId="14" fillId="0" borderId="8" xfId="4" applyFont="1" applyBorder="1" applyAlignment="1">
      <alignment horizontal="center" vertical="center"/>
    </xf>
    <xf numFmtId="0" fontId="14" fillId="0" borderId="7" xfId="4" applyFont="1" applyBorder="1" applyAlignment="1">
      <alignment horizontal="center" vertical="center"/>
    </xf>
    <xf numFmtId="0" fontId="3" fillId="0" borderId="7" xfId="4" applyBorder="1" applyAlignment="1">
      <alignment horizontal="center" vertical="center"/>
    </xf>
    <xf numFmtId="0" fontId="14" fillId="0" borderId="10" xfId="4" applyFont="1" applyBorder="1" applyAlignment="1">
      <alignment horizontal="center" vertical="center"/>
    </xf>
    <xf numFmtId="0" fontId="14" fillId="0" borderId="9" xfId="4" applyFont="1" applyBorder="1" applyAlignment="1">
      <alignment horizontal="center" vertical="center"/>
    </xf>
  </cellXfs>
  <cellStyles count="18">
    <cellStyle name="40% - 강조색3 2 2" xfId="17" xr:uid="{D0059EB3-6980-428C-97C9-7AFFA1AA1027}"/>
    <cellStyle name="Excel Built-in Normal" xfId="1" xr:uid="{00000000-0005-0000-0000-000000000000}"/>
    <cellStyle name="Normal 2" xfId="5" xr:uid="{00000000-0005-0000-0000-000001000000}"/>
    <cellStyle name="Normal 2 2" xfId="6" xr:uid="{00000000-0005-0000-0000-000002000000}"/>
    <cellStyle name="Normal 3" xfId="7" xr:uid="{00000000-0005-0000-0000-000003000000}"/>
    <cellStyle name="메모 2" xfId="8" xr:uid="{00000000-0005-0000-0000-000004000000}"/>
    <cellStyle name="표준" xfId="0" builtinId="0"/>
    <cellStyle name="표준 2" xfId="2" xr:uid="{00000000-0005-0000-0000-000006000000}"/>
    <cellStyle name="표준 2 2" xfId="11" xr:uid="{00000000-0005-0000-0000-000007000000}"/>
    <cellStyle name="표준 2 3" xfId="14" xr:uid="{00000000-0005-0000-0000-000008000000}"/>
    <cellStyle name="표준 3" xfId="4" xr:uid="{00000000-0005-0000-0000-000009000000}"/>
    <cellStyle name="표준 3 2" xfId="15" xr:uid="{00000000-0005-0000-0000-00000A000000}"/>
    <cellStyle name="표준 4" xfId="9" xr:uid="{00000000-0005-0000-0000-00000B000000}"/>
    <cellStyle name="표준 5" xfId="3" xr:uid="{00000000-0005-0000-0000-00000C000000}"/>
    <cellStyle name="표준 55" xfId="10" xr:uid="{00000000-0005-0000-0000-00000D000000}"/>
    <cellStyle name="표준 6" xfId="13" xr:uid="{00000000-0005-0000-0000-00000E000000}"/>
    <cellStyle name="표준 7" xfId="16" xr:uid="{00000000-0005-0000-0000-00000F000000}"/>
    <cellStyle name="표준_컨텐츠 메타 정보_(내일의 요이치, 카난)" xfId="12" xr:uid="{00000000-0005-0000-0000-000010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7F7F7F"/>
      <rgbColor rgb="009999FF"/>
      <rgbColor rgb="00993366"/>
      <rgbColor rgb="00F9FBFD"/>
      <rgbColor rgb="00F2F2F2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9D9D9"/>
      <rgbColor rgb="00FFFF99"/>
      <rgbColor rgb="008EB4E3"/>
      <rgbColor rgb="00FF99CC"/>
      <rgbColor rgb="00CC99FF"/>
      <rgbColor rgb="00FFCC99"/>
      <rgbColor rgb="00558ED5"/>
      <rgbColor rgb="0033CCCC"/>
      <rgbColor rgb="0099CC00"/>
      <rgbColor rgb="00FFCC00"/>
      <rgbColor rgb="00FF9900"/>
      <rgbColor rgb="00E46C0A"/>
      <rgbColor rgb="00595959"/>
      <rgbColor rgb="00969696"/>
      <rgbColor rgb="00003366"/>
      <rgbColor rgb="00339966"/>
      <rgbColor rgb="00003300"/>
      <rgbColor rgb="00333300"/>
      <rgbColor rgb="00DD0806"/>
      <rgbColor rgb="00993366"/>
      <rgbColor rgb="00333399"/>
      <rgbColor rgb="0040404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VOD\01.&#51089;&#54408;&#48324;\2021\00.&#46108;&#45796;(01.09)\&#47700;&#53440;\IPTV\&#47700;&#53440;%20&#44592;&#48376;%20&#50577;&#49885;(KT)_&#46108;&#45796;%20&#47952;&#46304;_&#46041;&#49884;&#48169;&#50689;_&#52572;&#5133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1.VOD\01.&#51089;&#54408;&#48324;\2021\02.&#50725;&#53664;&#45339;%20&#50689;&#50612;&#46041;&#50836;\&#47700;&#53440;&#51088;&#47308;\KT_&#47700;&#53440;&#50577;&#49885;_&#50725;&#53664;&#45339;&#44284;%20&#45432;&#47000;&#54644;&#50836;_&#50689;&#5061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콘텐츠메타 입력"/>
      <sheetName val="공통코드"/>
      <sheetName val="국가"/>
      <sheetName val="언어"/>
      <sheetName val="장르"/>
      <sheetName val="Sheet1"/>
    </sheetNames>
    <sheetDataSet>
      <sheetData sheetId="0"/>
      <sheetData sheetId="1">
        <row r="16">
          <cell r="C16" t="str">
            <v>STANDARD</v>
          </cell>
        </row>
        <row r="196">
          <cell r="D196" t="str">
            <v>00:전체관람가</v>
          </cell>
        </row>
        <row r="197">
          <cell r="D197" t="str">
            <v>12:12세이상</v>
          </cell>
        </row>
        <row r="198">
          <cell r="D198" t="str">
            <v>15:15세이상</v>
          </cell>
        </row>
        <row r="199">
          <cell r="D199" t="str">
            <v>18:청소년관람불가</v>
          </cell>
        </row>
      </sheetData>
      <sheetData sheetId="2"/>
      <sheetData sheetId="3">
        <row r="2">
          <cell r="C2" t="str">
            <v>한국어</v>
          </cell>
        </row>
      </sheetData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콘텐츠메타 입력"/>
      <sheetName val="공통코드"/>
      <sheetName val="국가"/>
      <sheetName val="언어"/>
      <sheetName val="장르"/>
      <sheetName val="Sheet1"/>
    </sheetNames>
    <sheetDataSet>
      <sheetData sheetId="0"/>
      <sheetData sheetId="1">
        <row r="196">
          <cell r="D196" t="str">
            <v>00:전체관람가</v>
          </cell>
        </row>
        <row r="197">
          <cell r="D197" t="str">
            <v>12:12세이상</v>
          </cell>
        </row>
        <row r="198">
          <cell r="D198" t="str">
            <v>15:15세이상</v>
          </cell>
        </row>
        <row r="199">
          <cell r="D199" t="str">
            <v>18:청소년관람불가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73"/>
  <sheetViews>
    <sheetView tabSelected="1" zoomScale="70" zoomScaleNormal="70" workbookViewId="0">
      <selection activeCell="H17" sqref="H17"/>
    </sheetView>
  </sheetViews>
  <sheetFormatPr defaultRowHeight="12"/>
  <cols>
    <col min="1" max="1" width="2.7109375" customWidth="1"/>
    <col min="2" max="2" width="6.28515625" customWidth="1"/>
    <col min="3" max="3" width="14.85546875" customWidth="1"/>
    <col min="4" max="4" width="16.85546875" bestFit="1" customWidth="1"/>
    <col min="5" max="5" width="53.42578125" customWidth="1"/>
    <col min="6" max="6" width="9.140625" style="51"/>
    <col min="7" max="7" width="45.5703125" style="68" customWidth="1"/>
    <col min="8" max="8" width="144.42578125" customWidth="1"/>
    <col min="9" max="9" width="9.140625" customWidth="1"/>
    <col min="10" max="10" width="13.7109375" customWidth="1"/>
    <col min="11" max="11" width="13.5703125" bestFit="1" customWidth="1"/>
    <col min="12" max="12" width="14" customWidth="1"/>
    <col min="13" max="14" width="19.28515625" customWidth="1"/>
    <col min="15" max="15" width="8.5703125" customWidth="1"/>
    <col min="16" max="16" width="6.85546875" customWidth="1"/>
    <col min="17" max="17" width="13.28515625" customWidth="1"/>
    <col min="19" max="19" width="10.7109375" customWidth="1"/>
  </cols>
  <sheetData>
    <row r="1" spans="1:19" s="3" customFormat="1" ht="27" customHeight="1"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7"/>
      <c r="S1" s="97"/>
    </row>
    <row r="2" spans="1:19" s="3" customFormat="1" ht="27" customHeight="1">
      <c r="B2" s="55"/>
      <c r="C2" s="56"/>
      <c r="D2" s="91" t="s">
        <v>2003</v>
      </c>
      <c r="E2" s="92"/>
      <c r="F2" s="93"/>
      <c r="G2" s="57" t="s">
        <v>8</v>
      </c>
      <c r="H2" s="58" t="s">
        <v>1989</v>
      </c>
      <c r="I2" s="100"/>
      <c r="J2" s="101"/>
      <c r="K2" s="100"/>
      <c r="L2" s="100"/>
      <c r="M2" s="100"/>
      <c r="N2" s="102" t="s">
        <v>0</v>
      </c>
      <c r="O2" s="102"/>
      <c r="P2" s="102"/>
      <c r="Q2" s="102"/>
      <c r="R2" s="98" t="s">
        <v>1</v>
      </c>
      <c r="S2" s="99"/>
    </row>
    <row r="3" spans="1:19" s="3" customFormat="1" ht="57.75" customHeight="1">
      <c r="B3" s="55"/>
      <c r="C3" s="59" t="s">
        <v>2</v>
      </c>
      <c r="D3" s="60" t="s">
        <v>1991</v>
      </c>
      <c r="E3" s="60" t="s">
        <v>1992</v>
      </c>
      <c r="F3" s="60" t="s">
        <v>1988</v>
      </c>
      <c r="G3" s="61" t="s">
        <v>9</v>
      </c>
      <c r="H3" s="62" t="s">
        <v>2000</v>
      </c>
      <c r="I3" s="63" t="s">
        <v>1994</v>
      </c>
      <c r="J3" s="63" t="s">
        <v>1993</v>
      </c>
      <c r="K3" s="63" t="s">
        <v>1995</v>
      </c>
      <c r="L3" s="63" t="s">
        <v>1996</v>
      </c>
      <c r="M3" s="63" t="s">
        <v>1997</v>
      </c>
      <c r="N3" s="69" t="s">
        <v>2004</v>
      </c>
      <c r="O3" s="64" t="s">
        <v>1998</v>
      </c>
      <c r="P3" s="64" t="s">
        <v>1999</v>
      </c>
      <c r="Q3" s="64" t="s">
        <v>3</v>
      </c>
      <c r="R3" s="64" t="s">
        <v>5</v>
      </c>
      <c r="S3" s="64" t="s">
        <v>10</v>
      </c>
    </row>
    <row r="4" spans="1:19" s="2" customFormat="1" ht="15" customHeight="1">
      <c r="A4" s="1"/>
      <c r="B4" s="77">
        <v>1</v>
      </c>
      <c r="C4" s="96" t="s">
        <v>2002</v>
      </c>
      <c r="D4" s="95" t="s">
        <v>2150</v>
      </c>
      <c r="E4" s="90" t="s">
        <v>2147</v>
      </c>
      <c r="F4" s="77">
        <v>1</v>
      </c>
      <c r="G4" s="65" t="s">
        <v>2012</v>
      </c>
      <c r="H4" s="70" t="s">
        <v>2011</v>
      </c>
      <c r="I4" s="88"/>
      <c r="J4" s="84" t="s">
        <v>2148</v>
      </c>
      <c r="K4" s="84"/>
      <c r="L4" s="86" t="s">
        <v>2149</v>
      </c>
      <c r="M4" s="84" t="s">
        <v>2149</v>
      </c>
      <c r="N4" s="77" t="s">
        <v>2005</v>
      </c>
      <c r="O4" s="54" t="s">
        <v>1990</v>
      </c>
      <c r="P4" s="54" t="s">
        <v>7</v>
      </c>
      <c r="Q4" s="54" t="s">
        <v>2001</v>
      </c>
      <c r="R4" s="53" t="s">
        <v>2006</v>
      </c>
      <c r="S4" s="53" t="s">
        <v>1647</v>
      </c>
    </row>
    <row r="5" spans="1:19" ht="15" customHeight="1">
      <c r="B5" s="80"/>
      <c r="C5" s="96"/>
      <c r="D5" s="95"/>
      <c r="E5" s="90"/>
      <c r="F5" s="80"/>
      <c r="G5" s="65" t="s">
        <v>2013</v>
      </c>
      <c r="H5" s="70" t="s">
        <v>2029</v>
      </c>
      <c r="I5" s="89"/>
      <c r="J5" s="85"/>
      <c r="K5" s="85"/>
      <c r="L5" s="87"/>
      <c r="M5" s="85"/>
      <c r="N5" s="80"/>
      <c r="O5" s="54" t="s">
        <v>1990</v>
      </c>
      <c r="P5" s="54" t="s">
        <v>7</v>
      </c>
      <c r="Q5" s="54" t="s">
        <v>2001</v>
      </c>
      <c r="R5" s="53" t="s">
        <v>2006</v>
      </c>
      <c r="S5" s="53" t="s">
        <v>1647</v>
      </c>
    </row>
    <row r="6" spans="1:19" ht="15" customHeight="1">
      <c r="B6" s="78"/>
      <c r="C6" s="96"/>
      <c r="D6" s="95"/>
      <c r="E6" s="90"/>
      <c r="F6" s="78"/>
      <c r="G6" s="65" t="s">
        <v>2014</v>
      </c>
      <c r="H6" s="70" t="s">
        <v>2028</v>
      </c>
      <c r="I6" s="89"/>
      <c r="J6" s="85"/>
      <c r="K6" s="85"/>
      <c r="L6" s="87"/>
      <c r="M6" s="85"/>
      <c r="N6" s="78"/>
      <c r="O6" s="54" t="s">
        <v>1990</v>
      </c>
      <c r="P6" s="54" t="s">
        <v>7</v>
      </c>
      <c r="Q6" s="54" t="s">
        <v>2001</v>
      </c>
      <c r="R6" s="53" t="s">
        <v>2006</v>
      </c>
      <c r="S6" s="53" t="s">
        <v>1647</v>
      </c>
    </row>
    <row r="7" spans="1:19" ht="15" customHeight="1">
      <c r="B7" s="77">
        <v>2</v>
      </c>
      <c r="C7" s="96"/>
      <c r="D7" s="95"/>
      <c r="E7" s="90"/>
      <c r="F7" s="77">
        <v>2</v>
      </c>
      <c r="G7" s="65" t="s">
        <v>2015</v>
      </c>
      <c r="H7" s="70" t="s">
        <v>2027</v>
      </c>
      <c r="I7" s="89"/>
      <c r="J7" s="85"/>
      <c r="K7" s="85"/>
      <c r="L7" s="87"/>
      <c r="M7" s="85"/>
      <c r="N7" s="77" t="s">
        <v>2005</v>
      </c>
      <c r="O7" s="54" t="s">
        <v>1990</v>
      </c>
      <c r="P7" s="54" t="s">
        <v>7</v>
      </c>
      <c r="Q7" s="54" t="s">
        <v>2001</v>
      </c>
      <c r="R7" s="53" t="s">
        <v>2006</v>
      </c>
      <c r="S7" s="53" t="s">
        <v>1647</v>
      </c>
    </row>
    <row r="8" spans="1:19" ht="15" customHeight="1">
      <c r="B8" s="80"/>
      <c r="C8" s="96"/>
      <c r="D8" s="95"/>
      <c r="E8" s="90"/>
      <c r="F8" s="80"/>
      <c r="G8" s="65" t="s">
        <v>2016</v>
      </c>
      <c r="H8" s="70" t="s">
        <v>2026</v>
      </c>
      <c r="I8" s="89"/>
      <c r="J8" s="85"/>
      <c r="K8" s="85"/>
      <c r="L8" s="87"/>
      <c r="M8" s="85"/>
      <c r="N8" s="80"/>
      <c r="O8" s="54" t="s">
        <v>1990</v>
      </c>
      <c r="P8" s="54" t="s">
        <v>7</v>
      </c>
      <c r="Q8" s="54" t="s">
        <v>2001</v>
      </c>
      <c r="R8" s="53" t="s">
        <v>2006</v>
      </c>
      <c r="S8" s="53" t="s">
        <v>1647</v>
      </c>
    </row>
    <row r="9" spans="1:19" ht="15" customHeight="1">
      <c r="B9" s="78"/>
      <c r="C9" s="96"/>
      <c r="D9" s="95"/>
      <c r="E9" s="90"/>
      <c r="F9" s="78"/>
      <c r="G9" s="65" t="s">
        <v>2042</v>
      </c>
      <c r="H9" s="71" t="s">
        <v>2025</v>
      </c>
      <c r="I9" s="89"/>
      <c r="J9" s="85"/>
      <c r="K9" s="85"/>
      <c r="L9" s="87"/>
      <c r="M9" s="85"/>
      <c r="N9" s="78"/>
      <c r="O9" s="54" t="s">
        <v>1990</v>
      </c>
      <c r="P9" s="54" t="s">
        <v>7</v>
      </c>
      <c r="Q9" s="54" t="s">
        <v>2001</v>
      </c>
      <c r="R9" s="53" t="s">
        <v>2006</v>
      </c>
      <c r="S9" s="53" t="s">
        <v>1647</v>
      </c>
    </row>
    <row r="10" spans="1:19" ht="15" customHeight="1">
      <c r="B10" s="77">
        <v>3</v>
      </c>
      <c r="C10" s="96"/>
      <c r="D10" s="95"/>
      <c r="E10" s="90"/>
      <c r="F10" s="77">
        <v>3</v>
      </c>
      <c r="G10" s="65" t="s">
        <v>2017</v>
      </c>
      <c r="H10" s="70" t="s">
        <v>2024</v>
      </c>
      <c r="I10" s="89"/>
      <c r="J10" s="85"/>
      <c r="K10" s="85"/>
      <c r="L10" s="87"/>
      <c r="M10" s="85"/>
      <c r="N10" s="77" t="s">
        <v>2005</v>
      </c>
      <c r="O10" s="54" t="s">
        <v>1990</v>
      </c>
      <c r="P10" s="54" t="s">
        <v>7</v>
      </c>
      <c r="Q10" s="54" t="s">
        <v>2001</v>
      </c>
      <c r="R10" s="53" t="s">
        <v>2006</v>
      </c>
      <c r="S10" s="53" t="s">
        <v>1647</v>
      </c>
    </row>
    <row r="11" spans="1:19" ht="15" customHeight="1">
      <c r="B11" s="78"/>
      <c r="C11" s="96"/>
      <c r="D11" s="95"/>
      <c r="E11" s="90"/>
      <c r="F11" s="78"/>
      <c r="G11" s="65" t="s">
        <v>2018</v>
      </c>
      <c r="H11" s="70" t="s">
        <v>2023</v>
      </c>
      <c r="I11" s="89"/>
      <c r="J11" s="85"/>
      <c r="K11" s="85"/>
      <c r="L11" s="87"/>
      <c r="M11" s="85"/>
      <c r="N11" s="78"/>
      <c r="O11" s="54" t="s">
        <v>1990</v>
      </c>
      <c r="P11" s="54" t="s">
        <v>7</v>
      </c>
      <c r="Q11" s="54" t="s">
        <v>2001</v>
      </c>
      <c r="R11" s="53" t="s">
        <v>2006</v>
      </c>
      <c r="S11" s="53" t="s">
        <v>1647</v>
      </c>
    </row>
    <row r="12" spans="1:19" ht="15" customHeight="1">
      <c r="B12" s="77">
        <v>4</v>
      </c>
      <c r="C12" s="96"/>
      <c r="D12" s="95"/>
      <c r="E12" s="90"/>
      <c r="F12" s="77">
        <v>4</v>
      </c>
      <c r="G12" s="65" t="s">
        <v>2019</v>
      </c>
      <c r="H12" s="70" t="s">
        <v>2022</v>
      </c>
      <c r="I12" s="89"/>
      <c r="J12" s="85"/>
      <c r="K12" s="85"/>
      <c r="L12" s="87"/>
      <c r="M12" s="85"/>
      <c r="N12" s="77" t="s">
        <v>2005</v>
      </c>
      <c r="O12" s="54" t="s">
        <v>1990</v>
      </c>
      <c r="P12" s="54" t="s">
        <v>7</v>
      </c>
      <c r="Q12" s="54" t="s">
        <v>2001</v>
      </c>
      <c r="R12" s="53" t="s">
        <v>2006</v>
      </c>
      <c r="S12" s="53" t="s">
        <v>1647</v>
      </c>
    </row>
    <row r="13" spans="1:19" ht="15" customHeight="1">
      <c r="B13" s="80"/>
      <c r="C13" s="96"/>
      <c r="D13" s="95"/>
      <c r="E13" s="90"/>
      <c r="F13" s="80"/>
      <c r="G13" s="65" t="s">
        <v>2020</v>
      </c>
      <c r="H13" s="70" t="s">
        <v>2021</v>
      </c>
      <c r="I13" s="89"/>
      <c r="J13" s="85"/>
      <c r="K13" s="85"/>
      <c r="L13" s="87"/>
      <c r="M13" s="85"/>
      <c r="N13" s="80"/>
      <c r="O13" s="54" t="s">
        <v>1990</v>
      </c>
      <c r="P13" s="54" t="s">
        <v>7</v>
      </c>
      <c r="Q13" s="54" t="s">
        <v>2001</v>
      </c>
      <c r="R13" s="53" t="s">
        <v>2006</v>
      </c>
      <c r="S13" s="53" t="s">
        <v>1647</v>
      </c>
    </row>
    <row r="14" spans="1:19" ht="15" customHeight="1">
      <c r="B14" s="78"/>
      <c r="C14" s="96"/>
      <c r="D14" s="95"/>
      <c r="E14" s="90"/>
      <c r="F14" s="78"/>
      <c r="G14" s="65" t="s">
        <v>2145</v>
      </c>
      <c r="H14" s="70" t="s">
        <v>2030</v>
      </c>
      <c r="I14" s="89"/>
      <c r="J14" s="85"/>
      <c r="K14" s="85"/>
      <c r="L14" s="87"/>
      <c r="M14" s="85"/>
      <c r="N14" s="78"/>
      <c r="O14" s="54" t="s">
        <v>1990</v>
      </c>
      <c r="P14" s="54" t="s">
        <v>7</v>
      </c>
      <c r="Q14" s="54" t="s">
        <v>2001</v>
      </c>
      <c r="R14" s="53" t="s">
        <v>2006</v>
      </c>
      <c r="S14" s="53" t="s">
        <v>1647</v>
      </c>
    </row>
    <row r="15" spans="1:19" ht="15" customHeight="1">
      <c r="B15" s="77">
        <v>5</v>
      </c>
      <c r="C15" s="96"/>
      <c r="D15" s="95"/>
      <c r="E15" s="90"/>
      <c r="F15" s="77">
        <v>5</v>
      </c>
      <c r="G15" s="65" t="s">
        <v>2031</v>
      </c>
      <c r="H15" s="70" t="s">
        <v>2032</v>
      </c>
      <c r="I15" s="89"/>
      <c r="J15" s="85"/>
      <c r="K15" s="85"/>
      <c r="L15" s="87"/>
      <c r="M15" s="85"/>
      <c r="N15" s="77" t="s">
        <v>2005</v>
      </c>
      <c r="O15" s="54" t="s">
        <v>1990</v>
      </c>
      <c r="P15" s="54" t="s">
        <v>7</v>
      </c>
      <c r="Q15" s="54" t="s">
        <v>2001</v>
      </c>
      <c r="R15" s="53" t="s">
        <v>2006</v>
      </c>
      <c r="S15" s="53" t="s">
        <v>1647</v>
      </c>
    </row>
    <row r="16" spans="1:19" ht="15" customHeight="1">
      <c r="B16" s="78"/>
      <c r="C16" s="96"/>
      <c r="D16" s="95"/>
      <c r="E16" s="90"/>
      <c r="F16" s="78"/>
      <c r="G16" s="65" t="s">
        <v>2034</v>
      </c>
      <c r="H16" s="70" t="s">
        <v>2033</v>
      </c>
      <c r="I16" s="89"/>
      <c r="J16" s="85"/>
      <c r="K16" s="85"/>
      <c r="L16" s="87"/>
      <c r="M16" s="85"/>
      <c r="N16" s="78"/>
      <c r="O16" s="54" t="s">
        <v>1990</v>
      </c>
      <c r="P16" s="54" t="s">
        <v>7</v>
      </c>
      <c r="Q16" s="54" t="s">
        <v>2001</v>
      </c>
      <c r="R16" s="53" t="s">
        <v>2006</v>
      </c>
      <c r="S16" s="53" t="s">
        <v>1647</v>
      </c>
    </row>
    <row r="17" spans="2:19" ht="15" customHeight="1">
      <c r="B17" s="77">
        <v>6</v>
      </c>
      <c r="C17" s="96"/>
      <c r="D17" s="95"/>
      <c r="E17" s="90"/>
      <c r="F17" s="77">
        <v>6</v>
      </c>
      <c r="G17" s="65" t="s">
        <v>2035</v>
      </c>
      <c r="H17" s="70" t="s">
        <v>2036</v>
      </c>
      <c r="I17" s="89"/>
      <c r="J17" s="85"/>
      <c r="K17" s="85"/>
      <c r="L17" s="87"/>
      <c r="M17" s="85"/>
      <c r="N17" s="77" t="s">
        <v>2005</v>
      </c>
      <c r="O17" s="54" t="s">
        <v>1990</v>
      </c>
      <c r="P17" s="54" t="s">
        <v>7</v>
      </c>
      <c r="Q17" s="54" t="s">
        <v>2001</v>
      </c>
      <c r="R17" s="53" t="s">
        <v>2006</v>
      </c>
      <c r="S17" s="53" t="s">
        <v>1647</v>
      </c>
    </row>
    <row r="18" spans="2:19" ht="15" customHeight="1">
      <c r="B18" s="80"/>
      <c r="C18" s="96"/>
      <c r="D18" s="95"/>
      <c r="E18" s="90"/>
      <c r="F18" s="80"/>
      <c r="G18" s="65" t="s">
        <v>2037</v>
      </c>
      <c r="H18" s="70" t="s">
        <v>2038</v>
      </c>
      <c r="I18" s="89"/>
      <c r="J18" s="85"/>
      <c r="K18" s="85"/>
      <c r="L18" s="87"/>
      <c r="M18" s="85"/>
      <c r="N18" s="80"/>
      <c r="O18" s="54" t="s">
        <v>1990</v>
      </c>
      <c r="P18" s="54" t="s">
        <v>7</v>
      </c>
      <c r="Q18" s="54" t="s">
        <v>2001</v>
      </c>
      <c r="R18" s="53" t="s">
        <v>2006</v>
      </c>
      <c r="S18" s="53" t="s">
        <v>1647</v>
      </c>
    </row>
    <row r="19" spans="2:19" ht="15" customHeight="1">
      <c r="B19" s="78"/>
      <c r="C19" s="96"/>
      <c r="D19" s="95"/>
      <c r="E19" s="90"/>
      <c r="F19" s="78"/>
      <c r="G19" s="65" t="s">
        <v>2039</v>
      </c>
      <c r="H19" s="70" t="s">
        <v>2040</v>
      </c>
      <c r="I19" s="89"/>
      <c r="J19" s="85"/>
      <c r="K19" s="85"/>
      <c r="L19" s="87"/>
      <c r="M19" s="85"/>
      <c r="N19" s="78"/>
      <c r="O19" s="54" t="s">
        <v>1990</v>
      </c>
      <c r="P19" s="54" t="s">
        <v>7</v>
      </c>
      <c r="Q19" s="54" t="s">
        <v>2001</v>
      </c>
      <c r="R19" s="53" t="s">
        <v>2006</v>
      </c>
      <c r="S19" s="53" t="s">
        <v>1647</v>
      </c>
    </row>
    <row r="20" spans="2:19" ht="15" customHeight="1">
      <c r="B20" s="77">
        <v>7</v>
      </c>
      <c r="C20" s="96"/>
      <c r="D20" s="95"/>
      <c r="E20" s="90"/>
      <c r="F20" s="77">
        <v>7</v>
      </c>
      <c r="G20" s="65" t="s">
        <v>2041</v>
      </c>
      <c r="H20" s="70" t="s">
        <v>2043</v>
      </c>
      <c r="I20" s="89"/>
      <c r="J20" s="85"/>
      <c r="K20" s="85"/>
      <c r="L20" s="87"/>
      <c r="M20" s="85"/>
      <c r="N20" s="77" t="s">
        <v>2005</v>
      </c>
      <c r="O20" s="54" t="s">
        <v>1990</v>
      </c>
      <c r="P20" s="54" t="s">
        <v>7</v>
      </c>
      <c r="Q20" s="54" t="s">
        <v>2001</v>
      </c>
      <c r="R20" s="53" t="s">
        <v>2006</v>
      </c>
      <c r="S20" s="53" t="s">
        <v>1647</v>
      </c>
    </row>
    <row r="21" spans="2:19" ht="15" customHeight="1">
      <c r="B21" s="78"/>
      <c r="C21" s="96"/>
      <c r="D21" s="95"/>
      <c r="E21" s="90"/>
      <c r="F21" s="78"/>
      <c r="G21" s="65" t="s">
        <v>2044</v>
      </c>
      <c r="H21" s="70" t="s">
        <v>2045</v>
      </c>
      <c r="I21" s="89"/>
      <c r="J21" s="85"/>
      <c r="K21" s="85"/>
      <c r="L21" s="87"/>
      <c r="M21" s="85"/>
      <c r="N21" s="78"/>
      <c r="O21" s="54" t="s">
        <v>1990</v>
      </c>
      <c r="P21" s="54" t="s">
        <v>7</v>
      </c>
      <c r="Q21" s="54" t="s">
        <v>2001</v>
      </c>
      <c r="R21" s="53" t="s">
        <v>2006</v>
      </c>
      <c r="S21" s="53" t="s">
        <v>1647</v>
      </c>
    </row>
    <row r="22" spans="2:19" ht="15" customHeight="1">
      <c r="B22" s="77">
        <v>8</v>
      </c>
      <c r="C22" s="96"/>
      <c r="D22" s="95"/>
      <c r="E22" s="90"/>
      <c r="F22" s="77">
        <v>8</v>
      </c>
      <c r="G22" s="65" t="s">
        <v>2047</v>
      </c>
      <c r="H22" s="70" t="s">
        <v>2046</v>
      </c>
      <c r="I22" s="89"/>
      <c r="J22" s="85"/>
      <c r="K22" s="85"/>
      <c r="L22" s="87"/>
      <c r="M22" s="85"/>
      <c r="N22" s="77" t="s">
        <v>2005</v>
      </c>
      <c r="O22" s="54" t="s">
        <v>1990</v>
      </c>
      <c r="P22" s="54" t="s">
        <v>7</v>
      </c>
      <c r="Q22" s="54" t="s">
        <v>2001</v>
      </c>
      <c r="R22" s="53" t="s">
        <v>2006</v>
      </c>
      <c r="S22" s="53" t="s">
        <v>1647</v>
      </c>
    </row>
    <row r="23" spans="2:19" ht="15" customHeight="1">
      <c r="B23" s="78"/>
      <c r="C23" s="96"/>
      <c r="D23" s="95"/>
      <c r="E23" s="90"/>
      <c r="F23" s="78"/>
      <c r="G23" s="65" t="s">
        <v>2049</v>
      </c>
      <c r="H23" s="70" t="s">
        <v>2048</v>
      </c>
      <c r="I23" s="89"/>
      <c r="J23" s="85"/>
      <c r="K23" s="85"/>
      <c r="L23" s="87"/>
      <c r="M23" s="85"/>
      <c r="N23" s="78"/>
      <c r="O23" s="54" t="s">
        <v>1990</v>
      </c>
      <c r="P23" s="54" t="s">
        <v>7</v>
      </c>
      <c r="Q23" s="54" t="s">
        <v>2001</v>
      </c>
      <c r="R23" s="53" t="s">
        <v>2006</v>
      </c>
      <c r="S23" s="53" t="s">
        <v>1647</v>
      </c>
    </row>
    <row r="24" spans="2:19" ht="15" customHeight="1">
      <c r="B24" s="77">
        <v>9</v>
      </c>
      <c r="C24" s="96"/>
      <c r="D24" s="95"/>
      <c r="E24" s="90"/>
      <c r="F24" s="77">
        <v>9</v>
      </c>
      <c r="G24" s="65" t="s">
        <v>2051</v>
      </c>
      <c r="H24" s="70" t="s">
        <v>2050</v>
      </c>
      <c r="I24" s="89"/>
      <c r="J24" s="85"/>
      <c r="K24" s="85"/>
      <c r="L24" s="87"/>
      <c r="M24" s="85"/>
      <c r="N24" s="77" t="s">
        <v>2005</v>
      </c>
      <c r="O24" s="54" t="s">
        <v>1990</v>
      </c>
      <c r="P24" s="54" t="s">
        <v>7</v>
      </c>
      <c r="Q24" s="54" t="s">
        <v>2001</v>
      </c>
      <c r="R24" s="53" t="s">
        <v>2006</v>
      </c>
      <c r="S24" s="53" t="s">
        <v>1647</v>
      </c>
    </row>
    <row r="25" spans="2:19" ht="15" customHeight="1">
      <c r="B25" s="78"/>
      <c r="C25" s="96"/>
      <c r="D25" s="95"/>
      <c r="E25" s="90"/>
      <c r="F25" s="78"/>
      <c r="G25" s="65" t="s">
        <v>2053</v>
      </c>
      <c r="H25" s="70" t="s">
        <v>2052</v>
      </c>
      <c r="I25" s="89"/>
      <c r="J25" s="85"/>
      <c r="K25" s="85"/>
      <c r="L25" s="87"/>
      <c r="M25" s="85"/>
      <c r="N25" s="78"/>
      <c r="O25" s="54" t="s">
        <v>1990</v>
      </c>
      <c r="P25" s="54" t="s">
        <v>7</v>
      </c>
      <c r="Q25" s="54" t="s">
        <v>2001</v>
      </c>
      <c r="R25" s="53" t="s">
        <v>2006</v>
      </c>
      <c r="S25" s="53" t="s">
        <v>1647</v>
      </c>
    </row>
    <row r="26" spans="2:19" ht="15" customHeight="1">
      <c r="B26" s="77">
        <v>10</v>
      </c>
      <c r="C26" s="96"/>
      <c r="D26" s="95"/>
      <c r="E26" s="90"/>
      <c r="F26" s="77">
        <v>10</v>
      </c>
      <c r="G26" s="65" t="s">
        <v>2054</v>
      </c>
      <c r="H26" s="70" t="s">
        <v>2055</v>
      </c>
      <c r="I26" s="89"/>
      <c r="J26" s="85"/>
      <c r="K26" s="85"/>
      <c r="L26" s="87"/>
      <c r="M26" s="85"/>
      <c r="N26" s="77" t="s">
        <v>2005</v>
      </c>
      <c r="O26" s="54" t="s">
        <v>1990</v>
      </c>
      <c r="P26" s="54" t="s">
        <v>7</v>
      </c>
      <c r="Q26" s="54" t="s">
        <v>2001</v>
      </c>
      <c r="R26" s="53" t="s">
        <v>2006</v>
      </c>
      <c r="S26" s="53" t="s">
        <v>1647</v>
      </c>
    </row>
    <row r="27" spans="2:19" ht="15" customHeight="1">
      <c r="B27" s="78"/>
      <c r="C27" s="96"/>
      <c r="D27" s="95"/>
      <c r="E27" s="90"/>
      <c r="F27" s="78"/>
      <c r="G27" s="65" t="s">
        <v>2057</v>
      </c>
      <c r="H27" s="70" t="s">
        <v>2056</v>
      </c>
      <c r="I27" s="89"/>
      <c r="J27" s="85"/>
      <c r="K27" s="85"/>
      <c r="L27" s="87"/>
      <c r="M27" s="85"/>
      <c r="N27" s="78"/>
      <c r="O27" s="54" t="s">
        <v>1990</v>
      </c>
      <c r="P27" s="54" t="s">
        <v>7</v>
      </c>
      <c r="Q27" s="54" t="s">
        <v>2001</v>
      </c>
      <c r="R27" s="53" t="s">
        <v>2006</v>
      </c>
      <c r="S27" s="53" t="s">
        <v>1647</v>
      </c>
    </row>
    <row r="28" spans="2:19" ht="15" customHeight="1">
      <c r="B28" s="77">
        <v>11</v>
      </c>
      <c r="C28" s="96"/>
      <c r="D28" s="95"/>
      <c r="E28" s="90"/>
      <c r="F28" s="77">
        <v>11</v>
      </c>
      <c r="G28" s="76" t="s">
        <v>2058</v>
      </c>
      <c r="H28" s="72" t="s">
        <v>2059</v>
      </c>
      <c r="I28" s="89"/>
      <c r="J28" s="85"/>
      <c r="K28" s="85"/>
      <c r="L28" s="87"/>
      <c r="M28" s="85"/>
      <c r="N28" s="79">
        <v>2.0833333333333332E-2</v>
      </c>
      <c r="O28" s="54" t="s">
        <v>1990</v>
      </c>
      <c r="P28" s="54" t="s">
        <v>7</v>
      </c>
      <c r="Q28" s="54" t="s">
        <v>2001</v>
      </c>
      <c r="R28" s="53" t="s">
        <v>2006</v>
      </c>
      <c r="S28" s="53" t="s">
        <v>1647</v>
      </c>
    </row>
    <row r="29" spans="2:19" ht="15" customHeight="1">
      <c r="B29" s="80"/>
      <c r="C29" s="96"/>
      <c r="D29" s="95"/>
      <c r="E29" s="90"/>
      <c r="F29" s="80"/>
      <c r="G29" s="66" t="s">
        <v>2060</v>
      </c>
      <c r="H29" s="70" t="s">
        <v>2061</v>
      </c>
      <c r="I29" s="89"/>
      <c r="J29" s="85"/>
      <c r="K29" s="85"/>
      <c r="L29" s="87"/>
      <c r="M29" s="85"/>
      <c r="N29" s="80" t="s">
        <v>2005</v>
      </c>
      <c r="O29" s="54" t="s">
        <v>1990</v>
      </c>
      <c r="P29" s="54" t="s">
        <v>7</v>
      </c>
      <c r="Q29" s="54" t="s">
        <v>2001</v>
      </c>
      <c r="R29" s="53" t="s">
        <v>2006</v>
      </c>
      <c r="S29" s="53" t="s">
        <v>1647</v>
      </c>
    </row>
    <row r="30" spans="2:19" ht="15" customHeight="1">
      <c r="B30" s="80"/>
      <c r="C30" s="96"/>
      <c r="D30" s="95"/>
      <c r="E30" s="90"/>
      <c r="F30" s="80"/>
      <c r="G30" s="66" t="s">
        <v>2062</v>
      </c>
      <c r="H30" s="70" t="s">
        <v>2146</v>
      </c>
      <c r="I30" s="89"/>
      <c r="J30" s="85"/>
      <c r="K30" s="85"/>
      <c r="L30" s="87"/>
      <c r="M30" s="85"/>
      <c r="N30" s="80"/>
      <c r="O30" s="54" t="s">
        <v>1990</v>
      </c>
      <c r="P30" s="54" t="s">
        <v>7</v>
      </c>
      <c r="Q30" s="54" t="s">
        <v>2001</v>
      </c>
      <c r="R30" s="53" t="s">
        <v>2006</v>
      </c>
      <c r="S30" s="53" t="s">
        <v>1647</v>
      </c>
    </row>
    <row r="31" spans="2:19" ht="15" customHeight="1">
      <c r="B31" s="78"/>
      <c r="C31" s="96"/>
      <c r="D31" s="95"/>
      <c r="E31" s="90"/>
      <c r="F31" s="78"/>
      <c r="G31" s="66" t="s">
        <v>2063</v>
      </c>
      <c r="H31" s="73" t="s">
        <v>2064</v>
      </c>
      <c r="I31" s="89"/>
      <c r="J31" s="85"/>
      <c r="K31" s="85"/>
      <c r="L31" s="87"/>
      <c r="M31" s="85"/>
      <c r="N31" s="78"/>
      <c r="O31" s="54" t="s">
        <v>1990</v>
      </c>
      <c r="P31" s="54" t="s">
        <v>7</v>
      </c>
      <c r="Q31" s="54" t="s">
        <v>2001</v>
      </c>
      <c r="R31" s="53" t="s">
        <v>2006</v>
      </c>
      <c r="S31" s="53" t="s">
        <v>1647</v>
      </c>
    </row>
    <row r="32" spans="2:19" ht="15" customHeight="1">
      <c r="B32" s="81">
        <v>12</v>
      </c>
      <c r="C32" s="96"/>
      <c r="D32" s="95"/>
      <c r="E32" s="90"/>
      <c r="F32" s="81">
        <v>12</v>
      </c>
      <c r="G32" s="66" t="s">
        <v>2065</v>
      </c>
      <c r="H32" s="74" t="s">
        <v>2066</v>
      </c>
      <c r="I32" s="89"/>
      <c r="J32" s="85"/>
      <c r="K32" s="85"/>
      <c r="L32" s="87"/>
      <c r="M32" s="85"/>
      <c r="N32" s="81" t="s">
        <v>2005</v>
      </c>
      <c r="O32" s="54" t="s">
        <v>1990</v>
      </c>
      <c r="P32" s="54" t="s">
        <v>7</v>
      </c>
      <c r="Q32" s="54" t="s">
        <v>2001</v>
      </c>
      <c r="R32" s="53" t="s">
        <v>2006</v>
      </c>
      <c r="S32" s="53" t="s">
        <v>1647</v>
      </c>
    </row>
    <row r="33" spans="2:19" ht="15" customHeight="1">
      <c r="B33" s="82"/>
      <c r="C33" s="96"/>
      <c r="D33" s="95"/>
      <c r="E33" s="90"/>
      <c r="F33" s="82"/>
      <c r="G33" s="66" t="s">
        <v>2068</v>
      </c>
      <c r="H33" s="74" t="s">
        <v>2067</v>
      </c>
      <c r="I33" s="89"/>
      <c r="J33" s="85"/>
      <c r="K33" s="85"/>
      <c r="L33" s="87"/>
      <c r="M33" s="85"/>
      <c r="N33" s="82"/>
      <c r="O33" s="54" t="s">
        <v>1990</v>
      </c>
      <c r="P33" s="54" t="s">
        <v>7</v>
      </c>
      <c r="Q33" s="54" t="s">
        <v>2001</v>
      </c>
      <c r="R33" s="53" t="s">
        <v>2006</v>
      </c>
      <c r="S33" s="53" t="s">
        <v>1647</v>
      </c>
    </row>
    <row r="34" spans="2:19" ht="15" customHeight="1">
      <c r="B34" s="82"/>
      <c r="C34" s="96"/>
      <c r="D34" s="95"/>
      <c r="E34" s="90"/>
      <c r="F34" s="82"/>
      <c r="G34" s="66" t="s">
        <v>2069</v>
      </c>
      <c r="H34" s="74" t="s">
        <v>2070</v>
      </c>
      <c r="I34" s="89"/>
      <c r="J34" s="85"/>
      <c r="K34" s="85"/>
      <c r="L34" s="87"/>
      <c r="M34" s="85"/>
      <c r="N34" s="82"/>
      <c r="O34" s="54" t="s">
        <v>1990</v>
      </c>
      <c r="P34" s="54" t="s">
        <v>7</v>
      </c>
      <c r="Q34" s="54" t="s">
        <v>2001</v>
      </c>
      <c r="R34" s="53" t="s">
        <v>2006</v>
      </c>
      <c r="S34" s="53" t="s">
        <v>1647</v>
      </c>
    </row>
    <row r="35" spans="2:19" ht="15" customHeight="1">
      <c r="B35" s="82"/>
      <c r="C35" s="96"/>
      <c r="D35" s="95"/>
      <c r="E35" s="90"/>
      <c r="F35" s="82"/>
      <c r="G35" s="66" t="s">
        <v>2071</v>
      </c>
      <c r="H35" s="74" t="s">
        <v>2074</v>
      </c>
      <c r="I35" s="89"/>
      <c r="J35" s="85"/>
      <c r="K35" s="85"/>
      <c r="L35" s="87"/>
      <c r="M35" s="85"/>
      <c r="N35" s="82" t="s">
        <v>2005</v>
      </c>
      <c r="O35" s="54" t="s">
        <v>1990</v>
      </c>
      <c r="P35" s="54" t="s">
        <v>7</v>
      </c>
      <c r="Q35" s="54" t="s">
        <v>2001</v>
      </c>
      <c r="R35" s="53" t="s">
        <v>2006</v>
      </c>
      <c r="S35" s="53" t="s">
        <v>1647</v>
      </c>
    </row>
    <row r="36" spans="2:19" ht="15" customHeight="1">
      <c r="B36" s="83"/>
      <c r="C36" s="96"/>
      <c r="D36" s="95"/>
      <c r="E36" s="90"/>
      <c r="F36" s="83"/>
      <c r="G36" s="66" t="s">
        <v>2072</v>
      </c>
      <c r="H36" s="74" t="s">
        <v>2073</v>
      </c>
      <c r="I36" s="89"/>
      <c r="J36" s="85"/>
      <c r="K36" s="85"/>
      <c r="L36" s="87"/>
      <c r="M36" s="85"/>
      <c r="N36" s="83"/>
      <c r="O36" s="54" t="s">
        <v>1990</v>
      </c>
      <c r="P36" s="54" t="s">
        <v>7</v>
      </c>
      <c r="Q36" s="54" t="s">
        <v>2001</v>
      </c>
      <c r="R36" s="53" t="s">
        <v>2006</v>
      </c>
      <c r="S36" s="53" t="s">
        <v>1647</v>
      </c>
    </row>
    <row r="37" spans="2:19" ht="15" customHeight="1">
      <c r="B37" s="81">
        <v>13</v>
      </c>
      <c r="C37" s="96"/>
      <c r="D37" s="95"/>
      <c r="E37" s="90"/>
      <c r="F37" s="81">
        <v>13</v>
      </c>
      <c r="G37" s="66" t="s">
        <v>2076</v>
      </c>
      <c r="H37" s="74" t="s">
        <v>2075</v>
      </c>
      <c r="I37" s="89"/>
      <c r="J37" s="85"/>
      <c r="K37" s="85"/>
      <c r="L37" s="87"/>
      <c r="M37" s="85"/>
      <c r="N37" s="77" t="s">
        <v>2005</v>
      </c>
      <c r="O37" s="54" t="s">
        <v>1990</v>
      </c>
      <c r="P37" s="54" t="s">
        <v>7</v>
      </c>
      <c r="Q37" s="54" t="s">
        <v>2001</v>
      </c>
      <c r="R37" s="53" t="s">
        <v>2006</v>
      </c>
      <c r="S37" s="53" t="s">
        <v>1647</v>
      </c>
    </row>
    <row r="38" spans="2:19" ht="15" customHeight="1">
      <c r="B38" s="83"/>
      <c r="C38" s="96"/>
      <c r="D38" s="95"/>
      <c r="E38" s="90"/>
      <c r="F38" s="83"/>
      <c r="G38" s="66" t="s">
        <v>2077</v>
      </c>
      <c r="H38" s="74" t="s">
        <v>2078</v>
      </c>
      <c r="I38" s="89"/>
      <c r="J38" s="85"/>
      <c r="K38" s="85"/>
      <c r="L38" s="87"/>
      <c r="M38" s="85"/>
      <c r="N38" s="78"/>
      <c r="O38" s="54" t="s">
        <v>1990</v>
      </c>
      <c r="P38" s="54" t="s">
        <v>7</v>
      </c>
      <c r="Q38" s="54" t="s">
        <v>2001</v>
      </c>
      <c r="R38" s="53" t="s">
        <v>2006</v>
      </c>
      <c r="S38" s="53" t="s">
        <v>1647</v>
      </c>
    </row>
    <row r="39" spans="2:19" ht="15" customHeight="1">
      <c r="B39" s="81">
        <v>14</v>
      </c>
      <c r="C39" s="96"/>
      <c r="D39" s="95"/>
      <c r="E39" s="90"/>
      <c r="F39" s="81">
        <v>14</v>
      </c>
      <c r="G39" s="66" t="s">
        <v>2080</v>
      </c>
      <c r="H39" s="74" t="s">
        <v>2079</v>
      </c>
      <c r="I39" s="89"/>
      <c r="J39" s="85"/>
      <c r="K39" s="85"/>
      <c r="L39" s="87"/>
      <c r="M39" s="85"/>
      <c r="N39" s="77" t="s">
        <v>2005</v>
      </c>
      <c r="O39" s="54" t="s">
        <v>1990</v>
      </c>
      <c r="P39" s="54" t="s">
        <v>7</v>
      </c>
      <c r="Q39" s="54" t="s">
        <v>2001</v>
      </c>
      <c r="R39" s="53" t="s">
        <v>2006</v>
      </c>
      <c r="S39" s="53" t="s">
        <v>1647</v>
      </c>
    </row>
    <row r="40" spans="2:19" ht="15" customHeight="1">
      <c r="B40" s="82"/>
      <c r="C40" s="96"/>
      <c r="D40" s="95"/>
      <c r="E40" s="90"/>
      <c r="F40" s="82"/>
      <c r="G40" s="66" t="s">
        <v>2081</v>
      </c>
      <c r="H40" s="74" t="s">
        <v>2082</v>
      </c>
      <c r="I40" s="89"/>
      <c r="J40" s="85"/>
      <c r="K40" s="85"/>
      <c r="L40" s="87"/>
      <c r="M40" s="85"/>
      <c r="N40" s="80"/>
      <c r="O40" s="54" t="s">
        <v>1990</v>
      </c>
      <c r="P40" s="54" t="s">
        <v>7</v>
      </c>
      <c r="Q40" s="54" t="s">
        <v>2001</v>
      </c>
      <c r="R40" s="53" t="s">
        <v>2006</v>
      </c>
      <c r="S40" s="53" t="s">
        <v>1647</v>
      </c>
    </row>
    <row r="41" spans="2:19" ht="15" customHeight="1">
      <c r="B41" s="83"/>
      <c r="C41" s="96"/>
      <c r="D41" s="95"/>
      <c r="E41" s="90"/>
      <c r="F41" s="83"/>
      <c r="G41" s="66" t="s">
        <v>2083</v>
      </c>
      <c r="H41" s="74" t="s">
        <v>2084</v>
      </c>
      <c r="I41" s="89"/>
      <c r="J41" s="85"/>
      <c r="K41" s="85"/>
      <c r="L41" s="87"/>
      <c r="M41" s="85"/>
      <c r="N41" s="78"/>
      <c r="O41" s="54" t="s">
        <v>1990</v>
      </c>
      <c r="P41" s="54" t="s">
        <v>7</v>
      </c>
      <c r="Q41" s="54" t="s">
        <v>2001</v>
      </c>
      <c r="R41" s="53" t="s">
        <v>2006</v>
      </c>
      <c r="S41" s="53" t="s">
        <v>1647</v>
      </c>
    </row>
    <row r="42" spans="2:19" ht="15" customHeight="1">
      <c r="B42" s="81">
        <v>15</v>
      </c>
      <c r="C42" s="96"/>
      <c r="D42" s="95"/>
      <c r="E42" s="90"/>
      <c r="F42" s="81">
        <v>15</v>
      </c>
      <c r="G42" s="66" t="s">
        <v>2085</v>
      </c>
      <c r="H42" s="74" t="s">
        <v>2086</v>
      </c>
      <c r="I42" s="89"/>
      <c r="J42" s="85"/>
      <c r="K42" s="85"/>
      <c r="L42" s="87"/>
      <c r="M42" s="85"/>
      <c r="N42" s="77" t="s">
        <v>2005</v>
      </c>
      <c r="O42" s="54" t="s">
        <v>1990</v>
      </c>
      <c r="P42" s="54" t="s">
        <v>7</v>
      </c>
      <c r="Q42" s="54" t="s">
        <v>2001</v>
      </c>
      <c r="R42" s="53" t="s">
        <v>2006</v>
      </c>
      <c r="S42" s="53" t="s">
        <v>1647</v>
      </c>
    </row>
    <row r="43" spans="2:19" ht="15" customHeight="1">
      <c r="B43" s="82"/>
      <c r="C43" s="96"/>
      <c r="D43" s="95"/>
      <c r="E43" s="90"/>
      <c r="F43" s="82"/>
      <c r="G43" s="66" t="s">
        <v>2088</v>
      </c>
      <c r="H43" s="74" t="s">
        <v>2087</v>
      </c>
      <c r="I43" s="89"/>
      <c r="J43" s="85"/>
      <c r="K43" s="85"/>
      <c r="L43" s="87"/>
      <c r="M43" s="85"/>
      <c r="N43" s="80"/>
      <c r="O43" s="54" t="s">
        <v>1990</v>
      </c>
      <c r="P43" s="54" t="s">
        <v>7</v>
      </c>
      <c r="Q43" s="54" t="s">
        <v>2001</v>
      </c>
      <c r="R43" s="53" t="s">
        <v>2006</v>
      </c>
      <c r="S43" s="53" t="s">
        <v>1647</v>
      </c>
    </row>
    <row r="44" spans="2:19" ht="15" customHeight="1">
      <c r="B44" s="83"/>
      <c r="C44" s="96"/>
      <c r="D44" s="95"/>
      <c r="E44" s="90"/>
      <c r="F44" s="83"/>
      <c r="G44" s="66" t="s">
        <v>2090</v>
      </c>
      <c r="H44" s="74" t="s">
        <v>2089</v>
      </c>
      <c r="I44" s="89"/>
      <c r="J44" s="85"/>
      <c r="K44" s="85"/>
      <c r="L44" s="87"/>
      <c r="M44" s="85"/>
      <c r="N44" s="78"/>
      <c r="O44" s="54" t="s">
        <v>1990</v>
      </c>
      <c r="P44" s="54" t="s">
        <v>7</v>
      </c>
      <c r="Q44" s="54" t="s">
        <v>2001</v>
      </c>
      <c r="R44" s="53" t="s">
        <v>2006</v>
      </c>
      <c r="S44" s="53" t="s">
        <v>1647</v>
      </c>
    </row>
    <row r="45" spans="2:19" ht="15" customHeight="1">
      <c r="B45" s="81">
        <v>16</v>
      </c>
      <c r="C45" s="96"/>
      <c r="D45" s="95"/>
      <c r="E45" s="90"/>
      <c r="F45" s="81">
        <v>16</v>
      </c>
      <c r="G45" s="66" t="s">
        <v>2091</v>
      </c>
      <c r="H45" s="74" t="s">
        <v>2092</v>
      </c>
      <c r="I45" s="89"/>
      <c r="J45" s="85"/>
      <c r="K45" s="85"/>
      <c r="L45" s="87"/>
      <c r="M45" s="85"/>
      <c r="N45" s="77" t="s">
        <v>2005</v>
      </c>
      <c r="O45" s="54" t="s">
        <v>1990</v>
      </c>
      <c r="P45" s="54" t="s">
        <v>7</v>
      </c>
      <c r="Q45" s="54" t="s">
        <v>2001</v>
      </c>
      <c r="R45" s="53" t="s">
        <v>2006</v>
      </c>
      <c r="S45" s="53" t="s">
        <v>1647</v>
      </c>
    </row>
    <row r="46" spans="2:19" ht="15" customHeight="1">
      <c r="B46" s="82"/>
      <c r="C46" s="96"/>
      <c r="D46" s="95"/>
      <c r="E46" s="90"/>
      <c r="F46" s="82"/>
      <c r="G46" s="66" t="s">
        <v>2094</v>
      </c>
      <c r="H46" s="74" t="s">
        <v>2093</v>
      </c>
      <c r="I46" s="89"/>
      <c r="J46" s="85"/>
      <c r="K46" s="85"/>
      <c r="L46" s="87"/>
      <c r="M46" s="85"/>
      <c r="N46" s="80"/>
      <c r="O46" s="54" t="s">
        <v>1990</v>
      </c>
      <c r="P46" s="54" t="s">
        <v>7</v>
      </c>
      <c r="Q46" s="54" t="s">
        <v>2001</v>
      </c>
      <c r="R46" s="53" t="s">
        <v>2006</v>
      </c>
      <c r="S46" s="53" t="s">
        <v>1647</v>
      </c>
    </row>
    <row r="47" spans="2:19" ht="15" customHeight="1">
      <c r="B47" s="83"/>
      <c r="C47" s="96"/>
      <c r="D47" s="95"/>
      <c r="E47" s="90"/>
      <c r="F47" s="83"/>
      <c r="G47" s="66" t="s">
        <v>2096</v>
      </c>
      <c r="H47" s="74" t="s">
        <v>2095</v>
      </c>
      <c r="I47" s="89"/>
      <c r="J47" s="85"/>
      <c r="K47" s="85"/>
      <c r="L47" s="87"/>
      <c r="M47" s="85"/>
      <c r="N47" s="78"/>
      <c r="O47" s="54" t="s">
        <v>1990</v>
      </c>
      <c r="P47" s="54" t="s">
        <v>7</v>
      </c>
      <c r="Q47" s="54" t="s">
        <v>2001</v>
      </c>
      <c r="R47" s="53" t="s">
        <v>2006</v>
      </c>
      <c r="S47" s="53" t="s">
        <v>1647</v>
      </c>
    </row>
    <row r="48" spans="2:19" ht="15" customHeight="1">
      <c r="B48" s="81">
        <v>17</v>
      </c>
      <c r="C48" s="96"/>
      <c r="D48" s="95"/>
      <c r="E48" s="90"/>
      <c r="F48" s="81">
        <v>17</v>
      </c>
      <c r="G48" s="66" t="s">
        <v>2097</v>
      </c>
      <c r="H48" s="74" t="s">
        <v>2098</v>
      </c>
      <c r="I48" s="89"/>
      <c r="J48" s="85"/>
      <c r="K48" s="85"/>
      <c r="L48" s="87"/>
      <c r="M48" s="85"/>
      <c r="N48" s="81" t="s">
        <v>2005</v>
      </c>
      <c r="O48" s="54" t="s">
        <v>1990</v>
      </c>
      <c r="P48" s="54" t="s">
        <v>7</v>
      </c>
      <c r="Q48" s="54" t="s">
        <v>2001</v>
      </c>
      <c r="R48" s="53" t="s">
        <v>2006</v>
      </c>
      <c r="S48" s="53" t="s">
        <v>1647</v>
      </c>
    </row>
    <row r="49" spans="2:19" ht="15" customHeight="1">
      <c r="B49" s="82"/>
      <c r="C49" s="96"/>
      <c r="D49" s="95"/>
      <c r="E49" s="90"/>
      <c r="F49" s="82"/>
      <c r="G49" s="66" t="s">
        <v>2099</v>
      </c>
      <c r="H49" s="74" t="s">
        <v>2108</v>
      </c>
      <c r="I49" s="89"/>
      <c r="J49" s="85"/>
      <c r="K49" s="85"/>
      <c r="L49" s="87"/>
      <c r="M49" s="85"/>
      <c r="N49" s="82"/>
      <c r="O49" s="54" t="s">
        <v>1990</v>
      </c>
      <c r="P49" s="54" t="s">
        <v>7</v>
      </c>
      <c r="Q49" s="54" t="s">
        <v>2001</v>
      </c>
      <c r="R49" s="53" t="s">
        <v>2006</v>
      </c>
      <c r="S49" s="53" t="s">
        <v>1647</v>
      </c>
    </row>
    <row r="50" spans="2:19" ht="15" customHeight="1">
      <c r="B50" s="83"/>
      <c r="C50" s="96"/>
      <c r="D50" s="95"/>
      <c r="E50" s="90"/>
      <c r="F50" s="83"/>
      <c r="G50" s="66" t="s">
        <v>2100</v>
      </c>
      <c r="H50" s="74" t="s">
        <v>2101</v>
      </c>
      <c r="I50" s="89"/>
      <c r="J50" s="85"/>
      <c r="K50" s="85"/>
      <c r="L50" s="87"/>
      <c r="M50" s="85"/>
      <c r="N50" s="83"/>
      <c r="O50" s="54" t="s">
        <v>1990</v>
      </c>
      <c r="P50" s="54" t="s">
        <v>7</v>
      </c>
      <c r="Q50" s="54" t="s">
        <v>2001</v>
      </c>
      <c r="R50" s="53" t="s">
        <v>2006</v>
      </c>
      <c r="S50" s="53" t="s">
        <v>1647</v>
      </c>
    </row>
    <row r="51" spans="2:19" ht="15" customHeight="1">
      <c r="B51" s="81">
        <v>18</v>
      </c>
      <c r="C51" s="96"/>
      <c r="D51" s="95"/>
      <c r="E51" s="90"/>
      <c r="F51" s="81">
        <v>18</v>
      </c>
      <c r="G51" s="66" t="s">
        <v>2102</v>
      </c>
      <c r="H51" s="74" t="s">
        <v>2107</v>
      </c>
      <c r="I51" s="89"/>
      <c r="J51" s="85"/>
      <c r="K51" s="85"/>
      <c r="L51" s="87"/>
      <c r="M51" s="85"/>
      <c r="N51" s="81" t="s">
        <v>2005</v>
      </c>
      <c r="O51" s="54" t="s">
        <v>1990</v>
      </c>
      <c r="P51" s="54" t="s">
        <v>7</v>
      </c>
      <c r="Q51" s="54" t="s">
        <v>2001</v>
      </c>
      <c r="R51" s="53" t="s">
        <v>2006</v>
      </c>
      <c r="S51" s="53" t="s">
        <v>1647</v>
      </c>
    </row>
    <row r="52" spans="2:19" ht="15" customHeight="1">
      <c r="B52" s="82"/>
      <c r="C52" s="96"/>
      <c r="D52" s="95"/>
      <c r="E52" s="90"/>
      <c r="F52" s="82"/>
      <c r="G52" s="66" t="s">
        <v>2103</v>
      </c>
      <c r="H52" s="74" t="s">
        <v>2106</v>
      </c>
      <c r="I52" s="89"/>
      <c r="J52" s="85"/>
      <c r="K52" s="85"/>
      <c r="L52" s="87"/>
      <c r="M52" s="85"/>
      <c r="N52" s="82"/>
      <c r="O52" s="54" t="s">
        <v>1990</v>
      </c>
      <c r="P52" s="54" t="s">
        <v>7</v>
      </c>
      <c r="Q52" s="54" t="s">
        <v>2001</v>
      </c>
      <c r="R52" s="53" t="s">
        <v>2006</v>
      </c>
      <c r="S52" s="53" t="s">
        <v>1647</v>
      </c>
    </row>
    <row r="53" spans="2:19" ht="15" customHeight="1">
      <c r="B53" s="83"/>
      <c r="C53" s="96"/>
      <c r="D53" s="95"/>
      <c r="E53" s="90"/>
      <c r="F53" s="83"/>
      <c r="G53" s="67" t="s">
        <v>2112</v>
      </c>
      <c r="H53" s="74" t="s">
        <v>2104</v>
      </c>
      <c r="I53" s="89"/>
      <c r="J53" s="85"/>
      <c r="K53" s="85"/>
      <c r="L53" s="87"/>
      <c r="M53" s="85"/>
      <c r="N53" s="83"/>
      <c r="O53" s="54" t="s">
        <v>1990</v>
      </c>
      <c r="P53" s="54" t="s">
        <v>7</v>
      </c>
      <c r="Q53" s="54" t="s">
        <v>2001</v>
      </c>
      <c r="R53" s="53" t="s">
        <v>2006</v>
      </c>
      <c r="S53" s="53" t="s">
        <v>1647</v>
      </c>
    </row>
    <row r="54" spans="2:19" ht="15" customHeight="1">
      <c r="B54" s="81">
        <v>19</v>
      </c>
      <c r="C54" s="96"/>
      <c r="D54" s="95"/>
      <c r="E54" s="90"/>
      <c r="F54" s="81">
        <v>19</v>
      </c>
      <c r="G54" s="67" t="s">
        <v>2105</v>
      </c>
      <c r="H54" s="74" t="s">
        <v>2111</v>
      </c>
      <c r="I54" s="89"/>
      <c r="J54" s="85"/>
      <c r="K54" s="85"/>
      <c r="L54" s="87"/>
      <c r="M54" s="85"/>
      <c r="N54" s="81" t="s">
        <v>2005</v>
      </c>
      <c r="O54" s="54" t="s">
        <v>1990</v>
      </c>
      <c r="P54" s="54" t="s">
        <v>7</v>
      </c>
      <c r="Q54" s="54" t="s">
        <v>2001</v>
      </c>
      <c r="R54" s="53" t="s">
        <v>2006</v>
      </c>
      <c r="S54" s="53" t="s">
        <v>1647</v>
      </c>
    </row>
    <row r="55" spans="2:19" ht="15" customHeight="1">
      <c r="B55" s="82"/>
      <c r="C55" s="96"/>
      <c r="D55" s="95"/>
      <c r="E55" s="90"/>
      <c r="F55" s="82"/>
      <c r="G55" s="67" t="s">
        <v>2113</v>
      </c>
      <c r="H55" s="74" t="s">
        <v>2110</v>
      </c>
      <c r="I55" s="89"/>
      <c r="J55" s="85"/>
      <c r="K55" s="85"/>
      <c r="L55" s="87"/>
      <c r="M55" s="85"/>
      <c r="N55" s="82"/>
      <c r="O55" s="54" t="s">
        <v>1990</v>
      </c>
      <c r="P55" s="54" t="s">
        <v>7</v>
      </c>
      <c r="Q55" s="54" t="s">
        <v>2001</v>
      </c>
      <c r="R55" s="53" t="s">
        <v>2006</v>
      </c>
      <c r="S55" s="53" t="s">
        <v>1647</v>
      </c>
    </row>
    <row r="56" spans="2:19" ht="15" customHeight="1">
      <c r="B56" s="83"/>
      <c r="C56" s="96"/>
      <c r="D56" s="95"/>
      <c r="E56" s="90"/>
      <c r="F56" s="83"/>
      <c r="G56" s="67" t="s">
        <v>2109</v>
      </c>
      <c r="H56" s="74" t="s">
        <v>2117</v>
      </c>
      <c r="I56" s="89"/>
      <c r="J56" s="85"/>
      <c r="K56" s="85"/>
      <c r="L56" s="87"/>
      <c r="M56" s="85"/>
      <c r="N56" s="83"/>
      <c r="O56" s="54" t="s">
        <v>1990</v>
      </c>
      <c r="P56" s="54" t="s">
        <v>7</v>
      </c>
      <c r="Q56" s="54" t="s">
        <v>2001</v>
      </c>
      <c r="R56" s="53" t="s">
        <v>2006</v>
      </c>
      <c r="S56" s="53" t="s">
        <v>1647</v>
      </c>
    </row>
    <row r="57" spans="2:19" ht="15" customHeight="1">
      <c r="B57" s="81">
        <v>20</v>
      </c>
      <c r="C57" s="96"/>
      <c r="D57" s="95"/>
      <c r="E57" s="90"/>
      <c r="F57" s="81">
        <v>20</v>
      </c>
      <c r="G57" s="67" t="s">
        <v>2115</v>
      </c>
      <c r="H57" s="74" t="s">
        <v>2116</v>
      </c>
      <c r="I57" s="89"/>
      <c r="J57" s="85"/>
      <c r="K57" s="85"/>
      <c r="L57" s="87"/>
      <c r="M57" s="85"/>
      <c r="N57" s="81" t="s">
        <v>2005</v>
      </c>
      <c r="O57" s="54" t="s">
        <v>1990</v>
      </c>
      <c r="P57" s="54" t="s">
        <v>7</v>
      </c>
      <c r="Q57" s="54" t="s">
        <v>2001</v>
      </c>
      <c r="R57" s="53" t="s">
        <v>2006</v>
      </c>
      <c r="S57" s="53" t="s">
        <v>1647</v>
      </c>
    </row>
    <row r="58" spans="2:19" ht="15" customHeight="1">
      <c r="B58" s="82"/>
      <c r="C58" s="96"/>
      <c r="D58" s="95"/>
      <c r="E58" s="90"/>
      <c r="F58" s="82"/>
      <c r="G58" s="67" t="s">
        <v>2120</v>
      </c>
      <c r="H58" s="74" t="s">
        <v>2114</v>
      </c>
      <c r="I58" s="89"/>
      <c r="J58" s="85"/>
      <c r="K58" s="85"/>
      <c r="L58" s="87"/>
      <c r="M58" s="85"/>
      <c r="N58" s="82"/>
      <c r="O58" s="54" t="s">
        <v>1990</v>
      </c>
      <c r="P58" s="54" t="s">
        <v>7</v>
      </c>
      <c r="Q58" s="54" t="s">
        <v>2001</v>
      </c>
      <c r="R58" s="53" t="s">
        <v>2006</v>
      </c>
      <c r="S58" s="53" t="s">
        <v>1647</v>
      </c>
    </row>
    <row r="59" spans="2:19" ht="15" customHeight="1">
      <c r="B59" s="83"/>
      <c r="C59" s="96"/>
      <c r="D59" s="95"/>
      <c r="E59" s="90"/>
      <c r="F59" s="83"/>
      <c r="G59" s="67" t="s">
        <v>2119</v>
      </c>
      <c r="H59" s="74" t="s">
        <v>2118</v>
      </c>
      <c r="I59" s="89"/>
      <c r="J59" s="85"/>
      <c r="K59" s="85"/>
      <c r="L59" s="87"/>
      <c r="M59" s="85"/>
      <c r="N59" s="83"/>
      <c r="O59" s="54" t="s">
        <v>1990</v>
      </c>
      <c r="P59" s="54" t="s">
        <v>7</v>
      </c>
      <c r="Q59" s="54" t="s">
        <v>2001</v>
      </c>
      <c r="R59" s="53" t="s">
        <v>2006</v>
      </c>
      <c r="S59" s="53" t="s">
        <v>1647</v>
      </c>
    </row>
    <row r="60" spans="2:19" ht="15" customHeight="1">
      <c r="B60" s="81">
        <v>21</v>
      </c>
      <c r="C60" s="96"/>
      <c r="D60" s="95"/>
      <c r="E60" s="90"/>
      <c r="F60" s="81">
        <v>21</v>
      </c>
      <c r="G60" s="67" t="s">
        <v>2121</v>
      </c>
      <c r="H60" s="74" t="s">
        <v>2122</v>
      </c>
      <c r="I60" s="89"/>
      <c r="J60" s="85"/>
      <c r="K60" s="85"/>
      <c r="L60" s="87"/>
      <c r="M60" s="85"/>
      <c r="N60" s="81" t="s">
        <v>2005</v>
      </c>
      <c r="O60" s="54" t="s">
        <v>1990</v>
      </c>
      <c r="P60" s="54" t="s">
        <v>7</v>
      </c>
      <c r="Q60" s="54" t="s">
        <v>2001</v>
      </c>
      <c r="R60" s="53" t="s">
        <v>2006</v>
      </c>
      <c r="S60" s="53" t="s">
        <v>1647</v>
      </c>
    </row>
    <row r="61" spans="2:19" ht="15" customHeight="1">
      <c r="B61" s="82"/>
      <c r="C61" s="96"/>
      <c r="D61" s="95"/>
      <c r="E61" s="90"/>
      <c r="F61" s="82"/>
      <c r="G61" s="67" t="s">
        <v>2124</v>
      </c>
      <c r="H61" s="75" t="s">
        <v>2123</v>
      </c>
      <c r="I61" s="89"/>
      <c r="J61" s="85"/>
      <c r="K61" s="85"/>
      <c r="L61" s="87"/>
      <c r="M61" s="85"/>
      <c r="N61" s="82"/>
      <c r="O61" s="54" t="s">
        <v>1990</v>
      </c>
      <c r="P61" s="54" t="s">
        <v>7</v>
      </c>
      <c r="Q61" s="54" t="s">
        <v>2001</v>
      </c>
      <c r="R61" s="53" t="s">
        <v>2006</v>
      </c>
      <c r="S61" s="53" t="s">
        <v>1647</v>
      </c>
    </row>
    <row r="62" spans="2:19" ht="15" customHeight="1">
      <c r="B62" s="83"/>
      <c r="C62" s="96"/>
      <c r="D62" s="95"/>
      <c r="E62" s="90"/>
      <c r="F62" s="83"/>
      <c r="G62" s="67" t="s">
        <v>2125</v>
      </c>
      <c r="H62" s="74" t="s">
        <v>2130</v>
      </c>
      <c r="I62" s="89"/>
      <c r="J62" s="85"/>
      <c r="K62" s="85"/>
      <c r="L62" s="87"/>
      <c r="M62" s="85"/>
      <c r="N62" s="83"/>
      <c r="O62" s="54" t="s">
        <v>1990</v>
      </c>
      <c r="P62" s="54" t="s">
        <v>7</v>
      </c>
      <c r="Q62" s="54" t="s">
        <v>2001</v>
      </c>
      <c r="R62" s="53" t="s">
        <v>2006</v>
      </c>
      <c r="S62" s="53" t="s">
        <v>1647</v>
      </c>
    </row>
    <row r="63" spans="2:19" ht="15" customHeight="1">
      <c r="B63" s="81">
        <v>22</v>
      </c>
      <c r="C63" s="96"/>
      <c r="D63" s="95"/>
      <c r="E63" s="90"/>
      <c r="F63" s="81">
        <v>22</v>
      </c>
      <c r="G63" s="67" t="s">
        <v>2126</v>
      </c>
      <c r="H63" s="74" t="s">
        <v>2129</v>
      </c>
      <c r="I63" s="89"/>
      <c r="J63" s="85"/>
      <c r="K63" s="85"/>
      <c r="L63" s="87"/>
      <c r="M63" s="85"/>
      <c r="N63" s="81" t="s">
        <v>2005</v>
      </c>
      <c r="O63" s="54" t="s">
        <v>1990</v>
      </c>
      <c r="P63" s="54" t="s">
        <v>7</v>
      </c>
      <c r="Q63" s="54" t="s">
        <v>2001</v>
      </c>
      <c r="R63" s="53" t="s">
        <v>2006</v>
      </c>
      <c r="S63" s="53" t="s">
        <v>1647</v>
      </c>
    </row>
    <row r="64" spans="2:19" ht="15" customHeight="1">
      <c r="B64" s="82"/>
      <c r="C64" s="96"/>
      <c r="D64" s="95"/>
      <c r="E64" s="90"/>
      <c r="F64" s="82"/>
      <c r="G64" s="67" t="s">
        <v>2127</v>
      </c>
      <c r="H64" s="74" t="s">
        <v>2131</v>
      </c>
      <c r="I64" s="89"/>
      <c r="J64" s="85"/>
      <c r="K64" s="85"/>
      <c r="L64" s="87"/>
      <c r="M64" s="85"/>
      <c r="N64" s="82"/>
      <c r="O64" s="54" t="s">
        <v>1990</v>
      </c>
      <c r="P64" s="54" t="s">
        <v>7</v>
      </c>
      <c r="Q64" s="54" t="s">
        <v>2001</v>
      </c>
      <c r="R64" s="53" t="s">
        <v>2006</v>
      </c>
      <c r="S64" s="53" t="s">
        <v>1647</v>
      </c>
    </row>
    <row r="65" spans="2:19" ht="15" customHeight="1">
      <c r="B65" s="83"/>
      <c r="C65" s="96"/>
      <c r="D65" s="95"/>
      <c r="E65" s="90"/>
      <c r="F65" s="83"/>
      <c r="G65" s="67" t="s">
        <v>2132</v>
      </c>
      <c r="H65" s="74" t="s">
        <v>2128</v>
      </c>
      <c r="I65" s="89"/>
      <c r="J65" s="85"/>
      <c r="K65" s="85"/>
      <c r="L65" s="87"/>
      <c r="M65" s="85"/>
      <c r="N65" s="83"/>
      <c r="O65" s="54" t="s">
        <v>1990</v>
      </c>
      <c r="P65" s="54" t="s">
        <v>7</v>
      </c>
      <c r="Q65" s="54" t="s">
        <v>2001</v>
      </c>
      <c r="R65" s="53" t="s">
        <v>2006</v>
      </c>
      <c r="S65" s="53" t="s">
        <v>1647</v>
      </c>
    </row>
    <row r="66" spans="2:19" ht="15" customHeight="1">
      <c r="B66" s="81">
        <v>23</v>
      </c>
      <c r="C66" s="96"/>
      <c r="D66" s="95"/>
      <c r="E66" s="90"/>
      <c r="F66" s="81">
        <v>23</v>
      </c>
      <c r="G66" s="67" t="s">
        <v>2133</v>
      </c>
      <c r="H66" s="74" t="s">
        <v>2007</v>
      </c>
      <c r="I66" s="89"/>
      <c r="J66" s="85"/>
      <c r="K66" s="85"/>
      <c r="L66" s="87"/>
      <c r="M66" s="85"/>
      <c r="N66" s="81" t="s">
        <v>2005</v>
      </c>
      <c r="O66" s="54" t="s">
        <v>1990</v>
      </c>
      <c r="P66" s="54" t="s">
        <v>7</v>
      </c>
      <c r="Q66" s="54" t="s">
        <v>2001</v>
      </c>
      <c r="R66" s="53" t="s">
        <v>2006</v>
      </c>
      <c r="S66" s="53" t="s">
        <v>1647</v>
      </c>
    </row>
    <row r="67" spans="2:19" ht="15" customHeight="1">
      <c r="B67" s="82"/>
      <c r="C67" s="96"/>
      <c r="D67" s="95"/>
      <c r="E67" s="90"/>
      <c r="F67" s="82"/>
      <c r="G67" s="67" t="s">
        <v>2134</v>
      </c>
      <c r="H67" s="74" t="s">
        <v>2008</v>
      </c>
      <c r="I67" s="89"/>
      <c r="J67" s="85"/>
      <c r="K67" s="85"/>
      <c r="L67" s="87"/>
      <c r="M67" s="85"/>
      <c r="N67" s="82"/>
      <c r="O67" s="54" t="s">
        <v>1990</v>
      </c>
      <c r="P67" s="54" t="s">
        <v>7</v>
      </c>
      <c r="Q67" s="54" t="s">
        <v>2001</v>
      </c>
      <c r="R67" s="53" t="s">
        <v>2006</v>
      </c>
      <c r="S67" s="53" t="s">
        <v>1647</v>
      </c>
    </row>
    <row r="68" spans="2:19" ht="15" customHeight="1">
      <c r="B68" s="83"/>
      <c r="C68" s="96"/>
      <c r="D68" s="95"/>
      <c r="E68" s="90"/>
      <c r="F68" s="83"/>
      <c r="G68" s="67" t="s">
        <v>2135</v>
      </c>
      <c r="H68" s="74" t="s">
        <v>2009</v>
      </c>
      <c r="I68" s="89"/>
      <c r="J68" s="85"/>
      <c r="K68" s="85"/>
      <c r="L68" s="87"/>
      <c r="M68" s="85"/>
      <c r="N68" s="83"/>
      <c r="O68" s="54" t="s">
        <v>1990</v>
      </c>
      <c r="P68" s="54" t="s">
        <v>7</v>
      </c>
      <c r="Q68" s="54" t="s">
        <v>2001</v>
      </c>
      <c r="R68" s="53" t="s">
        <v>2006</v>
      </c>
      <c r="S68" s="53" t="s">
        <v>1647</v>
      </c>
    </row>
    <row r="69" spans="2:19" ht="15" customHeight="1">
      <c r="B69" s="81">
        <v>24</v>
      </c>
      <c r="C69" s="96"/>
      <c r="D69" s="95"/>
      <c r="E69" s="90"/>
      <c r="F69" s="81">
        <v>24</v>
      </c>
      <c r="G69" s="67" t="s">
        <v>2136</v>
      </c>
      <c r="H69" s="74" t="s">
        <v>2139</v>
      </c>
      <c r="I69" s="89"/>
      <c r="J69" s="85"/>
      <c r="K69" s="85"/>
      <c r="L69" s="87"/>
      <c r="M69" s="85"/>
      <c r="N69" s="81" t="s">
        <v>2005</v>
      </c>
      <c r="O69" s="54" t="s">
        <v>1990</v>
      </c>
      <c r="P69" s="54" t="s">
        <v>7</v>
      </c>
      <c r="Q69" s="54" t="s">
        <v>2001</v>
      </c>
      <c r="R69" s="53" t="s">
        <v>2006</v>
      </c>
      <c r="S69" s="53" t="s">
        <v>1647</v>
      </c>
    </row>
    <row r="70" spans="2:19" ht="15" customHeight="1">
      <c r="B70" s="83"/>
      <c r="C70" s="96"/>
      <c r="D70" s="95"/>
      <c r="E70" s="90"/>
      <c r="F70" s="83"/>
      <c r="G70" s="67" t="s">
        <v>2137</v>
      </c>
      <c r="H70" s="74" t="s">
        <v>2010</v>
      </c>
      <c r="I70" s="89"/>
      <c r="J70" s="85"/>
      <c r="K70" s="85"/>
      <c r="L70" s="87"/>
      <c r="M70" s="85"/>
      <c r="N70" s="83"/>
      <c r="O70" s="54" t="s">
        <v>1990</v>
      </c>
      <c r="P70" s="54" t="s">
        <v>7</v>
      </c>
      <c r="Q70" s="54" t="s">
        <v>2001</v>
      </c>
      <c r="R70" s="53" t="s">
        <v>2006</v>
      </c>
      <c r="S70" s="53" t="s">
        <v>1647</v>
      </c>
    </row>
    <row r="71" spans="2:19" ht="15" customHeight="1">
      <c r="B71" s="81">
        <v>25</v>
      </c>
      <c r="C71" s="96"/>
      <c r="D71" s="95"/>
      <c r="E71" s="90"/>
      <c r="F71" s="81">
        <v>25</v>
      </c>
      <c r="G71" s="67" t="s">
        <v>2138</v>
      </c>
      <c r="H71" s="74" t="s">
        <v>2140</v>
      </c>
      <c r="I71" s="89"/>
      <c r="J71" s="85"/>
      <c r="K71" s="85"/>
      <c r="L71" s="87"/>
      <c r="M71" s="85"/>
      <c r="N71" s="81" t="s">
        <v>2005</v>
      </c>
      <c r="O71" s="54" t="s">
        <v>1990</v>
      </c>
      <c r="P71" s="54" t="s">
        <v>7</v>
      </c>
      <c r="Q71" s="54" t="s">
        <v>2001</v>
      </c>
      <c r="R71" s="53" t="s">
        <v>2006</v>
      </c>
      <c r="S71" s="53" t="s">
        <v>1647</v>
      </c>
    </row>
    <row r="72" spans="2:19" ht="15" customHeight="1">
      <c r="B72" s="82"/>
      <c r="C72" s="96"/>
      <c r="D72" s="95"/>
      <c r="E72" s="90"/>
      <c r="F72" s="82"/>
      <c r="G72" s="67" t="s">
        <v>2144</v>
      </c>
      <c r="H72" s="74" t="s">
        <v>2141</v>
      </c>
      <c r="I72" s="89"/>
      <c r="J72" s="85"/>
      <c r="K72" s="85"/>
      <c r="L72" s="87"/>
      <c r="M72" s="85"/>
      <c r="N72" s="82"/>
      <c r="O72" s="54" t="s">
        <v>1990</v>
      </c>
      <c r="P72" s="54" t="s">
        <v>7</v>
      </c>
      <c r="Q72" s="54" t="s">
        <v>2001</v>
      </c>
      <c r="R72" s="53" t="s">
        <v>2006</v>
      </c>
      <c r="S72" s="53" t="s">
        <v>1647</v>
      </c>
    </row>
    <row r="73" spans="2:19" ht="15" customHeight="1">
      <c r="B73" s="83"/>
      <c r="C73" s="96"/>
      <c r="D73" s="95"/>
      <c r="E73" s="90"/>
      <c r="F73" s="83"/>
      <c r="G73" s="67" t="s">
        <v>2143</v>
      </c>
      <c r="H73" s="74" t="s">
        <v>2142</v>
      </c>
      <c r="I73" s="89"/>
      <c r="J73" s="85"/>
      <c r="K73" s="85"/>
      <c r="L73" s="87"/>
      <c r="M73" s="85"/>
      <c r="N73" s="83"/>
      <c r="O73" s="54" t="s">
        <v>1990</v>
      </c>
      <c r="P73" s="54" t="s">
        <v>7</v>
      </c>
      <c r="Q73" s="54" t="s">
        <v>2001</v>
      </c>
      <c r="R73" s="53" t="s">
        <v>2006</v>
      </c>
      <c r="S73" s="53" t="s">
        <v>1647</v>
      </c>
    </row>
  </sheetData>
  <sheetProtection insertColumns="0" insertRows="0" deleteColumns="0" deleteRows="0"/>
  <protectedRanges>
    <protectedRange sqref="F4:F28 B4:B28" name="범위4_1_2_1"/>
    <protectedRange sqref="G6" name="범위5_3_1_1_1_2_1_1"/>
    <protectedRange sqref="H4:H6" name="범위5_4_1_1_1_1_1_1"/>
    <protectedRange sqref="K4:L4" name="범위5_2_1"/>
    <protectedRange sqref="M17:M25 O4:S73 M4:N16 N17:N73" name="범위5_8_2_1"/>
    <protectedRange sqref="J4:J25" name="범위5_1_1_1_2_1"/>
    <protectedRange sqref="I4:I25" name="범위5_7_1_1"/>
  </protectedRanges>
  <mergeCells count="90">
    <mergeCell ref="R1:S1"/>
    <mergeCell ref="R2:S2"/>
    <mergeCell ref="I2:M2"/>
    <mergeCell ref="N2:Q2"/>
    <mergeCell ref="D2:F2"/>
    <mergeCell ref="C1:H1"/>
    <mergeCell ref="D4:D73"/>
    <mergeCell ref="C4:C73"/>
    <mergeCell ref="I1:Q1"/>
    <mergeCell ref="E4:E73"/>
    <mergeCell ref="F28:F31"/>
    <mergeCell ref="F32:F36"/>
    <mergeCell ref="F37:F38"/>
    <mergeCell ref="F39:F41"/>
    <mergeCell ref="F42:F44"/>
    <mergeCell ref="F45:F47"/>
    <mergeCell ref="F57:F59"/>
    <mergeCell ref="F60:F62"/>
    <mergeCell ref="F63:F65"/>
    <mergeCell ref="F66:F68"/>
    <mergeCell ref="F69:F70"/>
    <mergeCell ref="F71:F73"/>
    <mergeCell ref="F51:F53"/>
    <mergeCell ref="F54:F56"/>
    <mergeCell ref="F4:F6"/>
    <mergeCell ref="B4:B6"/>
    <mergeCell ref="B7:B9"/>
    <mergeCell ref="B17:B19"/>
    <mergeCell ref="B10:B11"/>
    <mergeCell ref="B12:B14"/>
    <mergeCell ref="B15:B16"/>
    <mergeCell ref="B20:B21"/>
    <mergeCell ref="B22:B23"/>
    <mergeCell ref="B24:B25"/>
    <mergeCell ref="B26:B27"/>
    <mergeCell ref="B28:B31"/>
    <mergeCell ref="B48:B50"/>
    <mergeCell ref="B32:B36"/>
    <mergeCell ref="B37:B38"/>
    <mergeCell ref="B39:B41"/>
    <mergeCell ref="B42:B44"/>
    <mergeCell ref="B45:B47"/>
    <mergeCell ref="B69:B70"/>
    <mergeCell ref="B71:B73"/>
    <mergeCell ref="B51:B53"/>
    <mergeCell ref="B54:B56"/>
    <mergeCell ref="B57:B59"/>
    <mergeCell ref="B60:B62"/>
    <mergeCell ref="B63:B65"/>
    <mergeCell ref="B66:B68"/>
    <mergeCell ref="K4:K73"/>
    <mergeCell ref="J4:J73"/>
    <mergeCell ref="I4:I73"/>
    <mergeCell ref="F10:F11"/>
    <mergeCell ref="F12:F14"/>
    <mergeCell ref="F15:F16"/>
    <mergeCell ref="F20:F21"/>
    <mergeCell ref="F22:F23"/>
    <mergeCell ref="F24:F25"/>
    <mergeCell ref="F26:F27"/>
    <mergeCell ref="F7:F9"/>
    <mergeCell ref="F17:F19"/>
    <mergeCell ref="F48:F50"/>
    <mergeCell ref="N4:N6"/>
    <mergeCell ref="N7:N9"/>
    <mergeCell ref="N17:N19"/>
    <mergeCell ref="M4:M73"/>
    <mergeCell ref="L4:L73"/>
    <mergeCell ref="N71:N73"/>
    <mergeCell ref="N48:N50"/>
    <mergeCell ref="N51:N53"/>
    <mergeCell ref="N54:N56"/>
    <mergeCell ref="N39:N41"/>
    <mergeCell ref="N42:N44"/>
    <mergeCell ref="N45:N47"/>
    <mergeCell ref="N57:N59"/>
    <mergeCell ref="N60:N62"/>
    <mergeCell ref="N63:N65"/>
    <mergeCell ref="N66:N68"/>
    <mergeCell ref="N69:N70"/>
    <mergeCell ref="N10:N11"/>
    <mergeCell ref="N12:N14"/>
    <mergeCell ref="N15:N16"/>
    <mergeCell ref="N20:N21"/>
    <mergeCell ref="N22:N23"/>
    <mergeCell ref="N24:N25"/>
    <mergeCell ref="N26:N27"/>
    <mergeCell ref="N28:N31"/>
    <mergeCell ref="N32:N36"/>
    <mergeCell ref="N37:N38"/>
  </mergeCells>
  <phoneticPr fontId="9" type="noConversion"/>
  <dataValidations count="6">
    <dataValidation type="list" allowBlank="1" showInputMessage="1" showErrorMessage="1" sqref="P4:P73" xr:uid="{00000000-0002-0000-0000-000000000000}">
      <formula1>영상구분</formula1>
    </dataValidation>
    <dataValidation type="list" allowBlank="1" showInputMessage="1" showErrorMessage="1" sqref="O4:O73" xr:uid="{00000000-0002-0000-0000-000001000000}">
      <formula1>"UHD,HD,SD"</formula1>
    </dataValidation>
    <dataValidation type="list" allowBlank="1" showInputMessage="1" showErrorMessage="1" sqref="Q4:Q73" xr:uid="{00000000-0002-0000-0000-000002000000}">
      <formula1>화면비</formula1>
    </dataValidation>
    <dataValidation type="list" allowBlank="1" showInputMessage="1" showErrorMessage="1" sqref="R4:R73" xr:uid="{00000000-0002-0000-0000-000003000000}">
      <formula1>자막더빙여부</formula1>
    </dataValidation>
    <dataValidation type="list" allowBlank="1" showInputMessage="1" showErrorMessage="1" sqref="S4:S73" xr:uid="{00000000-0002-0000-0000-000004000000}">
      <formula1>언어코드</formula1>
    </dataValidation>
    <dataValidation type="whole" allowBlank="1" showInputMessage="1" showErrorMessage="1" sqref="F4:F28 B4:B28" xr:uid="{00000000-0002-0000-0000-000005000000}">
      <formula1>1</formula1>
      <formula2>9999</formula2>
    </dataValidation>
  </dataValidations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E205"/>
  <sheetViews>
    <sheetView topLeftCell="A133" workbookViewId="0">
      <selection activeCell="N187" sqref="N187"/>
    </sheetView>
  </sheetViews>
  <sheetFormatPr defaultColWidth="10.28515625" defaultRowHeight="16.5" customHeight="1"/>
  <cols>
    <col min="1" max="1" width="15.28515625" style="4" bestFit="1" customWidth="1"/>
    <col min="2" max="2" width="15.28515625" style="4" customWidth="1"/>
    <col min="3" max="3" width="17.5703125" style="5" bestFit="1" customWidth="1"/>
    <col min="4" max="4" width="22" style="4" bestFit="1" customWidth="1"/>
    <col min="5" max="5" width="6.85546875" style="4" bestFit="1" customWidth="1"/>
    <col min="6" max="16384" width="10.28515625" style="4"/>
  </cols>
  <sheetData>
    <row r="1" spans="1:4" ht="16.5" customHeight="1">
      <c r="A1" s="21" t="s">
        <v>252</v>
      </c>
      <c r="B1" s="21" t="s">
        <v>251</v>
      </c>
      <c r="C1" s="21" t="s">
        <v>250</v>
      </c>
    </row>
    <row r="2" spans="1:4" ht="16.5" customHeight="1">
      <c r="A2" s="6" t="s">
        <v>249</v>
      </c>
      <c r="B2" s="6"/>
      <c r="C2" s="6" t="s">
        <v>248</v>
      </c>
    </row>
    <row r="3" spans="1:4" ht="16.5" customHeight="1">
      <c r="A3" s="6" t="s">
        <v>247</v>
      </c>
      <c r="B3" s="6"/>
      <c r="C3" s="6" t="s">
        <v>246</v>
      </c>
    </row>
    <row r="4" spans="1:4" ht="16.5" customHeight="1">
      <c r="A4" s="6" t="s">
        <v>245</v>
      </c>
      <c r="B4" s="6" t="s">
        <v>244</v>
      </c>
      <c r="C4" s="20" t="s">
        <v>243</v>
      </c>
      <c r="D4" s="4" t="s">
        <v>218</v>
      </c>
    </row>
    <row r="5" spans="1:4" ht="16.5" customHeight="1">
      <c r="A5" s="104" t="s">
        <v>242</v>
      </c>
      <c r="B5" s="6">
        <v>1</v>
      </c>
      <c r="C5" s="19" t="s">
        <v>6</v>
      </c>
      <c r="D5" s="4" t="str">
        <f t="shared" ref="D5:D10" si="0">CONCATENATE(C5)</f>
        <v>전체관람가</v>
      </c>
    </row>
    <row r="6" spans="1:4" ht="16.5" customHeight="1">
      <c r="A6" s="105"/>
      <c r="B6" s="6">
        <v>2</v>
      </c>
      <c r="C6" s="19" t="s">
        <v>241</v>
      </c>
      <c r="D6" s="4" t="str">
        <f t="shared" si="0"/>
        <v>7세이상</v>
      </c>
    </row>
    <row r="7" spans="1:4" ht="16.5" customHeight="1">
      <c r="A7" s="105"/>
      <c r="B7" s="6">
        <v>3</v>
      </c>
      <c r="C7" s="19" t="s">
        <v>240</v>
      </c>
      <c r="D7" s="4" t="str">
        <f t="shared" si="0"/>
        <v>12세이상</v>
      </c>
    </row>
    <row r="8" spans="1:4" ht="16.5" customHeight="1">
      <c r="A8" s="105"/>
      <c r="B8" s="6">
        <v>4</v>
      </c>
      <c r="C8" s="19" t="s">
        <v>239</v>
      </c>
      <c r="D8" s="4" t="str">
        <f t="shared" si="0"/>
        <v>15세이상</v>
      </c>
    </row>
    <row r="9" spans="1:4" ht="16.5" customHeight="1">
      <c r="A9" s="105"/>
      <c r="B9" s="6">
        <v>5</v>
      </c>
      <c r="C9" s="19" t="s">
        <v>238</v>
      </c>
      <c r="D9" s="4" t="str">
        <f t="shared" si="0"/>
        <v>19세이상</v>
      </c>
    </row>
    <row r="10" spans="1:4" ht="16.5" customHeight="1">
      <c r="A10" s="105"/>
      <c r="B10" s="6">
        <v>6</v>
      </c>
      <c r="C10" s="19" t="s">
        <v>237</v>
      </c>
      <c r="D10" s="4" t="str">
        <f t="shared" si="0"/>
        <v>성인전용</v>
      </c>
    </row>
    <row r="11" spans="1:4" ht="16.5" customHeight="1">
      <c r="A11" s="106"/>
      <c r="B11" s="6">
        <v>7</v>
      </c>
      <c r="C11" s="18" t="s">
        <v>236</v>
      </c>
    </row>
    <row r="12" spans="1:4" ht="16.5" customHeight="1">
      <c r="A12" s="104" t="s">
        <v>235</v>
      </c>
      <c r="B12" s="6">
        <v>1</v>
      </c>
      <c r="C12" s="6" t="s">
        <v>234</v>
      </c>
      <c r="D12" s="4" t="str">
        <f>CONCATENATE(C12)</f>
        <v>SD</v>
      </c>
    </row>
    <row r="13" spans="1:4" ht="16.5" customHeight="1">
      <c r="A13" s="105"/>
      <c r="B13" s="6">
        <v>2</v>
      </c>
      <c r="C13" s="6" t="s">
        <v>233</v>
      </c>
      <c r="D13" s="4" t="str">
        <f>CONCATENATE(C13)</f>
        <v>HD</v>
      </c>
    </row>
    <row r="14" spans="1:4" ht="16.5" customHeight="1">
      <c r="A14" s="105"/>
      <c r="B14" s="6">
        <v>20</v>
      </c>
      <c r="C14" s="6" t="s">
        <v>232</v>
      </c>
      <c r="D14" s="4" t="str">
        <f>CONCATENATE(C14)</f>
        <v>Full HD</v>
      </c>
    </row>
    <row r="15" spans="1:4" ht="16.5" customHeight="1">
      <c r="A15" s="106"/>
      <c r="B15" s="6">
        <v>21</v>
      </c>
      <c r="C15" s="6" t="s">
        <v>231</v>
      </c>
      <c r="D15" s="4" t="str">
        <f>CONCATENATE(C15)</f>
        <v>Ultra HD</v>
      </c>
    </row>
    <row r="16" spans="1:4" ht="16.5" customHeight="1">
      <c r="A16" s="104" t="s">
        <v>230</v>
      </c>
      <c r="B16" s="6">
        <v>1</v>
      </c>
      <c r="C16" s="9" t="s">
        <v>229</v>
      </c>
      <c r="D16" s="4" t="s">
        <v>229</v>
      </c>
    </row>
    <row r="17" spans="1:4" ht="16.5" customHeight="1">
      <c r="A17" s="106"/>
      <c r="B17" s="6">
        <v>2</v>
      </c>
      <c r="C17" s="9" t="s">
        <v>228</v>
      </c>
      <c r="D17" s="4" t="s">
        <v>228</v>
      </c>
    </row>
    <row r="18" spans="1:4" ht="16.5" customHeight="1">
      <c r="A18" s="103" t="s">
        <v>227</v>
      </c>
      <c r="B18" s="6" t="s">
        <v>226</v>
      </c>
      <c r="C18" s="6" t="s">
        <v>225</v>
      </c>
      <c r="D18" s="4" t="str">
        <f>CONCATENATE(C18)</f>
        <v>완결</v>
      </c>
    </row>
    <row r="19" spans="1:4" ht="16.5" customHeight="1">
      <c r="A19" s="103"/>
      <c r="B19" s="6" t="s">
        <v>224</v>
      </c>
      <c r="C19" s="6" t="s">
        <v>223</v>
      </c>
      <c r="D19" s="4" t="str">
        <f>CONCATENATE(C19)</f>
        <v>미완결</v>
      </c>
    </row>
    <row r="20" spans="1:4" ht="16.5" customHeight="1">
      <c r="A20" s="103" t="s">
        <v>222</v>
      </c>
      <c r="B20" s="6">
        <v>1</v>
      </c>
      <c r="C20" s="6" t="s">
        <v>221</v>
      </c>
      <c r="D20" s="4" t="str">
        <f>CONCATENATE(C20)</f>
        <v>자막</v>
      </c>
    </row>
    <row r="21" spans="1:4" ht="16.5" customHeight="1">
      <c r="A21" s="103"/>
      <c r="B21" s="6">
        <v>2</v>
      </c>
      <c r="C21" s="6" t="s">
        <v>220</v>
      </c>
      <c r="D21" s="4" t="str">
        <f>CONCATENATE(C21)</f>
        <v>더빙</v>
      </c>
    </row>
    <row r="22" spans="1:4" ht="16.5" customHeight="1">
      <c r="A22" s="103"/>
      <c r="B22" s="6">
        <v>3</v>
      </c>
      <c r="C22" s="6" t="s">
        <v>219</v>
      </c>
      <c r="D22" s="4" t="s">
        <v>218</v>
      </c>
    </row>
    <row r="23" spans="1:4" ht="16.5" customHeight="1">
      <c r="A23" s="103" t="s">
        <v>217</v>
      </c>
      <c r="B23" s="6">
        <v>1</v>
      </c>
      <c r="C23" s="11" t="s">
        <v>216</v>
      </c>
      <c r="D23" s="4" t="str">
        <f t="shared" ref="D23:D54" si="1">CONCATENATE(C23)</f>
        <v>KBS1</v>
      </c>
    </row>
    <row r="24" spans="1:4" ht="16.5" customHeight="1">
      <c r="A24" s="103"/>
      <c r="B24" s="6">
        <v>2</v>
      </c>
      <c r="C24" s="11" t="s">
        <v>215</v>
      </c>
      <c r="D24" s="4" t="str">
        <f t="shared" si="1"/>
        <v>KBS2</v>
      </c>
    </row>
    <row r="25" spans="1:4" ht="16.5" customHeight="1">
      <c r="A25" s="103"/>
      <c r="B25" s="6">
        <v>3</v>
      </c>
      <c r="C25" s="11" t="s">
        <v>214</v>
      </c>
      <c r="D25" s="4" t="str">
        <f t="shared" si="1"/>
        <v>MBC</v>
      </c>
    </row>
    <row r="26" spans="1:4" ht="16.5" customHeight="1">
      <c r="A26" s="103"/>
      <c r="B26" s="6">
        <v>4</v>
      </c>
      <c r="C26" s="11" t="s">
        <v>213</v>
      </c>
      <c r="D26" s="4" t="str">
        <f t="shared" si="1"/>
        <v>SBS</v>
      </c>
    </row>
    <row r="27" spans="1:4" ht="16.5" customHeight="1">
      <c r="A27" s="103"/>
      <c r="B27" s="6">
        <v>5</v>
      </c>
      <c r="C27" s="11" t="s">
        <v>212</v>
      </c>
      <c r="D27" s="4" t="str">
        <f t="shared" si="1"/>
        <v>EBS</v>
      </c>
    </row>
    <row r="28" spans="1:4" ht="16.5" customHeight="1">
      <c r="A28" s="103"/>
      <c r="B28" s="6">
        <v>6</v>
      </c>
      <c r="C28" s="11" t="s">
        <v>211</v>
      </c>
      <c r="D28" s="4" t="str">
        <f t="shared" si="1"/>
        <v>CBS</v>
      </c>
    </row>
    <row r="29" spans="1:4" ht="16.5" customHeight="1">
      <c r="A29" s="103"/>
      <c r="B29" s="6">
        <v>7</v>
      </c>
      <c r="C29" s="11" t="s">
        <v>210</v>
      </c>
      <c r="D29" s="4" t="str">
        <f t="shared" si="1"/>
        <v>JTBC</v>
      </c>
    </row>
    <row r="30" spans="1:4" ht="16.5" customHeight="1">
      <c r="A30" s="103"/>
      <c r="B30" s="6">
        <v>8</v>
      </c>
      <c r="C30" s="11" t="s">
        <v>209</v>
      </c>
      <c r="D30" s="4" t="str">
        <f t="shared" si="1"/>
        <v>MBN</v>
      </c>
    </row>
    <row r="31" spans="1:4" ht="16.5" customHeight="1">
      <c r="A31" s="103"/>
      <c r="B31" s="6">
        <v>9</v>
      </c>
      <c r="C31" s="11" t="s">
        <v>208</v>
      </c>
      <c r="D31" s="4" t="str">
        <f t="shared" si="1"/>
        <v>TV조선</v>
      </c>
    </row>
    <row r="32" spans="1:4" ht="16.5" customHeight="1">
      <c r="A32" s="103"/>
      <c r="B32" s="6">
        <v>10</v>
      </c>
      <c r="C32" s="11" t="s">
        <v>207</v>
      </c>
      <c r="D32" s="4" t="str">
        <f t="shared" si="1"/>
        <v>채널A</v>
      </c>
    </row>
    <row r="33" spans="1:4" ht="16.5" customHeight="1">
      <c r="A33" s="103"/>
      <c r="B33" s="6">
        <v>12</v>
      </c>
      <c r="C33" s="11" t="s">
        <v>206</v>
      </c>
      <c r="D33" s="4" t="str">
        <f t="shared" si="1"/>
        <v>tvN</v>
      </c>
    </row>
    <row r="34" spans="1:4" ht="16.5" customHeight="1">
      <c r="A34" s="103"/>
      <c r="B34" s="6">
        <v>13</v>
      </c>
      <c r="C34" s="11" t="s">
        <v>205</v>
      </c>
      <c r="D34" s="4" t="str">
        <f t="shared" si="1"/>
        <v>Mnet</v>
      </c>
    </row>
    <row r="35" spans="1:4" ht="16.5" customHeight="1">
      <c r="A35" s="103"/>
      <c r="B35" s="6">
        <v>14</v>
      </c>
      <c r="C35" s="11" t="s">
        <v>204</v>
      </c>
      <c r="D35" s="4" t="str">
        <f t="shared" si="1"/>
        <v>OCN</v>
      </c>
    </row>
    <row r="36" spans="1:4" ht="16.5" customHeight="1">
      <c r="A36" s="103"/>
      <c r="B36" s="6">
        <v>15</v>
      </c>
      <c r="C36" s="11" t="s">
        <v>203</v>
      </c>
      <c r="D36" s="4" t="str">
        <f t="shared" si="1"/>
        <v>채널CGV</v>
      </c>
    </row>
    <row r="37" spans="1:4" ht="16.5" customHeight="1">
      <c r="A37" s="103"/>
      <c r="B37" s="6">
        <v>16</v>
      </c>
      <c r="C37" s="11" t="s">
        <v>202</v>
      </c>
      <c r="D37" s="4" t="str">
        <f t="shared" si="1"/>
        <v>On Style</v>
      </c>
    </row>
    <row r="38" spans="1:4" ht="16.5" customHeight="1">
      <c r="A38" s="103"/>
      <c r="B38" s="6">
        <v>17</v>
      </c>
      <c r="C38" s="11" t="s">
        <v>201</v>
      </c>
      <c r="D38" s="4" t="str">
        <f t="shared" si="1"/>
        <v>Story On</v>
      </c>
    </row>
    <row r="39" spans="1:4" ht="16.5" customHeight="1">
      <c r="A39" s="103"/>
      <c r="B39" s="6">
        <v>18</v>
      </c>
      <c r="C39" s="11" t="s">
        <v>200</v>
      </c>
      <c r="D39" s="4" t="str">
        <f t="shared" si="1"/>
        <v>Olive</v>
      </c>
    </row>
    <row r="40" spans="1:4" ht="16.5" customHeight="1">
      <c r="A40" s="103"/>
      <c r="B40" s="6">
        <v>19</v>
      </c>
      <c r="C40" s="11" t="s">
        <v>199</v>
      </c>
      <c r="D40" s="4" t="str">
        <f t="shared" si="1"/>
        <v>XTM</v>
      </c>
    </row>
    <row r="41" spans="1:4" ht="16.5" customHeight="1">
      <c r="A41" s="103"/>
      <c r="B41" s="6">
        <v>20</v>
      </c>
      <c r="C41" s="11" t="s">
        <v>198</v>
      </c>
      <c r="D41" s="4" t="str">
        <f t="shared" si="1"/>
        <v>바둑TV</v>
      </c>
    </row>
    <row r="42" spans="1:4" ht="16.5" customHeight="1">
      <c r="A42" s="103"/>
      <c r="B42" s="6">
        <v>21</v>
      </c>
      <c r="C42" s="11" t="s">
        <v>197</v>
      </c>
      <c r="D42" s="4" t="str">
        <f t="shared" si="1"/>
        <v>온게임넷</v>
      </c>
    </row>
    <row r="43" spans="1:4" ht="16.5" customHeight="1">
      <c r="A43" s="103"/>
      <c r="B43" s="6">
        <v>22</v>
      </c>
      <c r="C43" s="11" t="s">
        <v>196</v>
      </c>
      <c r="D43" s="4" t="str">
        <f t="shared" si="1"/>
        <v>중화TV</v>
      </c>
    </row>
    <row r="44" spans="1:4" ht="16.5" customHeight="1">
      <c r="A44" s="103"/>
      <c r="B44" s="6">
        <v>23</v>
      </c>
      <c r="C44" s="11" t="s">
        <v>195</v>
      </c>
      <c r="D44" s="4" t="str">
        <f t="shared" si="1"/>
        <v>LIVE PPV</v>
      </c>
    </row>
    <row r="45" spans="1:4" ht="16.5" customHeight="1">
      <c r="A45" s="103"/>
      <c r="B45" s="6">
        <v>11</v>
      </c>
      <c r="C45" s="17" t="s">
        <v>194</v>
      </c>
      <c r="D45" s="4" t="str">
        <f t="shared" si="1"/>
        <v>기타</v>
      </c>
    </row>
    <row r="46" spans="1:4" ht="16.5" customHeight="1">
      <c r="A46" s="103" t="s">
        <v>193</v>
      </c>
      <c r="B46" s="11">
        <v>1</v>
      </c>
      <c r="C46" s="11" t="s">
        <v>192</v>
      </c>
      <c r="D46" s="4" t="str">
        <f t="shared" si="1"/>
        <v>일</v>
      </c>
    </row>
    <row r="47" spans="1:4" ht="16.5" customHeight="1">
      <c r="A47" s="103"/>
      <c r="B47" s="11">
        <v>2</v>
      </c>
      <c r="C47" s="11" t="s">
        <v>191</v>
      </c>
      <c r="D47" s="4" t="str">
        <f t="shared" si="1"/>
        <v>월</v>
      </c>
    </row>
    <row r="48" spans="1:4" ht="16.5" customHeight="1">
      <c r="A48" s="103"/>
      <c r="B48" s="11">
        <v>3</v>
      </c>
      <c r="C48" s="11" t="s">
        <v>190</v>
      </c>
      <c r="D48" s="4" t="str">
        <f t="shared" si="1"/>
        <v>화</v>
      </c>
    </row>
    <row r="49" spans="1:4" ht="16.5" customHeight="1">
      <c r="A49" s="103"/>
      <c r="B49" s="11">
        <v>4</v>
      </c>
      <c r="C49" s="11" t="s">
        <v>189</v>
      </c>
      <c r="D49" s="4" t="str">
        <f t="shared" si="1"/>
        <v>수</v>
      </c>
    </row>
    <row r="50" spans="1:4" ht="16.5" customHeight="1">
      <c r="A50" s="103"/>
      <c r="B50" s="11">
        <v>5</v>
      </c>
      <c r="C50" s="11" t="s">
        <v>188</v>
      </c>
      <c r="D50" s="4" t="str">
        <f t="shared" si="1"/>
        <v>목</v>
      </c>
    </row>
    <row r="51" spans="1:4" ht="16.5" customHeight="1">
      <c r="A51" s="103"/>
      <c r="B51" s="11">
        <v>6</v>
      </c>
      <c r="C51" s="11" t="s">
        <v>187</v>
      </c>
      <c r="D51" s="4" t="str">
        <f t="shared" si="1"/>
        <v>금</v>
      </c>
    </row>
    <row r="52" spans="1:4" ht="16.5" customHeight="1">
      <c r="A52" s="103"/>
      <c r="B52" s="11">
        <v>7</v>
      </c>
      <c r="C52" s="11" t="s">
        <v>186</v>
      </c>
      <c r="D52" s="4" t="str">
        <f t="shared" si="1"/>
        <v>토</v>
      </c>
    </row>
    <row r="53" spans="1:4" ht="16.5" customHeight="1">
      <c r="A53" s="103"/>
      <c r="B53" s="11">
        <v>8</v>
      </c>
      <c r="C53" s="11" t="s">
        <v>185</v>
      </c>
      <c r="D53" s="4" t="str">
        <f t="shared" si="1"/>
        <v>월,화</v>
      </c>
    </row>
    <row r="54" spans="1:4" ht="16.5" customHeight="1">
      <c r="A54" s="103"/>
      <c r="B54" s="11">
        <v>9</v>
      </c>
      <c r="C54" s="11" t="s">
        <v>184</v>
      </c>
      <c r="D54" s="4" t="str">
        <f t="shared" si="1"/>
        <v>수,목</v>
      </c>
    </row>
    <row r="55" spans="1:4" ht="16.5" customHeight="1">
      <c r="A55" s="103"/>
      <c r="B55" s="11">
        <v>10</v>
      </c>
      <c r="C55" s="11" t="s">
        <v>183</v>
      </c>
      <c r="D55" s="4" t="str">
        <f t="shared" ref="D55:D86" si="2">CONCATENATE(C55)</f>
        <v>토,일</v>
      </c>
    </row>
    <row r="56" spans="1:4" ht="16.5" customHeight="1">
      <c r="A56" s="103" t="s">
        <v>182</v>
      </c>
      <c r="B56" s="11">
        <v>1</v>
      </c>
      <c r="C56" s="11" t="s">
        <v>181</v>
      </c>
      <c r="D56" s="4" t="str">
        <f t="shared" si="2"/>
        <v>축구</v>
      </c>
    </row>
    <row r="57" spans="1:4" ht="16.5" customHeight="1">
      <c r="A57" s="103"/>
      <c r="B57" s="11">
        <v>2</v>
      </c>
      <c r="C57" s="11" t="s">
        <v>180</v>
      </c>
      <c r="D57" s="4" t="str">
        <f t="shared" si="2"/>
        <v>야구</v>
      </c>
    </row>
    <row r="58" spans="1:4" ht="16.5" customHeight="1">
      <c r="A58" s="103"/>
      <c r="B58" s="11">
        <v>3</v>
      </c>
      <c r="C58" s="11" t="s">
        <v>179</v>
      </c>
      <c r="D58" s="4" t="str">
        <f t="shared" si="2"/>
        <v>농구</v>
      </c>
    </row>
    <row r="59" spans="1:4" ht="16.5" customHeight="1">
      <c r="A59" s="103"/>
      <c r="B59" s="11">
        <v>4</v>
      </c>
      <c r="C59" s="11" t="s">
        <v>178</v>
      </c>
      <c r="D59" s="4" t="str">
        <f t="shared" si="2"/>
        <v>배구</v>
      </c>
    </row>
    <row r="60" spans="1:4" ht="16.5" customHeight="1">
      <c r="A60" s="103"/>
      <c r="B60" s="11">
        <v>5</v>
      </c>
      <c r="C60" s="11" t="s">
        <v>177</v>
      </c>
      <c r="D60" s="4" t="str">
        <f t="shared" si="2"/>
        <v>골프</v>
      </c>
    </row>
    <row r="61" spans="1:4" ht="16.5" customHeight="1">
      <c r="A61" s="103"/>
      <c r="B61" s="11">
        <v>6</v>
      </c>
      <c r="C61" s="11" t="s">
        <v>176</v>
      </c>
      <c r="D61" s="4" t="str">
        <f t="shared" si="2"/>
        <v>테니스</v>
      </c>
    </row>
    <row r="62" spans="1:4" ht="16.5" customHeight="1">
      <c r="A62" s="103"/>
      <c r="B62" s="11">
        <v>7</v>
      </c>
      <c r="C62" s="11" t="s">
        <v>175</v>
      </c>
      <c r="D62" s="4" t="str">
        <f t="shared" si="2"/>
        <v>볼링</v>
      </c>
    </row>
    <row r="63" spans="1:4" ht="16.5" customHeight="1">
      <c r="A63" s="103"/>
      <c r="B63" s="11">
        <v>8</v>
      </c>
      <c r="C63" s="11" t="s">
        <v>174</v>
      </c>
      <c r="D63" s="4" t="str">
        <f t="shared" si="2"/>
        <v>수영</v>
      </c>
    </row>
    <row r="64" spans="1:4" ht="16.5" customHeight="1">
      <c r="A64" s="103"/>
      <c r="B64" s="11">
        <v>9</v>
      </c>
      <c r="C64" s="11" t="s">
        <v>173</v>
      </c>
      <c r="D64" s="4" t="str">
        <f t="shared" si="2"/>
        <v>권투</v>
      </c>
    </row>
    <row r="65" spans="1:4" ht="16.5" customHeight="1">
      <c r="A65" s="103"/>
      <c r="B65" s="11">
        <v>10</v>
      </c>
      <c r="C65" s="11" t="s">
        <v>172</v>
      </c>
      <c r="D65" s="4" t="str">
        <f t="shared" si="2"/>
        <v>씨름</v>
      </c>
    </row>
    <row r="66" spans="1:4" ht="16.5" customHeight="1">
      <c r="A66" s="103"/>
      <c r="B66" s="11">
        <v>11</v>
      </c>
      <c r="C66" s="11" t="s">
        <v>171</v>
      </c>
      <c r="D66" s="4" t="str">
        <f t="shared" si="2"/>
        <v>스케이트</v>
      </c>
    </row>
    <row r="67" spans="1:4" ht="16.5" customHeight="1">
      <c r="A67" s="103"/>
      <c r="B67" s="11">
        <v>12</v>
      </c>
      <c r="C67" s="11" t="s">
        <v>170</v>
      </c>
      <c r="D67" s="4" t="str">
        <f t="shared" si="2"/>
        <v>당구</v>
      </c>
    </row>
    <row r="68" spans="1:4" ht="16.5" customHeight="1">
      <c r="A68" s="103"/>
      <c r="B68" s="11">
        <v>13</v>
      </c>
      <c r="C68" s="11" t="s">
        <v>169</v>
      </c>
      <c r="D68" s="4" t="str">
        <f t="shared" si="2"/>
        <v>탁구</v>
      </c>
    </row>
    <row r="69" spans="1:4" ht="16.5" customHeight="1">
      <c r="A69" s="103"/>
      <c r="B69" s="11">
        <v>14</v>
      </c>
      <c r="C69" s="15" t="s">
        <v>168</v>
      </c>
      <c r="D69" s="4" t="str">
        <f t="shared" si="2"/>
        <v>양궁</v>
      </c>
    </row>
    <row r="70" spans="1:4" ht="16.5" customHeight="1">
      <c r="A70" s="103"/>
      <c r="B70" s="11">
        <v>15</v>
      </c>
      <c r="C70" s="11" t="s">
        <v>167</v>
      </c>
      <c r="D70" s="4" t="str">
        <f t="shared" si="2"/>
        <v>배트민턴</v>
      </c>
    </row>
    <row r="71" spans="1:4" ht="16.5" customHeight="1">
      <c r="A71" s="103"/>
      <c r="B71" s="11">
        <v>16</v>
      </c>
      <c r="C71" s="15" t="s">
        <v>166</v>
      </c>
      <c r="D71" s="4" t="str">
        <f t="shared" si="2"/>
        <v>카누</v>
      </c>
    </row>
    <row r="72" spans="1:4" ht="16.5" customHeight="1">
      <c r="A72" s="103"/>
      <c r="B72" s="11">
        <v>17</v>
      </c>
      <c r="C72" s="16" t="s">
        <v>165</v>
      </c>
      <c r="D72" s="4" t="str">
        <f t="shared" si="2"/>
        <v>사이클</v>
      </c>
    </row>
    <row r="73" spans="1:4" ht="16.5" customHeight="1">
      <c r="A73" s="103"/>
      <c r="B73" s="11">
        <v>18</v>
      </c>
      <c r="C73" s="11" t="s">
        <v>164</v>
      </c>
      <c r="D73" s="4" t="str">
        <f t="shared" si="2"/>
        <v>승마</v>
      </c>
    </row>
    <row r="74" spans="1:4" ht="16.5" customHeight="1">
      <c r="A74" s="103"/>
      <c r="B74" s="11">
        <v>19</v>
      </c>
      <c r="C74" s="11" t="s">
        <v>163</v>
      </c>
      <c r="D74" s="4" t="str">
        <f t="shared" si="2"/>
        <v>펜싱</v>
      </c>
    </row>
    <row r="75" spans="1:4" ht="16.5" customHeight="1">
      <c r="A75" s="103"/>
      <c r="B75" s="11">
        <v>20</v>
      </c>
      <c r="C75" s="11" t="s">
        <v>162</v>
      </c>
      <c r="D75" s="4" t="str">
        <f t="shared" si="2"/>
        <v>체조</v>
      </c>
    </row>
    <row r="76" spans="1:4" ht="16.5" customHeight="1">
      <c r="A76" s="103"/>
      <c r="B76" s="11">
        <v>21</v>
      </c>
      <c r="C76" s="15" t="s">
        <v>161</v>
      </c>
      <c r="D76" s="4" t="str">
        <f t="shared" si="2"/>
        <v>유도</v>
      </c>
    </row>
    <row r="77" spans="1:4" ht="16.5" customHeight="1">
      <c r="A77" s="103"/>
      <c r="B77" s="11">
        <v>22</v>
      </c>
      <c r="C77" s="15" t="s">
        <v>160</v>
      </c>
      <c r="D77" s="4" t="str">
        <f t="shared" si="2"/>
        <v>육상</v>
      </c>
    </row>
    <row r="78" spans="1:4" ht="16.5" customHeight="1">
      <c r="A78" s="103"/>
      <c r="B78" s="11">
        <v>23</v>
      </c>
      <c r="C78" s="15" t="s">
        <v>159</v>
      </c>
      <c r="D78" s="4" t="str">
        <f t="shared" si="2"/>
        <v>레슬링</v>
      </c>
    </row>
    <row r="79" spans="1:4" ht="16.5" customHeight="1">
      <c r="A79" s="103"/>
      <c r="B79" s="11">
        <v>24</v>
      </c>
      <c r="C79" s="15" t="s">
        <v>158</v>
      </c>
      <c r="D79" s="4" t="str">
        <f t="shared" si="2"/>
        <v>핸드볼</v>
      </c>
    </row>
    <row r="80" spans="1:4" ht="16.5" customHeight="1">
      <c r="A80" s="103"/>
      <c r="B80" s="11">
        <v>25</v>
      </c>
      <c r="C80" s="15" t="s">
        <v>157</v>
      </c>
      <c r="D80" s="4" t="str">
        <f t="shared" si="2"/>
        <v>하키</v>
      </c>
    </row>
    <row r="81" spans="1:4" ht="16.5" customHeight="1">
      <c r="A81" s="103"/>
      <c r="B81" s="11">
        <v>26</v>
      </c>
      <c r="C81" s="15" t="s">
        <v>156</v>
      </c>
      <c r="D81" s="4" t="str">
        <f t="shared" si="2"/>
        <v>조정</v>
      </c>
    </row>
    <row r="82" spans="1:4" ht="16.5" customHeight="1">
      <c r="A82" s="103"/>
      <c r="B82" s="11">
        <v>27</v>
      </c>
      <c r="C82" s="15" t="s">
        <v>155</v>
      </c>
      <c r="D82" s="4" t="str">
        <f t="shared" si="2"/>
        <v>요트</v>
      </c>
    </row>
    <row r="83" spans="1:4" ht="16.5" customHeight="1">
      <c r="A83" s="103"/>
      <c r="B83" s="11">
        <v>28</v>
      </c>
      <c r="C83" s="15" t="s">
        <v>154</v>
      </c>
      <c r="D83" s="4" t="str">
        <f t="shared" si="2"/>
        <v>사격</v>
      </c>
    </row>
    <row r="84" spans="1:4" ht="16.5" customHeight="1">
      <c r="A84" s="103"/>
      <c r="B84" s="11">
        <v>29</v>
      </c>
      <c r="C84" s="15" t="s">
        <v>153</v>
      </c>
      <c r="D84" s="4" t="str">
        <f t="shared" si="2"/>
        <v>소프트볼</v>
      </c>
    </row>
    <row r="85" spans="1:4" ht="16.5" customHeight="1">
      <c r="A85" s="103"/>
      <c r="B85" s="11">
        <v>30</v>
      </c>
      <c r="C85" s="15" t="s">
        <v>152</v>
      </c>
      <c r="D85" s="4" t="str">
        <f t="shared" si="2"/>
        <v>태권도</v>
      </c>
    </row>
    <row r="86" spans="1:4" ht="16.5" customHeight="1">
      <c r="A86" s="103"/>
      <c r="B86" s="11">
        <v>31</v>
      </c>
      <c r="C86" s="15" t="s">
        <v>151</v>
      </c>
      <c r="D86" s="4" t="str">
        <f t="shared" si="2"/>
        <v>역도</v>
      </c>
    </row>
    <row r="87" spans="1:4" ht="16.5" customHeight="1">
      <c r="A87" s="103"/>
      <c r="B87" s="11">
        <v>32</v>
      </c>
      <c r="C87" s="15" t="s">
        <v>150</v>
      </c>
      <c r="D87" s="4" t="str">
        <f t="shared" ref="D87:D118" si="3">CONCATENATE(C87)</f>
        <v>이종격투기</v>
      </c>
    </row>
    <row r="88" spans="1:4" ht="16.5" customHeight="1">
      <c r="A88" s="103"/>
      <c r="B88" s="11">
        <v>33</v>
      </c>
      <c r="C88" s="15" t="s">
        <v>149</v>
      </c>
      <c r="D88" s="4" t="str">
        <f t="shared" si="3"/>
        <v>종합격투기</v>
      </c>
    </row>
    <row r="89" spans="1:4" ht="16.5" customHeight="1">
      <c r="A89" s="103"/>
      <c r="B89" s="11">
        <v>34</v>
      </c>
      <c r="C89" s="15" t="s">
        <v>148</v>
      </c>
      <c r="D89" s="4" t="str">
        <f t="shared" si="3"/>
        <v>검도</v>
      </c>
    </row>
    <row r="90" spans="1:4" ht="16.5" customHeight="1">
      <c r="A90" s="103"/>
      <c r="B90" s="11">
        <v>35</v>
      </c>
      <c r="C90" s="15" t="s">
        <v>147</v>
      </c>
      <c r="D90" s="4" t="str">
        <f t="shared" si="3"/>
        <v>스키</v>
      </c>
    </row>
    <row r="91" spans="1:4" ht="16.5" customHeight="1">
      <c r="A91" s="103"/>
      <c r="B91" s="11">
        <v>36</v>
      </c>
      <c r="C91" s="15" t="s">
        <v>146</v>
      </c>
      <c r="D91" s="4" t="str">
        <f t="shared" si="3"/>
        <v>스노보드</v>
      </c>
    </row>
    <row r="92" spans="1:4" ht="16.5" customHeight="1">
      <c r="A92" s="103"/>
      <c r="B92" s="11">
        <v>37</v>
      </c>
      <c r="C92" s="15" t="s">
        <v>145</v>
      </c>
      <c r="D92" s="4" t="str">
        <f t="shared" si="3"/>
        <v>웨이크보드</v>
      </c>
    </row>
    <row r="93" spans="1:4" ht="16.5" customHeight="1">
      <c r="A93" s="103"/>
      <c r="B93" s="11">
        <v>38</v>
      </c>
      <c r="C93" s="15" t="s">
        <v>144</v>
      </c>
      <c r="D93" s="4" t="str">
        <f t="shared" si="3"/>
        <v>비치발리볼</v>
      </c>
    </row>
    <row r="94" spans="1:4" ht="16.5" customHeight="1">
      <c r="A94" s="103"/>
      <c r="B94" s="11">
        <v>39</v>
      </c>
      <c r="C94" s="15" t="s">
        <v>143</v>
      </c>
      <c r="D94" s="4" t="str">
        <f t="shared" si="3"/>
        <v>서핑</v>
      </c>
    </row>
    <row r="95" spans="1:4" ht="16.5" customHeight="1">
      <c r="A95" s="104" t="s">
        <v>142</v>
      </c>
      <c r="B95" s="11">
        <v>1</v>
      </c>
      <c r="C95" s="11" t="s">
        <v>141</v>
      </c>
      <c r="D95" s="4" t="str">
        <f t="shared" si="3"/>
        <v>중계</v>
      </c>
    </row>
    <row r="96" spans="1:4" ht="16.5" customHeight="1">
      <c r="A96" s="105"/>
      <c r="B96" s="11">
        <v>2</v>
      </c>
      <c r="C96" s="11" t="s">
        <v>140</v>
      </c>
      <c r="D96" s="4" t="str">
        <f t="shared" si="3"/>
        <v>하이라이트</v>
      </c>
    </row>
    <row r="97" spans="1:4" ht="16.5" customHeight="1">
      <c r="A97" s="105"/>
      <c r="B97" s="11">
        <v>3</v>
      </c>
      <c r="C97" s="11" t="s">
        <v>139</v>
      </c>
      <c r="D97" s="4" t="str">
        <f t="shared" si="3"/>
        <v>강좌</v>
      </c>
    </row>
    <row r="98" spans="1:4" ht="16.5" customHeight="1">
      <c r="A98" s="105"/>
      <c r="B98" s="11">
        <v>4</v>
      </c>
      <c r="C98" s="11" t="s">
        <v>138</v>
      </c>
      <c r="D98" s="4" t="str">
        <f t="shared" si="3"/>
        <v>리얼리티</v>
      </c>
    </row>
    <row r="99" spans="1:4" ht="16.5" customHeight="1">
      <c r="A99" s="105"/>
      <c r="B99" s="11">
        <v>5</v>
      </c>
      <c r="C99" s="11" t="s">
        <v>137</v>
      </c>
      <c r="D99" s="4" t="str">
        <f t="shared" si="3"/>
        <v>매거진</v>
      </c>
    </row>
    <row r="100" spans="1:4" ht="16.5" customHeight="1">
      <c r="A100" s="103" t="s">
        <v>136</v>
      </c>
      <c r="B100" s="11">
        <v>1</v>
      </c>
      <c r="C100" s="11" t="s">
        <v>135</v>
      </c>
      <c r="D100" s="4" t="str">
        <f t="shared" si="3"/>
        <v>유아</v>
      </c>
    </row>
    <row r="101" spans="1:4" ht="16.5" customHeight="1">
      <c r="A101" s="103"/>
      <c r="B101" s="11">
        <v>2</v>
      </c>
      <c r="C101" s="11" t="s">
        <v>134</v>
      </c>
      <c r="D101" s="4" t="str">
        <f t="shared" si="3"/>
        <v>어린이</v>
      </c>
    </row>
    <row r="102" spans="1:4" ht="16.5" customHeight="1">
      <c r="A102" s="103"/>
      <c r="B102" s="11">
        <v>3</v>
      </c>
      <c r="C102" s="11" t="s">
        <v>133</v>
      </c>
      <c r="D102" s="4" t="str">
        <f t="shared" si="3"/>
        <v>초등</v>
      </c>
    </row>
    <row r="103" spans="1:4" ht="16.5" customHeight="1">
      <c r="A103" s="103"/>
      <c r="B103" s="11">
        <v>4</v>
      </c>
      <c r="C103" s="11" t="s">
        <v>132</v>
      </c>
      <c r="D103" s="4" t="str">
        <f t="shared" si="3"/>
        <v>중등</v>
      </c>
    </row>
    <row r="104" spans="1:4" ht="16.5" customHeight="1">
      <c r="A104" s="103"/>
      <c r="B104" s="11">
        <v>5</v>
      </c>
      <c r="C104" s="11" t="s">
        <v>131</v>
      </c>
      <c r="D104" s="4" t="str">
        <f t="shared" si="3"/>
        <v>고등</v>
      </c>
    </row>
    <row r="105" spans="1:4" ht="16.5" customHeight="1">
      <c r="A105" s="103"/>
      <c r="B105" s="11">
        <v>6</v>
      </c>
      <c r="C105" s="11" t="s">
        <v>130</v>
      </c>
      <c r="D105" s="4" t="str">
        <f t="shared" si="3"/>
        <v>성인</v>
      </c>
    </row>
    <row r="106" spans="1:4" ht="16.5" customHeight="1">
      <c r="A106" s="108" t="s">
        <v>129</v>
      </c>
      <c r="B106" s="11">
        <v>1</v>
      </c>
      <c r="C106" s="11" t="s">
        <v>128</v>
      </c>
      <c r="D106" s="4" t="str">
        <f t="shared" si="3"/>
        <v>1학년</v>
      </c>
    </row>
    <row r="107" spans="1:4" ht="16.5" customHeight="1">
      <c r="A107" s="108"/>
      <c r="B107" s="11">
        <v>2</v>
      </c>
      <c r="C107" s="11" t="s">
        <v>127</v>
      </c>
      <c r="D107" s="4" t="str">
        <f t="shared" si="3"/>
        <v>2학년</v>
      </c>
    </row>
    <row r="108" spans="1:4" ht="16.5" customHeight="1">
      <c r="A108" s="108"/>
      <c r="B108" s="11">
        <v>3</v>
      </c>
      <c r="C108" s="11" t="s">
        <v>126</v>
      </c>
      <c r="D108" s="4" t="str">
        <f t="shared" si="3"/>
        <v>3학년</v>
      </c>
    </row>
    <row r="109" spans="1:4" ht="16.5" customHeight="1">
      <c r="A109" s="108"/>
      <c r="B109" s="11">
        <v>4</v>
      </c>
      <c r="C109" s="11" t="s">
        <v>125</v>
      </c>
      <c r="D109" s="4" t="str">
        <f t="shared" si="3"/>
        <v>4학년</v>
      </c>
    </row>
    <row r="110" spans="1:4" ht="16.5" customHeight="1">
      <c r="A110" s="108"/>
      <c r="B110" s="11">
        <v>5</v>
      </c>
      <c r="C110" s="11" t="s">
        <v>124</v>
      </c>
      <c r="D110" s="4" t="str">
        <f t="shared" si="3"/>
        <v>5학년</v>
      </c>
    </row>
    <row r="111" spans="1:4" ht="16.5" customHeight="1">
      <c r="A111" s="109"/>
      <c r="B111" s="11">
        <v>6</v>
      </c>
      <c r="C111" s="11" t="s">
        <v>123</v>
      </c>
      <c r="D111" s="4" t="str">
        <f t="shared" si="3"/>
        <v>6학년</v>
      </c>
    </row>
    <row r="112" spans="1:4" ht="16.5" customHeight="1">
      <c r="A112" s="104" t="s">
        <v>122</v>
      </c>
      <c r="B112" s="11">
        <v>1</v>
      </c>
      <c r="C112" s="11" t="s">
        <v>121</v>
      </c>
      <c r="D112" s="4" t="str">
        <f t="shared" si="3"/>
        <v>1학기</v>
      </c>
    </row>
    <row r="113" spans="1:4" ht="16.5" customHeight="1">
      <c r="A113" s="105"/>
      <c r="B113" s="11">
        <v>2</v>
      </c>
      <c r="C113" s="11" t="s">
        <v>120</v>
      </c>
      <c r="D113" s="4" t="str">
        <f t="shared" si="3"/>
        <v>2학기</v>
      </c>
    </row>
    <row r="114" spans="1:4" ht="16.5" customHeight="1">
      <c r="A114" s="105"/>
      <c r="B114" s="11">
        <v>3</v>
      </c>
      <c r="C114" s="11" t="s">
        <v>119</v>
      </c>
      <c r="D114" s="4" t="str">
        <f t="shared" si="3"/>
        <v>여름방학특강</v>
      </c>
    </row>
    <row r="115" spans="1:4" ht="16.5" customHeight="1">
      <c r="A115" s="106"/>
      <c r="B115" s="11">
        <v>4</v>
      </c>
      <c r="C115" s="11" t="s">
        <v>118</v>
      </c>
      <c r="D115" s="4" t="str">
        <f t="shared" si="3"/>
        <v>겨울방학특강</v>
      </c>
    </row>
    <row r="116" spans="1:4" ht="16.5" customHeight="1">
      <c r="A116" s="103" t="s">
        <v>117</v>
      </c>
      <c r="B116" s="11">
        <v>1</v>
      </c>
      <c r="C116" s="11" t="s">
        <v>116</v>
      </c>
      <c r="D116" s="4" t="str">
        <f t="shared" si="3"/>
        <v>0-3세</v>
      </c>
    </row>
    <row r="117" spans="1:4" ht="16.5" customHeight="1">
      <c r="A117" s="103"/>
      <c r="B117" s="11">
        <v>2</v>
      </c>
      <c r="C117" s="11" t="s">
        <v>115</v>
      </c>
      <c r="D117" s="4" t="str">
        <f t="shared" si="3"/>
        <v>4-7세</v>
      </c>
    </row>
    <row r="118" spans="1:4" ht="16.5" customHeight="1">
      <c r="A118" s="103"/>
      <c r="B118" s="11">
        <v>3</v>
      </c>
      <c r="C118" s="11" t="s">
        <v>114</v>
      </c>
      <c r="D118" s="4" t="str">
        <f t="shared" si="3"/>
        <v>8-11세</v>
      </c>
    </row>
    <row r="119" spans="1:4" ht="16.5" customHeight="1">
      <c r="A119" s="103"/>
      <c r="B119" s="11">
        <v>4</v>
      </c>
      <c r="C119" s="11" t="s">
        <v>113</v>
      </c>
      <c r="D119" s="4" t="str">
        <f t="shared" ref="D119:D150" si="4">CONCATENATE(C119)</f>
        <v>10대</v>
      </c>
    </row>
    <row r="120" spans="1:4" ht="16.5" customHeight="1">
      <c r="A120" s="103"/>
      <c r="B120" s="11">
        <v>5</v>
      </c>
      <c r="C120" s="11" t="s">
        <v>112</v>
      </c>
      <c r="D120" s="4" t="str">
        <f t="shared" si="4"/>
        <v>20세 이상</v>
      </c>
    </row>
    <row r="121" spans="1:4" ht="16.5" customHeight="1">
      <c r="A121" s="103"/>
      <c r="B121" s="11">
        <v>6</v>
      </c>
      <c r="C121" s="11" t="s">
        <v>111</v>
      </c>
      <c r="D121" s="4" t="str">
        <f t="shared" si="4"/>
        <v>20+(성인)</v>
      </c>
    </row>
    <row r="122" spans="1:4" ht="16.5" customHeight="1">
      <c r="A122" s="103" t="s">
        <v>110</v>
      </c>
      <c r="B122" s="11">
        <v>1</v>
      </c>
      <c r="C122" s="11" t="s">
        <v>109</v>
      </c>
      <c r="D122" s="4" t="str">
        <f t="shared" si="4"/>
        <v>초급</v>
      </c>
    </row>
    <row r="123" spans="1:4" ht="16.5" customHeight="1">
      <c r="A123" s="103"/>
      <c r="B123" s="11">
        <v>2</v>
      </c>
      <c r="C123" s="11" t="s">
        <v>108</v>
      </c>
      <c r="D123" s="4" t="str">
        <f t="shared" si="4"/>
        <v>중급</v>
      </c>
    </row>
    <row r="124" spans="1:4" ht="16.5" customHeight="1">
      <c r="A124" s="103"/>
      <c r="B124" s="11">
        <v>3</v>
      </c>
      <c r="C124" s="11" t="s">
        <v>107</v>
      </c>
      <c r="D124" s="4" t="str">
        <f t="shared" si="4"/>
        <v>고급</v>
      </c>
    </row>
    <row r="125" spans="1:4" ht="16.5" customHeight="1">
      <c r="A125" s="104" t="s">
        <v>106</v>
      </c>
      <c r="B125" s="11">
        <v>1</v>
      </c>
      <c r="C125" s="11" t="s">
        <v>105</v>
      </c>
      <c r="D125" s="4" t="str">
        <f t="shared" si="4"/>
        <v>불교</v>
      </c>
    </row>
    <row r="126" spans="1:4" ht="16.5" customHeight="1">
      <c r="A126" s="105"/>
      <c r="B126" s="11">
        <v>2</v>
      </c>
      <c r="C126" s="11" t="s">
        <v>104</v>
      </c>
      <c r="D126" s="4" t="str">
        <f t="shared" si="4"/>
        <v>기독교</v>
      </c>
    </row>
    <row r="127" spans="1:4" ht="16.5" customHeight="1">
      <c r="A127" s="105"/>
      <c r="B127" s="11">
        <v>3</v>
      </c>
      <c r="C127" s="11" t="s">
        <v>103</v>
      </c>
      <c r="D127" s="4" t="str">
        <f t="shared" si="4"/>
        <v>천주교</v>
      </c>
    </row>
    <row r="128" spans="1:4" ht="16.5" customHeight="1">
      <c r="A128" s="105"/>
      <c r="B128" s="11">
        <v>4</v>
      </c>
      <c r="C128" s="11" t="s">
        <v>102</v>
      </c>
      <c r="D128" s="4" t="str">
        <f t="shared" si="4"/>
        <v>원불교</v>
      </c>
    </row>
    <row r="129" spans="1:4" ht="16.5" customHeight="1">
      <c r="A129" s="105"/>
      <c r="B129" s="11">
        <v>5</v>
      </c>
      <c r="C129" s="11" t="s">
        <v>101</v>
      </c>
      <c r="D129" s="4" t="str">
        <f t="shared" si="4"/>
        <v>유교</v>
      </c>
    </row>
    <row r="130" spans="1:4" ht="16.5" customHeight="1">
      <c r="A130" s="105"/>
      <c r="B130" s="11">
        <v>6</v>
      </c>
      <c r="C130" s="11" t="s">
        <v>100</v>
      </c>
      <c r="D130" s="4" t="str">
        <f t="shared" si="4"/>
        <v>천도교</v>
      </c>
    </row>
    <row r="131" spans="1:4" ht="16.5" customHeight="1">
      <c r="A131" s="105"/>
      <c r="B131" s="11">
        <v>7</v>
      </c>
      <c r="C131" s="11" t="s">
        <v>99</v>
      </c>
      <c r="D131" s="4" t="str">
        <f t="shared" si="4"/>
        <v>증산교</v>
      </c>
    </row>
    <row r="132" spans="1:4" ht="16.5" customHeight="1">
      <c r="A132" s="105"/>
      <c r="B132" s="11">
        <v>8</v>
      </c>
      <c r="C132" s="11" t="s">
        <v>98</v>
      </c>
      <c r="D132" s="4" t="str">
        <f t="shared" si="4"/>
        <v>이슬람교</v>
      </c>
    </row>
    <row r="133" spans="1:4" ht="16.5" customHeight="1">
      <c r="A133" s="105"/>
      <c r="B133" s="11">
        <v>9</v>
      </c>
      <c r="C133" s="11" t="s">
        <v>97</v>
      </c>
      <c r="D133" s="4" t="str">
        <f t="shared" si="4"/>
        <v>힌두교</v>
      </c>
    </row>
    <row r="134" spans="1:4" ht="16.5" customHeight="1">
      <c r="A134" s="105"/>
      <c r="B134" s="11">
        <v>10</v>
      </c>
      <c r="C134" s="11" t="s">
        <v>96</v>
      </c>
      <c r="D134" s="4" t="str">
        <f t="shared" si="4"/>
        <v>도교</v>
      </c>
    </row>
    <row r="135" spans="1:4" ht="16.5" customHeight="1">
      <c r="A135" s="105"/>
      <c r="B135" s="11">
        <v>11</v>
      </c>
      <c r="C135" s="11" t="s">
        <v>95</v>
      </c>
      <c r="D135" s="4" t="str">
        <f t="shared" si="4"/>
        <v>통일교</v>
      </c>
    </row>
    <row r="136" spans="1:4" ht="16.5" customHeight="1">
      <c r="A136" s="103" t="s">
        <v>94</v>
      </c>
      <c r="B136" s="12" t="s">
        <v>93</v>
      </c>
      <c r="C136" s="12" t="s">
        <v>92</v>
      </c>
      <c r="D136" s="4" t="str">
        <f t="shared" si="4"/>
        <v>영리단체</v>
      </c>
    </row>
    <row r="137" spans="1:4" ht="16.5" customHeight="1">
      <c r="A137" s="103"/>
      <c r="B137" s="12" t="s">
        <v>91</v>
      </c>
      <c r="C137" s="12" t="s">
        <v>90</v>
      </c>
      <c r="D137" s="4" t="str">
        <f t="shared" si="4"/>
        <v>비영리단체</v>
      </c>
    </row>
    <row r="138" spans="1:4" ht="16.5" customHeight="1">
      <c r="A138" s="103"/>
      <c r="B138" s="12" t="s">
        <v>11</v>
      </c>
      <c r="C138" s="12" t="s">
        <v>89</v>
      </c>
      <c r="D138" s="4" t="str">
        <f t="shared" si="4"/>
        <v>공공기관단체</v>
      </c>
    </row>
    <row r="139" spans="1:4" ht="16.5" customHeight="1">
      <c r="A139" s="103"/>
      <c r="B139" s="12" t="s">
        <v>88</v>
      </c>
      <c r="C139" s="12" t="s">
        <v>87</v>
      </c>
      <c r="D139" s="4" t="str">
        <f t="shared" si="4"/>
        <v>정부기관단체</v>
      </c>
    </row>
    <row r="140" spans="1:4" ht="16.5" customHeight="1">
      <c r="A140" s="103" t="s">
        <v>86</v>
      </c>
      <c r="B140" s="6">
        <v>1</v>
      </c>
      <c r="C140" s="6" t="s">
        <v>85</v>
      </c>
      <c r="D140" s="14" t="str">
        <f t="shared" si="4"/>
        <v>Y</v>
      </c>
    </row>
    <row r="141" spans="1:4" ht="16.5" customHeight="1">
      <c r="A141" s="103"/>
      <c r="B141" s="6">
        <v>2</v>
      </c>
      <c r="C141" s="6" t="s">
        <v>84</v>
      </c>
      <c r="D141" s="14" t="str">
        <f t="shared" si="4"/>
        <v>N</v>
      </c>
    </row>
    <row r="142" spans="1:4" ht="16.5" customHeight="1">
      <c r="A142" s="103" t="s">
        <v>4</v>
      </c>
      <c r="B142" s="11">
        <v>1</v>
      </c>
      <c r="C142" s="12" t="s">
        <v>83</v>
      </c>
      <c r="D142" s="4" t="str">
        <f t="shared" si="4"/>
        <v>국어</v>
      </c>
    </row>
    <row r="143" spans="1:4" ht="16.5" customHeight="1">
      <c r="A143" s="103"/>
      <c r="B143" s="11">
        <v>2</v>
      </c>
      <c r="C143" s="12" t="s">
        <v>82</v>
      </c>
      <c r="D143" s="4" t="str">
        <f t="shared" si="4"/>
        <v>영어</v>
      </c>
    </row>
    <row r="144" spans="1:4" ht="16.5" customHeight="1">
      <c r="A144" s="103"/>
      <c r="B144" s="11">
        <v>3</v>
      </c>
      <c r="C144" s="12" t="s">
        <v>81</v>
      </c>
      <c r="D144" s="4" t="str">
        <f t="shared" si="4"/>
        <v>수학</v>
      </c>
    </row>
    <row r="145" spans="1:4" ht="16.5" customHeight="1">
      <c r="A145" s="103"/>
      <c r="B145" s="11">
        <v>4</v>
      </c>
      <c r="C145" s="12" t="s">
        <v>80</v>
      </c>
      <c r="D145" s="4" t="str">
        <f t="shared" si="4"/>
        <v>국사</v>
      </c>
    </row>
    <row r="146" spans="1:4" ht="16.5" customHeight="1">
      <c r="A146" s="103"/>
      <c r="B146" s="11">
        <v>5</v>
      </c>
      <c r="C146" s="12" t="s">
        <v>79</v>
      </c>
      <c r="D146" s="4" t="str">
        <f t="shared" si="4"/>
        <v>과학</v>
      </c>
    </row>
    <row r="147" spans="1:4" ht="16.5" customHeight="1">
      <c r="A147" s="103"/>
      <c r="B147" s="11">
        <v>6</v>
      </c>
      <c r="C147" s="12" t="s">
        <v>78</v>
      </c>
      <c r="D147" s="4" t="str">
        <f t="shared" si="4"/>
        <v>윤리</v>
      </c>
    </row>
    <row r="148" spans="1:4" ht="16.5" customHeight="1">
      <c r="A148" s="103"/>
      <c r="B148" s="11">
        <v>7</v>
      </c>
      <c r="C148" s="12" t="s">
        <v>77</v>
      </c>
      <c r="D148" s="4" t="str">
        <f t="shared" si="4"/>
        <v>한문</v>
      </c>
    </row>
    <row r="149" spans="1:4" ht="16.5" customHeight="1">
      <c r="A149" s="103"/>
      <c r="B149" s="11">
        <v>8</v>
      </c>
      <c r="C149" s="12" t="s">
        <v>76</v>
      </c>
      <c r="D149" s="4" t="str">
        <f t="shared" si="4"/>
        <v>사회</v>
      </c>
    </row>
    <row r="150" spans="1:4" ht="16.5" customHeight="1">
      <c r="A150" s="103"/>
      <c r="B150" s="11">
        <v>9</v>
      </c>
      <c r="C150" s="12" t="s">
        <v>75</v>
      </c>
      <c r="D150" s="4" t="str">
        <f t="shared" si="4"/>
        <v>지리</v>
      </c>
    </row>
    <row r="151" spans="1:4" ht="16.5" customHeight="1">
      <c r="A151" s="103"/>
      <c r="B151" s="11">
        <v>10</v>
      </c>
      <c r="C151" s="12" t="s">
        <v>74</v>
      </c>
      <c r="D151" s="4" t="str">
        <f t="shared" ref="D151:D182" si="5">CONCATENATE(C151)</f>
        <v>생물</v>
      </c>
    </row>
    <row r="152" spans="1:4" ht="16.5" customHeight="1">
      <c r="A152" s="103"/>
      <c r="B152" s="11">
        <v>11</v>
      </c>
      <c r="C152" s="12" t="s">
        <v>73</v>
      </c>
      <c r="D152" s="4" t="str">
        <f t="shared" si="5"/>
        <v>물리</v>
      </c>
    </row>
    <row r="153" spans="1:4" ht="16.5" customHeight="1">
      <c r="A153" s="103"/>
      <c r="B153" s="11">
        <v>12</v>
      </c>
      <c r="C153" s="12" t="s">
        <v>72</v>
      </c>
      <c r="D153" s="4" t="str">
        <f t="shared" si="5"/>
        <v>화학</v>
      </c>
    </row>
    <row r="154" spans="1:4" ht="16.5" customHeight="1">
      <c r="A154" s="103"/>
      <c r="B154" s="11">
        <v>13</v>
      </c>
      <c r="C154" s="12" t="s">
        <v>71</v>
      </c>
      <c r="D154" s="4" t="str">
        <f t="shared" si="5"/>
        <v>지구과학</v>
      </c>
    </row>
    <row r="155" spans="1:4" ht="16.5" customHeight="1">
      <c r="A155" s="103"/>
      <c r="B155" s="11">
        <v>14</v>
      </c>
      <c r="C155" s="12" t="s">
        <v>70</v>
      </c>
      <c r="D155" s="4" t="str">
        <f t="shared" si="5"/>
        <v>도덕</v>
      </c>
    </row>
    <row r="156" spans="1:4" ht="16.5" customHeight="1">
      <c r="A156" s="103"/>
      <c r="B156" s="11">
        <v>15</v>
      </c>
      <c r="C156" s="12" t="s">
        <v>69</v>
      </c>
      <c r="D156" s="4" t="str">
        <f t="shared" si="5"/>
        <v>음악</v>
      </c>
    </row>
    <row r="157" spans="1:4" ht="16.5" customHeight="1">
      <c r="A157" s="103"/>
      <c r="B157" s="11">
        <v>16</v>
      </c>
      <c r="C157" s="12" t="s">
        <v>68</v>
      </c>
      <c r="D157" s="4" t="str">
        <f t="shared" si="5"/>
        <v>미술</v>
      </c>
    </row>
    <row r="158" spans="1:4" ht="16.5" customHeight="1">
      <c r="A158" s="103"/>
      <c r="B158" s="11">
        <v>17</v>
      </c>
      <c r="C158" s="12" t="s">
        <v>67</v>
      </c>
      <c r="D158" s="4" t="str">
        <f t="shared" si="5"/>
        <v>체육</v>
      </c>
    </row>
    <row r="159" spans="1:4" ht="16.5" customHeight="1">
      <c r="A159" s="103"/>
      <c r="B159" s="11">
        <v>18</v>
      </c>
      <c r="C159" s="12" t="s">
        <v>66</v>
      </c>
      <c r="D159" s="4" t="str">
        <f t="shared" si="5"/>
        <v>보건</v>
      </c>
    </row>
    <row r="160" spans="1:4" ht="16.5" customHeight="1">
      <c r="A160" s="103"/>
      <c r="B160" s="11">
        <v>19</v>
      </c>
      <c r="C160" s="12" t="s">
        <v>65</v>
      </c>
      <c r="D160" s="4" t="str">
        <f t="shared" si="5"/>
        <v>기술.가정</v>
      </c>
    </row>
    <row r="161" spans="1:5" ht="16.5" customHeight="1">
      <c r="A161" s="103"/>
      <c r="B161" s="11">
        <v>20</v>
      </c>
      <c r="C161" s="12" t="s">
        <v>64</v>
      </c>
      <c r="D161" s="4" t="str">
        <f t="shared" si="5"/>
        <v>컴퓨터</v>
      </c>
    </row>
    <row r="162" spans="1:5" ht="16.5" customHeight="1">
      <c r="A162" s="103"/>
      <c r="B162" s="11">
        <v>21</v>
      </c>
      <c r="C162" s="12" t="s">
        <v>63</v>
      </c>
      <c r="D162" s="4" t="str">
        <f t="shared" si="5"/>
        <v>일어</v>
      </c>
    </row>
    <row r="163" spans="1:5" ht="16.5" customHeight="1">
      <c r="A163" s="103"/>
      <c r="B163" s="11">
        <v>22</v>
      </c>
      <c r="C163" s="12" t="s">
        <v>62</v>
      </c>
      <c r="D163" s="4" t="str">
        <f t="shared" si="5"/>
        <v>중국어</v>
      </c>
    </row>
    <row r="164" spans="1:5" ht="16.5" customHeight="1">
      <c r="A164" s="103"/>
      <c r="B164" s="11">
        <v>23</v>
      </c>
      <c r="C164" s="12" t="s">
        <v>61</v>
      </c>
      <c r="D164" s="4" t="str">
        <f t="shared" si="5"/>
        <v>독어</v>
      </c>
    </row>
    <row r="165" spans="1:5" ht="16.5" customHeight="1">
      <c r="A165" s="103"/>
      <c r="B165" s="11">
        <v>24</v>
      </c>
      <c r="C165" s="12" t="s">
        <v>60</v>
      </c>
      <c r="D165" s="4" t="str">
        <f t="shared" si="5"/>
        <v>불어</v>
      </c>
    </row>
    <row r="166" spans="1:5" ht="16.5" customHeight="1">
      <c r="A166" s="103"/>
      <c r="B166" s="11">
        <v>25</v>
      </c>
      <c r="C166" s="12" t="s">
        <v>59</v>
      </c>
      <c r="D166" s="4" t="str">
        <f t="shared" si="5"/>
        <v>스페인어</v>
      </c>
      <c r="E166" s="13"/>
    </row>
    <row r="167" spans="1:5" ht="16.5" customHeight="1">
      <c r="A167" s="103"/>
      <c r="B167" s="11">
        <v>26</v>
      </c>
      <c r="C167" s="12" t="s">
        <v>58</v>
      </c>
      <c r="D167" s="4" t="str">
        <f t="shared" si="5"/>
        <v>기타언어</v>
      </c>
    </row>
    <row r="168" spans="1:5" ht="16.5" customHeight="1">
      <c r="A168" s="103" t="s">
        <v>57</v>
      </c>
      <c r="B168" s="6">
        <v>1</v>
      </c>
      <c r="C168" s="11" t="s">
        <v>56</v>
      </c>
      <c r="D168" s="4" t="str">
        <f t="shared" si="5"/>
        <v>본편</v>
      </c>
    </row>
    <row r="169" spans="1:5" ht="16.5" customHeight="1">
      <c r="A169" s="103"/>
      <c r="B169" s="6">
        <v>2</v>
      </c>
      <c r="C169" s="11" t="s">
        <v>55</v>
      </c>
      <c r="D169" s="4" t="str">
        <f t="shared" si="5"/>
        <v>예고편</v>
      </c>
    </row>
    <row r="170" spans="1:5" ht="16.5" customHeight="1">
      <c r="A170" s="103"/>
      <c r="B170" s="6">
        <v>3</v>
      </c>
      <c r="C170" s="11" t="s">
        <v>54</v>
      </c>
      <c r="D170" s="4" t="str">
        <f t="shared" si="5"/>
        <v>티져</v>
      </c>
    </row>
    <row r="171" spans="1:5" ht="16.5" customHeight="1">
      <c r="A171" s="103"/>
      <c r="B171" s="6">
        <v>4</v>
      </c>
      <c r="C171" s="11" t="s">
        <v>53</v>
      </c>
      <c r="D171" s="4" t="str">
        <f t="shared" si="5"/>
        <v>트레일러</v>
      </c>
    </row>
    <row r="172" spans="1:5" ht="16.5" customHeight="1">
      <c r="A172" s="103"/>
      <c r="B172" s="6">
        <v>5</v>
      </c>
      <c r="C172" s="11" t="s">
        <v>52</v>
      </c>
      <c r="D172" s="4" t="str">
        <f t="shared" si="5"/>
        <v>인터뷰판</v>
      </c>
    </row>
    <row r="173" spans="1:5" ht="16.5" customHeight="1">
      <c r="A173" s="103"/>
      <c r="B173" s="6">
        <v>6</v>
      </c>
      <c r="C173" s="11" t="s">
        <v>51</v>
      </c>
      <c r="D173" s="4" t="str">
        <f t="shared" si="5"/>
        <v>감독판</v>
      </c>
    </row>
    <row r="174" spans="1:5" ht="16.5" customHeight="1">
      <c r="A174" s="103"/>
      <c r="B174" s="6">
        <v>7</v>
      </c>
      <c r="C174" s="11" t="s">
        <v>50</v>
      </c>
      <c r="D174" s="4" t="str">
        <f t="shared" si="5"/>
        <v>광고편</v>
      </c>
    </row>
    <row r="175" spans="1:5" ht="16.5" customHeight="1">
      <c r="A175" s="103"/>
      <c r="B175" s="6">
        <v>8</v>
      </c>
      <c r="C175" s="11" t="s">
        <v>49</v>
      </c>
      <c r="D175" s="4" t="str">
        <f t="shared" si="5"/>
        <v>뮤직비디오</v>
      </c>
    </row>
    <row r="176" spans="1:5" ht="16.5" customHeight="1">
      <c r="A176" s="103"/>
      <c r="B176" s="6">
        <v>9</v>
      </c>
      <c r="C176" s="11" t="s">
        <v>48</v>
      </c>
      <c r="D176" s="4" t="str">
        <f t="shared" si="5"/>
        <v>영어자막</v>
      </c>
    </row>
    <row r="177" spans="1:4" ht="16.5" customHeight="1">
      <c r="A177" s="103"/>
      <c r="B177" s="6">
        <v>10</v>
      </c>
      <c r="C177" s="11" t="s">
        <v>47</v>
      </c>
      <c r="D177" s="4" t="str">
        <f t="shared" si="5"/>
        <v>한글자막</v>
      </c>
    </row>
    <row r="178" spans="1:4" ht="16.5" customHeight="1">
      <c r="A178" s="103"/>
      <c r="B178" s="6">
        <v>11</v>
      </c>
      <c r="C178" s="11" t="s">
        <v>46</v>
      </c>
      <c r="D178" s="4" t="str">
        <f t="shared" si="5"/>
        <v>일어자막</v>
      </c>
    </row>
    <row r="179" spans="1:4" ht="16.5" customHeight="1">
      <c r="A179" s="103"/>
      <c r="B179" s="6">
        <v>12</v>
      </c>
      <c r="C179" s="11" t="s">
        <v>45</v>
      </c>
      <c r="D179" s="4" t="str">
        <f t="shared" si="5"/>
        <v>중국어자막</v>
      </c>
    </row>
    <row r="180" spans="1:4" ht="16.5" customHeight="1">
      <c r="A180" s="103"/>
      <c r="B180" s="6">
        <v>13</v>
      </c>
      <c r="C180" s="11" t="s">
        <v>44</v>
      </c>
      <c r="D180" s="4" t="str">
        <f t="shared" si="5"/>
        <v>한국어더빙</v>
      </c>
    </row>
    <row r="181" spans="1:4" ht="16.5" customHeight="1">
      <c r="A181" s="103"/>
      <c r="B181" s="6">
        <v>14</v>
      </c>
      <c r="C181" s="11" t="s">
        <v>43</v>
      </c>
      <c r="D181" s="4" t="str">
        <f t="shared" si="5"/>
        <v>영어더빙</v>
      </c>
    </row>
    <row r="182" spans="1:4" ht="16.5" customHeight="1">
      <c r="A182" s="103"/>
      <c r="B182" s="6">
        <v>15</v>
      </c>
      <c r="C182" s="11" t="s">
        <v>42</v>
      </c>
      <c r="D182" s="4" t="str">
        <f t="shared" si="5"/>
        <v>클립</v>
      </c>
    </row>
    <row r="183" spans="1:4" ht="16.5" customHeight="1">
      <c r="A183" s="103" t="s">
        <v>41</v>
      </c>
      <c r="B183" s="6">
        <v>1</v>
      </c>
      <c r="C183" s="6" t="s">
        <v>40</v>
      </c>
      <c r="D183" s="4" t="str">
        <f t="shared" ref="D183:D187" si="6">CONCATENATE(C183)</f>
        <v>테이프</v>
      </c>
    </row>
    <row r="184" spans="1:4" ht="16.5" customHeight="1">
      <c r="A184" s="103"/>
      <c r="B184" s="6">
        <v>2</v>
      </c>
      <c r="C184" s="6" t="s">
        <v>39</v>
      </c>
      <c r="D184" s="4" t="str">
        <f t="shared" si="6"/>
        <v>디스크</v>
      </c>
    </row>
    <row r="185" spans="1:4" ht="16.5" customHeight="1">
      <c r="A185" s="103"/>
      <c r="B185" s="6">
        <v>3</v>
      </c>
      <c r="C185" s="6" t="s">
        <v>38</v>
      </c>
      <c r="D185" s="4" t="str">
        <f t="shared" si="6"/>
        <v>온라인</v>
      </c>
    </row>
    <row r="186" spans="1:4" ht="16.5" customHeight="1">
      <c r="A186" s="104" t="s">
        <v>37</v>
      </c>
      <c r="B186" s="6">
        <v>1</v>
      </c>
      <c r="C186" s="6" t="s">
        <v>36</v>
      </c>
      <c r="D186" s="4" t="str">
        <f t="shared" si="6"/>
        <v>2D</v>
      </c>
    </row>
    <row r="187" spans="1:4" ht="16.5" customHeight="1">
      <c r="A187" s="107"/>
      <c r="B187" s="6">
        <v>2</v>
      </c>
      <c r="C187" s="6" t="s">
        <v>35</v>
      </c>
      <c r="D187" s="4" t="str">
        <f t="shared" si="6"/>
        <v>3D</v>
      </c>
    </row>
    <row r="188" spans="1:4" ht="16.5" customHeight="1">
      <c r="A188" s="103" t="s">
        <v>34</v>
      </c>
      <c r="B188" s="6">
        <v>0</v>
      </c>
      <c r="C188" s="10" t="s">
        <v>33</v>
      </c>
      <c r="D188" s="4" t="str">
        <f t="shared" ref="D188:D205" si="7">CONCATENATE(B188, ":", C188)</f>
        <v>0:일반영상(VR 아님)</v>
      </c>
    </row>
    <row r="189" spans="1:4" ht="16.5" customHeight="1">
      <c r="A189" s="103"/>
      <c r="B189" s="6">
        <v>1</v>
      </c>
      <c r="C189" s="6" t="s">
        <v>32</v>
      </c>
      <c r="D189" s="4" t="str">
        <f t="shared" si="7"/>
        <v>1:파노라마 2D</v>
      </c>
    </row>
    <row r="190" spans="1:4" ht="16.5" customHeight="1">
      <c r="A190" s="103"/>
      <c r="B190" s="6">
        <v>2</v>
      </c>
      <c r="C190" s="6" t="s">
        <v>31</v>
      </c>
      <c r="D190" s="4" t="str">
        <f t="shared" si="7"/>
        <v>2:파노라마 3D</v>
      </c>
    </row>
    <row r="191" spans="1:4" ht="16.5" customHeight="1">
      <c r="A191" s="104" t="s">
        <v>30</v>
      </c>
      <c r="B191" s="9" t="s">
        <v>29</v>
      </c>
      <c r="C191" s="6" t="s">
        <v>22</v>
      </c>
      <c r="D191" s="4" t="str">
        <f t="shared" si="7"/>
        <v>00:전체관람가</v>
      </c>
    </row>
    <row r="192" spans="1:4" ht="16.5" customHeight="1">
      <c r="A192" s="105"/>
      <c r="B192" s="9" t="s">
        <v>28</v>
      </c>
      <c r="C192" s="6" t="s">
        <v>27</v>
      </c>
      <c r="D192" s="4" t="str">
        <f t="shared" si="7"/>
        <v>07:7세이상</v>
      </c>
    </row>
    <row r="193" spans="1:4" ht="16.5" customHeight="1">
      <c r="A193" s="105"/>
      <c r="B193" s="9">
        <v>12</v>
      </c>
      <c r="C193" s="6" t="s">
        <v>26</v>
      </c>
      <c r="D193" s="4" t="str">
        <f t="shared" si="7"/>
        <v>12:12세이상</v>
      </c>
    </row>
    <row r="194" spans="1:4" ht="16.5" customHeight="1">
      <c r="A194" s="105"/>
      <c r="B194" s="9">
        <v>15</v>
      </c>
      <c r="C194" s="6" t="s">
        <v>20</v>
      </c>
      <c r="D194" s="4" t="str">
        <f t="shared" si="7"/>
        <v>15:15세이상</v>
      </c>
    </row>
    <row r="195" spans="1:4" ht="16.5" customHeight="1">
      <c r="A195" s="106"/>
      <c r="B195" s="9">
        <v>19</v>
      </c>
      <c r="C195" s="6" t="s">
        <v>25</v>
      </c>
      <c r="D195" s="4" t="str">
        <f t="shared" si="7"/>
        <v>19:19세미만관람불가</v>
      </c>
    </row>
    <row r="196" spans="1:4" ht="16.5" customHeight="1">
      <c r="A196" s="103" t="s">
        <v>24</v>
      </c>
      <c r="B196" s="9" t="s">
        <v>23</v>
      </c>
      <c r="C196" s="6" t="s">
        <v>22</v>
      </c>
      <c r="D196" s="4" t="str">
        <f t="shared" si="7"/>
        <v>00:전체관람가</v>
      </c>
    </row>
    <row r="197" spans="1:4" ht="16.5" customHeight="1">
      <c r="A197" s="103"/>
      <c r="B197" s="9">
        <v>12</v>
      </c>
      <c r="C197" s="6" t="s">
        <v>21</v>
      </c>
      <c r="D197" s="4" t="str">
        <f t="shared" si="7"/>
        <v>12:12세이상</v>
      </c>
    </row>
    <row r="198" spans="1:4" ht="16.5" customHeight="1">
      <c r="A198" s="103"/>
      <c r="B198" s="9">
        <v>15</v>
      </c>
      <c r="C198" s="6" t="s">
        <v>20</v>
      </c>
      <c r="D198" s="4" t="str">
        <f t="shared" si="7"/>
        <v>15:15세이상</v>
      </c>
    </row>
    <row r="199" spans="1:4" ht="16.5" customHeight="1">
      <c r="A199" s="104"/>
      <c r="B199" s="8">
        <v>18</v>
      </c>
      <c r="C199" s="7" t="s">
        <v>19</v>
      </c>
      <c r="D199" s="4" t="str">
        <f t="shared" si="7"/>
        <v>18:청소년관람불가</v>
      </c>
    </row>
    <row r="200" spans="1:4" ht="16.5" customHeight="1">
      <c r="A200" s="103" t="s">
        <v>18</v>
      </c>
      <c r="B200" s="6">
        <v>0</v>
      </c>
      <c r="C200" s="6" t="s">
        <v>17</v>
      </c>
      <c r="D200" s="4" t="str">
        <f t="shared" si="7"/>
        <v>0:없음</v>
      </c>
    </row>
    <row r="201" spans="1:4" ht="16.5" customHeight="1">
      <c r="A201" s="103"/>
      <c r="B201" s="6">
        <v>1</v>
      </c>
      <c r="C201" s="6" t="s">
        <v>16</v>
      </c>
      <c r="D201" s="4" t="str">
        <f t="shared" si="7"/>
        <v>1:낮음</v>
      </c>
    </row>
    <row r="202" spans="1:4" ht="16.5" customHeight="1">
      <c r="A202" s="103"/>
      <c r="B202" s="6">
        <v>2</v>
      </c>
      <c r="C202" s="6" t="s">
        <v>15</v>
      </c>
      <c r="D202" s="4" t="str">
        <f t="shared" si="7"/>
        <v>2:보통</v>
      </c>
    </row>
    <row r="203" spans="1:4" ht="16.5" customHeight="1">
      <c r="A203" s="103"/>
      <c r="B203" s="6">
        <v>3</v>
      </c>
      <c r="C203" s="6" t="s">
        <v>14</v>
      </c>
      <c r="D203" s="4" t="str">
        <f t="shared" si="7"/>
        <v>3:다소높음</v>
      </c>
    </row>
    <row r="204" spans="1:4" ht="16.5" customHeight="1">
      <c r="A204" s="103"/>
      <c r="B204" s="6">
        <v>4</v>
      </c>
      <c r="C204" s="6" t="s">
        <v>13</v>
      </c>
      <c r="D204" s="4" t="str">
        <f t="shared" si="7"/>
        <v>4:높음</v>
      </c>
    </row>
    <row r="205" spans="1:4" ht="16.5" customHeight="1">
      <c r="A205" s="103"/>
      <c r="B205" s="6">
        <v>5</v>
      </c>
      <c r="C205" s="6" t="s">
        <v>12</v>
      </c>
      <c r="D205" s="4" t="str">
        <f t="shared" si="7"/>
        <v>5:매우높음</v>
      </c>
    </row>
  </sheetData>
  <mergeCells count="25">
    <mergeCell ref="A5:A11"/>
    <mergeCell ref="A12:A15"/>
    <mergeCell ref="A16:A17"/>
    <mergeCell ref="A95:A99"/>
    <mergeCell ref="A142:A167"/>
    <mergeCell ref="A18:A19"/>
    <mergeCell ref="A20:A22"/>
    <mergeCell ref="A112:A115"/>
    <mergeCell ref="A140:A141"/>
    <mergeCell ref="A106:A111"/>
    <mergeCell ref="A100:A105"/>
    <mergeCell ref="A122:A124"/>
    <mergeCell ref="A116:A121"/>
    <mergeCell ref="A23:A45"/>
    <mergeCell ref="A46:A55"/>
    <mergeCell ref="A56:A94"/>
    <mergeCell ref="A196:A199"/>
    <mergeCell ref="A200:A205"/>
    <mergeCell ref="A188:A190"/>
    <mergeCell ref="A136:A139"/>
    <mergeCell ref="A125:A135"/>
    <mergeCell ref="A191:A195"/>
    <mergeCell ref="A183:A185"/>
    <mergeCell ref="A186:A187"/>
    <mergeCell ref="A168:A182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C247"/>
  <sheetViews>
    <sheetView workbookViewId="0">
      <selection activeCell="C48" sqref="C48"/>
    </sheetView>
  </sheetViews>
  <sheetFormatPr defaultColWidth="10.28515625" defaultRowHeight="13.5"/>
  <cols>
    <col min="1" max="1" width="7.28515625" style="22" bestFit="1" customWidth="1"/>
    <col min="2" max="2" width="37.85546875" style="22" bestFit="1" customWidth="1"/>
    <col min="3" max="3" width="37.28515625" style="22" bestFit="1" customWidth="1"/>
    <col min="4" max="16384" width="10.28515625" style="22"/>
  </cols>
  <sheetData>
    <row r="1" spans="1:3">
      <c r="A1" s="24" t="s">
        <v>746</v>
      </c>
      <c r="B1" s="24" t="s">
        <v>745</v>
      </c>
    </row>
    <row r="2" spans="1:3">
      <c r="A2" s="23" t="s">
        <v>744</v>
      </c>
      <c r="B2" s="23" t="s">
        <v>743</v>
      </c>
      <c r="C2" s="22" t="str">
        <f t="shared" ref="C2:C65" si="0">CONCATENATE(A2, ":", B2)</f>
        <v>KOR:대한민국</v>
      </c>
    </row>
    <row r="3" spans="1:3">
      <c r="A3" s="23" t="s">
        <v>742</v>
      </c>
      <c r="B3" s="23" t="s">
        <v>741</v>
      </c>
      <c r="C3" s="22" t="str">
        <f t="shared" si="0"/>
        <v>USA:미국</v>
      </c>
    </row>
    <row r="4" spans="1:3">
      <c r="A4" s="23" t="s">
        <v>740</v>
      </c>
      <c r="B4" s="23" t="s">
        <v>739</v>
      </c>
      <c r="C4" s="22" t="str">
        <f t="shared" si="0"/>
        <v>GBR:영국</v>
      </c>
    </row>
    <row r="5" spans="1:3">
      <c r="A5" s="23" t="s">
        <v>738</v>
      </c>
      <c r="B5" s="23" t="s">
        <v>737</v>
      </c>
      <c r="C5" s="22" t="str">
        <f t="shared" si="0"/>
        <v>FRA:프랑스</v>
      </c>
    </row>
    <row r="6" spans="1:3">
      <c r="A6" s="23" t="s">
        <v>736</v>
      </c>
      <c r="B6" s="23" t="s">
        <v>735</v>
      </c>
      <c r="C6" s="22" t="str">
        <f t="shared" si="0"/>
        <v>JPN:일본</v>
      </c>
    </row>
    <row r="7" spans="1:3">
      <c r="A7" s="23" t="s">
        <v>734</v>
      </c>
      <c r="B7" s="23" t="s">
        <v>733</v>
      </c>
      <c r="C7" s="22" t="str">
        <f t="shared" si="0"/>
        <v>IND:인도</v>
      </c>
    </row>
    <row r="8" spans="1:3">
      <c r="A8" s="23" t="s">
        <v>732</v>
      </c>
      <c r="B8" s="23" t="s">
        <v>731</v>
      </c>
      <c r="C8" s="22" t="str">
        <f t="shared" si="0"/>
        <v>CHN:중화인민공화국</v>
      </c>
    </row>
    <row r="9" spans="1:3">
      <c r="A9" s="23" t="s">
        <v>730</v>
      </c>
      <c r="B9" s="23" t="s">
        <v>729</v>
      </c>
      <c r="C9" s="22" t="str">
        <f t="shared" si="0"/>
        <v>HKG:홍콩</v>
      </c>
    </row>
    <row r="10" spans="1:3">
      <c r="A10" s="23" t="s">
        <v>728</v>
      </c>
      <c r="B10" s="23" t="s">
        <v>727</v>
      </c>
      <c r="C10" s="22" t="str">
        <f t="shared" si="0"/>
        <v>TWN:중화민국</v>
      </c>
    </row>
    <row r="11" spans="1:3">
      <c r="A11" s="23" t="s">
        <v>726</v>
      </c>
      <c r="B11" s="23" t="s">
        <v>725</v>
      </c>
      <c r="C11" s="22" t="str">
        <f t="shared" si="0"/>
        <v>DEU:독일</v>
      </c>
    </row>
    <row r="12" spans="1:3">
      <c r="A12" s="23" t="s">
        <v>724</v>
      </c>
      <c r="B12" s="23" t="s">
        <v>723</v>
      </c>
      <c r="C12" s="22" t="str">
        <f t="shared" si="0"/>
        <v>THA:타이</v>
      </c>
    </row>
    <row r="13" spans="1:3">
      <c r="A13" s="23" t="s">
        <v>722</v>
      </c>
      <c r="B13" s="23" t="s">
        <v>721</v>
      </c>
      <c r="C13" s="22" t="str">
        <f t="shared" si="0"/>
        <v>ITA:이탈리아</v>
      </c>
    </row>
    <row r="14" spans="1:3">
      <c r="A14" s="23" t="s">
        <v>720</v>
      </c>
      <c r="B14" s="23" t="s">
        <v>719</v>
      </c>
      <c r="C14" s="22" t="str">
        <f t="shared" si="0"/>
        <v>ABW:아루바</v>
      </c>
    </row>
    <row r="15" spans="1:3">
      <c r="A15" s="23" t="s">
        <v>718</v>
      </c>
      <c r="B15" s="23" t="s">
        <v>717</v>
      </c>
      <c r="C15" s="22" t="str">
        <f t="shared" si="0"/>
        <v>AFG:아프가니스탄</v>
      </c>
    </row>
    <row r="16" spans="1:3">
      <c r="A16" s="23" t="s">
        <v>716</v>
      </c>
      <c r="B16" s="23" t="s">
        <v>715</v>
      </c>
      <c r="C16" s="22" t="str">
        <f t="shared" si="0"/>
        <v>AGO:앙골라</v>
      </c>
    </row>
    <row r="17" spans="1:3">
      <c r="A17" s="23" t="s">
        <v>714</v>
      </c>
      <c r="B17" s="23" t="s">
        <v>713</v>
      </c>
      <c r="C17" s="22" t="str">
        <f t="shared" si="0"/>
        <v>AIA:앵귈라</v>
      </c>
    </row>
    <row r="18" spans="1:3">
      <c r="A18" s="23" t="s">
        <v>712</v>
      </c>
      <c r="B18" s="23" t="s">
        <v>711</v>
      </c>
      <c r="C18" s="22" t="str">
        <f t="shared" si="0"/>
        <v>ALA:올란드 제도</v>
      </c>
    </row>
    <row r="19" spans="1:3">
      <c r="A19" s="23" t="s">
        <v>710</v>
      </c>
      <c r="B19" s="23" t="s">
        <v>709</v>
      </c>
      <c r="C19" s="22" t="str">
        <f t="shared" si="0"/>
        <v>ALB:알바니아</v>
      </c>
    </row>
    <row r="20" spans="1:3">
      <c r="A20" s="23" t="s">
        <v>708</v>
      </c>
      <c r="B20" s="23" t="s">
        <v>707</v>
      </c>
      <c r="C20" s="22" t="str">
        <f t="shared" si="0"/>
        <v>AND:안도라</v>
      </c>
    </row>
    <row r="21" spans="1:3">
      <c r="A21" s="23" t="s">
        <v>706</v>
      </c>
      <c r="B21" s="23" t="s">
        <v>705</v>
      </c>
      <c r="C21" s="22" t="str">
        <f t="shared" si="0"/>
        <v>ANT:네덜란드령 안틸레스</v>
      </c>
    </row>
    <row r="22" spans="1:3">
      <c r="A22" s="23" t="s">
        <v>704</v>
      </c>
      <c r="B22" s="23" t="s">
        <v>703</v>
      </c>
      <c r="C22" s="22" t="str">
        <f t="shared" si="0"/>
        <v>ARE:아랍에미리트</v>
      </c>
    </row>
    <row r="23" spans="1:3">
      <c r="A23" s="23" t="s">
        <v>702</v>
      </c>
      <c r="B23" s="23" t="s">
        <v>701</v>
      </c>
      <c r="C23" s="22" t="str">
        <f t="shared" si="0"/>
        <v>ARG:아르헨티나</v>
      </c>
    </row>
    <row r="24" spans="1:3">
      <c r="A24" s="23" t="s">
        <v>700</v>
      </c>
      <c r="B24" s="23" t="s">
        <v>699</v>
      </c>
      <c r="C24" s="22" t="str">
        <f t="shared" si="0"/>
        <v>ARM:아르메니아</v>
      </c>
    </row>
    <row r="25" spans="1:3">
      <c r="A25" s="23" t="s">
        <v>698</v>
      </c>
      <c r="B25" s="23" t="s">
        <v>697</v>
      </c>
      <c r="C25" s="22" t="str">
        <f t="shared" si="0"/>
        <v>ASM:아메리칸사모아</v>
      </c>
    </row>
    <row r="26" spans="1:3">
      <c r="A26" s="23" t="s">
        <v>696</v>
      </c>
      <c r="B26" s="23" t="s">
        <v>695</v>
      </c>
      <c r="C26" s="22" t="str">
        <f t="shared" si="0"/>
        <v>ATA:남극</v>
      </c>
    </row>
    <row r="27" spans="1:3">
      <c r="A27" s="23" t="s">
        <v>694</v>
      </c>
      <c r="B27" s="23" t="s">
        <v>693</v>
      </c>
      <c r="C27" s="22" t="str">
        <f t="shared" si="0"/>
        <v>ATF:프랑스령 남부와 남극 지역</v>
      </c>
    </row>
    <row r="28" spans="1:3">
      <c r="A28" s="23" t="s">
        <v>692</v>
      </c>
      <c r="B28" s="23" t="s">
        <v>691</v>
      </c>
      <c r="C28" s="22" t="str">
        <f t="shared" si="0"/>
        <v>ATG:앤티가 바부다</v>
      </c>
    </row>
    <row r="29" spans="1:3">
      <c r="A29" s="23" t="s">
        <v>690</v>
      </c>
      <c r="B29" s="23" t="s">
        <v>689</v>
      </c>
      <c r="C29" s="22" t="str">
        <f t="shared" si="0"/>
        <v>AUS:오스트레일리아</v>
      </c>
    </row>
    <row r="30" spans="1:3">
      <c r="A30" s="23" t="s">
        <v>688</v>
      </c>
      <c r="B30" s="23" t="s">
        <v>687</v>
      </c>
      <c r="C30" s="22" t="str">
        <f t="shared" si="0"/>
        <v>AUT:오스트리아</v>
      </c>
    </row>
    <row r="31" spans="1:3">
      <c r="A31" s="23" t="s">
        <v>686</v>
      </c>
      <c r="B31" s="23" t="s">
        <v>685</v>
      </c>
      <c r="C31" s="22" t="str">
        <f t="shared" si="0"/>
        <v>AZE:아제르바이잔</v>
      </c>
    </row>
    <row r="32" spans="1:3">
      <c r="A32" s="23" t="s">
        <v>684</v>
      </c>
      <c r="B32" s="23" t="s">
        <v>683</v>
      </c>
      <c r="C32" s="22" t="str">
        <f t="shared" si="0"/>
        <v>BDI:부룬디</v>
      </c>
    </row>
    <row r="33" spans="1:3">
      <c r="A33" s="23" t="s">
        <v>682</v>
      </c>
      <c r="B33" s="23" t="s">
        <v>681</v>
      </c>
      <c r="C33" s="22" t="str">
        <f t="shared" si="0"/>
        <v>BEL:벨기에</v>
      </c>
    </row>
    <row r="34" spans="1:3">
      <c r="A34" s="23" t="s">
        <v>680</v>
      </c>
      <c r="B34" s="23" t="s">
        <v>679</v>
      </c>
      <c r="C34" s="22" t="str">
        <f t="shared" si="0"/>
        <v>BEN:베냉</v>
      </c>
    </row>
    <row r="35" spans="1:3">
      <c r="A35" s="23" t="s">
        <v>678</v>
      </c>
      <c r="B35" s="23" t="s">
        <v>677</v>
      </c>
      <c r="C35" s="22" t="str">
        <f t="shared" si="0"/>
        <v>BFA:부르키나파소</v>
      </c>
    </row>
    <row r="36" spans="1:3">
      <c r="A36" s="23" t="s">
        <v>676</v>
      </c>
      <c r="B36" s="23" t="s">
        <v>675</v>
      </c>
      <c r="C36" s="22" t="str">
        <f t="shared" si="0"/>
        <v>BGD:방글라데시</v>
      </c>
    </row>
    <row r="37" spans="1:3">
      <c r="A37" s="23" t="s">
        <v>674</v>
      </c>
      <c r="B37" s="23" t="s">
        <v>673</v>
      </c>
      <c r="C37" s="22" t="str">
        <f t="shared" si="0"/>
        <v>BGR:불가리아</v>
      </c>
    </row>
    <row r="38" spans="1:3">
      <c r="A38" s="23" t="s">
        <v>672</v>
      </c>
      <c r="B38" s="23" t="s">
        <v>671</v>
      </c>
      <c r="C38" s="22" t="str">
        <f t="shared" si="0"/>
        <v>BHR:바레인</v>
      </c>
    </row>
    <row r="39" spans="1:3">
      <c r="A39" s="23" t="s">
        <v>670</v>
      </c>
      <c r="B39" s="23" t="s">
        <v>669</v>
      </c>
      <c r="C39" s="22" t="str">
        <f t="shared" si="0"/>
        <v>BHS:바하마</v>
      </c>
    </row>
    <row r="40" spans="1:3">
      <c r="A40" s="23" t="s">
        <v>668</v>
      </c>
      <c r="B40" s="23" t="s">
        <v>667</v>
      </c>
      <c r="C40" s="22" t="str">
        <f t="shared" si="0"/>
        <v>BIH:보스니아 헤르체고비나</v>
      </c>
    </row>
    <row r="41" spans="1:3">
      <c r="A41" s="23" t="s">
        <v>666</v>
      </c>
      <c r="B41" s="23" t="s">
        <v>665</v>
      </c>
      <c r="C41" s="22" t="str">
        <f t="shared" si="0"/>
        <v>BLM:생바르텔레미</v>
      </c>
    </row>
    <row r="42" spans="1:3">
      <c r="A42" s="23" t="s">
        <v>664</v>
      </c>
      <c r="B42" s="23" t="s">
        <v>663</v>
      </c>
      <c r="C42" s="22" t="str">
        <f t="shared" si="0"/>
        <v>BLR:벨라루스</v>
      </c>
    </row>
    <row r="43" spans="1:3">
      <c r="A43" s="23" t="s">
        <v>662</v>
      </c>
      <c r="B43" s="23" t="s">
        <v>661</v>
      </c>
      <c r="C43" s="22" t="str">
        <f t="shared" si="0"/>
        <v>BLZ:벨리즈</v>
      </c>
    </row>
    <row r="44" spans="1:3">
      <c r="A44" s="23" t="s">
        <v>660</v>
      </c>
      <c r="B44" s="23" t="s">
        <v>659</v>
      </c>
      <c r="C44" s="22" t="str">
        <f t="shared" si="0"/>
        <v>BMU:버뮤다</v>
      </c>
    </row>
    <row r="45" spans="1:3">
      <c r="A45" s="23" t="s">
        <v>658</v>
      </c>
      <c r="B45" s="23" t="s">
        <v>657</v>
      </c>
      <c r="C45" s="22" t="str">
        <f t="shared" si="0"/>
        <v>BOL:볼리비아</v>
      </c>
    </row>
    <row r="46" spans="1:3">
      <c r="A46" s="23" t="s">
        <v>656</v>
      </c>
      <c r="B46" s="23" t="s">
        <v>655</v>
      </c>
      <c r="C46" s="22" t="str">
        <f t="shared" si="0"/>
        <v>BRA:브라질</v>
      </c>
    </row>
    <row r="47" spans="1:3">
      <c r="A47" s="23" t="s">
        <v>654</v>
      </c>
      <c r="B47" s="23" t="s">
        <v>653</v>
      </c>
      <c r="C47" s="22" t="str">
        <f t="shared" si="0"/>
        <v>BRB:바베이도스</v>
      </c>
    </row>
    <row r="48" spans="1:3">
      <c r="A48" s="23" t="s">
        <v>652</v>
      </c>
      <c r="B48" s="23" t="s">
        <v>651</v>
      </c>
      <c r="C48" s="22" t="str">
        <f t="shared" si="0"/>
        <v>BRN:브루나이</v>
      </c>
    </row>
    <row r="49" spans="1:3">
      <c r="A49" s="23" t="s">
        <v>650</v>
      </c>
      <c r="B49" s="23" t="s">
        <v>649</v>
      </c>
      <c r="C49" s="22" t="str">
        <f t="shared" si="0"/>
        <v>BTN:부탄</v>
      </c>
    </row>
    <row r="50" spans="1:3">
      <c r="A50" s="23" t="s">
        <v>648</v>
      </c>
      <c r="B50" s="23" t="s">
        <v>647</v>
      </c>
      <c r="C50" s="22" t="str">
        <f t="shared" si="0"/>
        <v>BVT:부베 섬</v>
      </c>
    </row>
    <row r="51" spans="1:3">
      <c r="A51" s="23" t="s">
        <v>646</v>
      </c>
      <c r="B51" s="23" t="s">
        <v>645</v>
      </c>
      <c r="C51" s="22" t="str">
        <f t="shared" si="0"/>
        <v>BWA:보츠와나</v>
      </c>
    </row>
    <row r="52" spans="1:3">
      <c r="A52" s="23" t="s">
        <v>644</v>
      </c>
      <c r="B52" s="23" t="s">
        <v>643</v>
      </c>
      <c r="C52" s="22" t="str">
        <f t="shared" si="0"/>
        <v>CAF:중앙아프리카 공화국</v>
      </c>
    </row>
    <row r="53" spans="1:3">
      <c r="A53" s="23" t="s">
        <v>642</v>
      </c>
      <c r="B53" s="23" t="s">
        <v>641</v>
      </c>
      <c r="C53" s="22" t="str">
        <f t="shared" si="0"/>
        <v>CAN:캐나다</v>
      </c>
    </row>
    <row r="54" spans="1:3">
      <c r="A54" s="23" t="s">
        <v>640</v>
      </c>
      <c r="B54" s="23" t="s">
        <v>639</v>
      </c>
      <c r="C54" s="22" t="str">
        <f t="shared" si="0"/>
        <v>CCK:코코스 제도</v>
      </c>
    </row>
    <row r="55" spans="1:3">
      <c r="A55" s="23" t="s">
        <v>638</v>
      </c>
      <c r="B55" s="23" t="s">
        <v>637</v>
      </c>
      <c r="C55" s="22" t="str">
        <f t="shared" si="0"/>
        <v>CHE:스위스</v>
      </c>
    </row>
    <row r="56" spans="1:3">
      <c r="A56" s="23" t="s">
        <v>636</v>
      </c>
      <c r="B56" s="23" t="s">
        <v>635</v>
      </c>
      <c r="C56" s="22" t="str">
        <f t="shared" si="0"/>
        <v>CHL:칠레</v>
      </c>
    </row>
    <row r="57" spans="1:3">
      <c r="A57" s="23" t="s">
        <v>634</v>
      </c>
      <c r="B57" s="23" t="s">
        <v>633</v>
      </c>
      <c r="C57" s="22" t="str">
        <f t="shared" si="0"/>
        <v>CIV:코트디부아르</v>
      </c>
    </row>
    <row r="58" spans="1:3">
      <c r="A58" s="23" t="s">
        <v>632</v>
      </c>
      <c r="B58" s="23" t="s">
        <v>631</v>
      </c>
      <c r="C58" s="22" t="str">
        <f t="shared" si="0"/>
        <v>CMR:카메룬</v>
      </c>
    </row>
    <row r="59" spans="1:3">
      <c r="A59" s="23" t="s">
        <v>630</v>
      </c>
      <c r="B59" s="23" t="s">
        <v>629</v>
      </c>
      <c r="C59" s="22" t="str">
        <f t="shared" si="0"/>
        <v>COD:콩고 민주 공화국</v>
      </c>
    </row>
    <row r="60" spans="1:3">
      <c r="A60" s="23" t="s">
        <v>628</v>
      </c>
      <c r="B60" s="23" t="s">
        <v>627</v>
      </c>
      <c r="C60" s="22" t="str">
        <f t="shared" si="0"/>
        <v>COG:콩고 공화국</v>
      </c>
    </row>
    <row r="61" spans="1:3">
      <c r="A61" s="23" t="s">
        <v>626</v>
      </c>
      <c r="B61" s="23" t="s">
        <v>625</v>
      </c>
      <c r="C61" s="22" t="str">
        <f t="shared" si="0"/>
        <v>COK:쿡 제도</v>
      </c>
    </row>
    <row r="62" spans="1:3">
      <c r="A62" s="23" t="s">
        <v>624</v>
      </c>
      <c r="B62" s="23" t="s">
        <v>623</v>
      </c>
      <c r="C62" s="22" t="str">
        <f t="shared" si="0"/>
        <v>COL:콜롬비아</v>
      </c>
    </row>
    <row r="63" spans="1:3">
      <c r="A63" s="23" t="s">
        <v>622</v>
      </c>
      <c r="B63" s="23" t="s">
        <v>621</v>
      </c>
      <c r="C63" s="22" t="str">
        <f t="shared" si="0"/>
        <v>COM:코모로</v>
      </c>
    </row>
    <row r="64" spans="1:3">
      <c r="A64" s="23" t="s">
        <v>620</v>
      </c>
      <c r="B64" s="23" t="s">
        <v>619</v>
      </c>
      <c r="C64" s="22" t="str">
        <f t="shared" si="0"/>
        <v>CPV:카보베르데</v>
      </c>
    </row>
    <row r="65" spans="1:3">
      <c r="A65" s="23" t="s">
        <v>618</v>
      </c>
      <c r="B65" s="23" t="s">
        <v>617</v>
      </c>
      <c r="C65" s="22" t="str">
        <f t="shared" si="0"/>
        <v>CRI:코스타리카</v>
      </c>
    </row>
    <row r="66" spans="1:3">
      <c r="A66" s="23" t="s">
        <v>616</v>
      </c>
      <c r="B66" s="23" t="s">
        <v>615</v>
      </c>
      <c r="C66" s="22" t="str">
        <f t="shared" ref="C66:C129" si="1">CONCATENATE(A66, ":", B66)</f>
        <v>CUB:쿠바</v>
      </c>
    </row>
    <row r="67" spans="1:3">
      <c r="A67" s="23" t="s">
        <v>614</v>
      </c>
      <c r="B67" s="23" t="s">
        <v>613</v>
      </c>
      <c r="C67" s="22" t="str">
        <f t="shared" si="1"/>
        <v>CXR:크리스마스 섬</v>
      </c>
    </row>
    <row r="68" spans="1:3">
      <c r="A68" s="23" t="s">
        <v>612</v>
      </c>
      <c r="B68" s="23" t="s">
        <v>611</v>
      </c>
      <c r="C68" s="22" t="str">
        <f t="shared" si="1"/>
        <v>CYM:케이맨 제도</v>
      </c>
    </row>
    <row r="69" spans="1:3">
      <c r="A69" s="23" t="s">
        <v>610</v>
      </c>
      <c r="B69" s="23" t="s">
        <v>609</v>
      </c>
      <c r="C69" s="22" t="str">
        <f t="shared" si="1"/>
        <v>CYP:키프로스</v>
      </c>
    </row>
    <row r="70" spans="1:3">
      <c r="A70" s="23" t="s">
        <v>608</v>
      </c>
      <c r="B70" s="23" t="s">
        <v>607</v>
      </c>
      <c r="C70" s="22" t="str">
        <f t="shared" si="1"/>
        <v>CZE:체코</v>
      </c>
    </row>
    <row r="71" spans="1:3">
      <c r="A71" s="23" t="s">
        <v>606</v>
      </c>
      <c r="B71" s="23" t="s">
        <v>605</v>
      </c>
      <c r="C71" s="22" t="str">
        <f t="shared" si="1"/>
        <v>DJI:지부티</v>
      </c>
    </row>
    <row r="72" spans="1:3">
      <c r="A72" s="23" t="s">
        <v>604</v>
      </c>
      <c r="B72" s="23" t="s">
        <v>603</v>
      </c>
      <c r="C72" s="22" t="str">
        <f t="shared" si="1"/>
        <v>DMA:도미니카</v>
      </c>
    </row>
    <row r="73" spans="1:3">
      <c r="A73" s="23" t="s">
        <v>602</v>
      </c>
      <c r="B73" s="23" t="s">
        <v>601</v>
      </c>
      <c r="C73" s="22" t="str">
        <f t="shared" si="1"/>
        <v>DNK:덴마크</v>
      </c>
    </row>
    <row r="74" spans="1:3">
      <c r="A74" s="23" t="s">
        <v>600</v>
      </c>
      <c r="B74" s="23" t="s">
        <v>599</v>
      </c>
      <c r="C74" s="22" t="str">
        <f t="shared" si="1"/>
        <v>DOM:도미니카 공화국</v>
      </c>
    </row>
    <row r="75" spans="1:3">
      <c r="A75" s="23" t="s">
        <v>598</v>
      </c>
      <c r="B75" s="23" t="s">
        <v>597</v>
      </c>
      <c r="C75" s="22" t="str">
        <f t="shared" si="1"/>
        <v>DZA:알제리</v>
      </c>
    </row>
    <row r="76" spans="1:3">
      <c r="A76" s="23" t="s">
        <v>596</v>
      </c>
      <c r="B76" s="23" t="s">
        <v>595</v>
      </c>
      <c r="C76" s="22" t="str">
        <f t="shared" si="1"/>
        <v>ECU:에콰도르</v>
      </c>
    </row>
    <row r="77" spans="1:3">
      <c r="A77" s="23" t="s">
        <v>594</v>
      </c>
      <c r="B77" s="23" t="s">
        <v>593</v>
      </c>
      <c r="C77" s="22" t="str">
        <f t="shared" si="1"/>
        <v>EGY:이집트</v>
      </c>
    </row>
    <row r="78" spans="1:3">
      <c r="A78" s="23" t="s">
        <v>592</v>
      </c>
      <c r="B78" s="23" t="s">
        <v>591</v>
      </c>
      <c r="C78" s="22" t="str">
        <f t="shared" si="1"/>
        <v>ERI:에리트레아</v>
      </c>
    </row>
    <row r="79" spans="1:3">
      <c r="A79" s="23" t="s">
        <v>590</v>
      </c>
      <c r="B79" s="23" t="s">
        <v>589</v>
      </c>
      <c r="C79" s="22" t="str">
        <f t="shared" si="1"/>
        <v>ESH:서사하라</v>
      </c>
    </row>
    <row r="80" spans="1:3">
      <c r="A80" s="23" t="s">
        <v>588</v>
      </c>
      <c r="B80" s="23" t="s">
        <v>587</v>
      </c>
      <c r="C80" s="22" t="str">
        <f t="shared" si="1"/>
        <v>ESP:스페인</v>
      </c>
    </row>
    <row r="81" spans="1:3">
      <c r="A81" s="23" t="s">
        <v>586</v>
      </c>
      <c r="B81" s="23" t="s">
        <v>585</v>
      </c>
      <c r="C81" s="22" t="str">
        <f t="shared" si="1"/>
        <v>EST:에스토니아</v>
      </c>
    </row>
    <row r="82" spans="1:3">
      <c r="A82" s="23" t="s">
        <v>584</v>
      </c>
      <c r="B82" s="23" t="s">
        <v>583</v>
      </c>
      <c r="C82" s="22" t="str">
        <f t="shared" si="1"/>
        <v>ETH:에티오피아</v>
      </c>
    </row>
    <row r="83" spans="1:3">
      <c r="A83" s="23" t="s">
        <v>582</v>
      </c>
      <c r="B83" s="23" t="s">
        <v>581</v>
      </c>
      <c r="C83" s="22" t="str">
        <f t="shared" si="1"/>
        <v>FIN:핀란드</v>
      </c>
    </row>
    <row r="84" spans="1:3">
      <c r="A84" s="23" t="s">
        <v>580</v>
      </c>
      <c r="B84" s="23" t="s">
        <v>579</v>
      </c>
      <c r="C84" s="22" t="str">
        <f t="shared" si="1"/>
        <v>FJI:피지</v>
      </c>
    </row>
    <row r="85" spans="1:3">
      <c r="A85" s="23" t="s">
        <v>578</v>
      </c>
      <c r="B85" s="23" t="s">
        <v>577</v>
      </c>
      <c r="C85" s="22" t="str">
        <f t="shared" si="1"/>
        <v>FLK:포클랜드 제도</v>
      </c>
    </row>
    <row r="86" spans="1:3">
      <c r="A86" s="23" t="s">
        <v>576</v>
      </c>
      <c r="B86" s="23" t="s">
        <v>575</v>
      </c>
      <c r="C86" s="22" t="str">
        <f t="shared" si="1"/>
        <v>FRO:페로 제도</v>
      </c>
    </row>
    <row r="87" spans="1:3">
      <c r="A87" s="23" t="s">
        <v>574</v>
      </c>
      <c r="B87" s="23" t="s">
        <v>573</v>
      </c>
      <c r="C87" s="22" t="str">
        <f t="shared" si="1"/>
        <v>FSM:미크로네시아 연방</v>
      </c>
    </row>
    <row r="88" spans="1:3">
      <c r="A88" s="23" t="s">
        <v>572</v>
      </c>
      <c r="B88" s="23" t="s">
        <v>571</v>
      </c>
      <c r="C88" s="22" t="str">
        <f t="shared" si="1"/>
        <v>GAB:가봉</v>
      </c>
    </row>
    <row r="89" spans="1:3">
      <c r="A89" s="23" t="s">
        <v>570</v>
      </c>
      <c r="B89" s="23" t="s">
        <v>569</v>
      </c>
      <c r="C89" s="22" t="str">
        <f t="shared" si="1"/>
        <v>GEO:조지아</v>
      </c>
    </row>
    <row r="90" spans="1:3">
      <c r="A90" s="23" t="s">
        <v>568</v>
      </c>
      <c r="B90" s="23" t="s">
        <v>567</v>
      </c>
      <c r="C90" s="22" t="str">
        <f t="shared" si="1"/>
        <v>GGY:건지 섬</v>
      </c>
    </row>
    <row r="91" spans="1:3">
      <c r="A91" s="23" t="s">
        <v>566</v>
      </c>
      <c r="B91" s="23" t="s">
        <v>565</v>
      </c>
      <c r="C91" s="22" t="str">
        <f t="shared" si="1"/>
        <v>GHA:가나</v>
      </c>
    </row>
    <row r="92" spans="1:3">
      <c r="A92" s="23" t="s">
        <v>564</v>
      </c>
      <c r="B92" s="23" t="s">
        <v>563</v>
      </c>
      <c r="C92" s="22" t="str">
        <f t="shared" si="1"/>
        <v>GIB:지브롤터</v>
      </c>
    </row>
    <row r="93" spans="1:3">
      <c r="A93" s="23" t="s">
        <v>562</v>
      </c>
      <c r="B93" s="23" t="s">
        <v>561</v>
      </c>
      <c r="C93" s="22" t="str">
        <f t="shared" si="1"/>
        <v>GIN:기니</v>
      </c>
    </row>
    <row r="94" spans="1:3">
      <c r="A94" s="23" t="s">
        <v>560</v>
      </c>
      <c r="B94" s="23" t="s">
        <v>559</v>
      </c>
      <c r="C94" s="22" t="str">
        <f t="shared" si="1"/>
        <v>GLP:과들루프</v>
      </c>
    </row>
    <row r="95" spans="1:3">
      <c r="A95" s="23" t="s">
        <v>558</v>
      </c>
      <c r="B95" s="23" t="s">
        <v>557</v>
      </c>
      <c r="C95" s="22" t="str">
        <f t="shared" si="1"/>
        <v>GMB:감비아</v>
      </c>
    </row>
    <row r="96" spans="1:3">
      <c r="A96" s="23" t="s">
        <v>556</v>
      </c>
      <c r="B96" s="23" t="s">
        <v>555</v>
      </c>
      <c r="C96" s="22" t="str">
        <f t="shared" si="1"/>
        <v>GNB:기니비사우</v>
      </c>
    </row>
    <row r="97" spans="1:3">
      <c r="A97" s="23" t="s">
        <v>554</v>
      </c>
      <c r="B97" s="23" t="s">
        <v>553</v>
      </c>
      <c r="C97" s="22" t="str">
        <f t="shared" si="1"/>
        <v>GNQ:적도 기니</v>
      </c>
    </row>
    <row r="98" spans="1:3">
      <c r="A98" s="23" t="s">
        <v>552</v>
      </c>
      <c r="B98" s="23" t="s">
        <v>551</v>
      </c>
      <c r="C98" s="22" t="str">
        <f t="shared" si="1"/>
        <v>GRC:그리스</v>
      </c>
    </row>
    <row r="99" spans="1:3">
      <c r="A99" s="23" t="s">
        <v>550</v>
      </c>
      <c r="B99" s="23" t="s">
        <v>549</v>
      </c>
      <c r="C99" s="22" t="str">
        <f t="shared" si="1"/>
        <v>GRD:그레나다</v>
      </c>
    </row>
    <row r="100" spans="1:3">
      <c r="A100" s="23" t="s">
        <v>548</v>
      </c>
      <c r="B100" s="23" t="s">
        <v>547</v>
      </c>
      <c r="C100" s="22" t="str">
        <f t="shared" si="1"/>
        <v>GRL:그린란드</v>
      </c>
    </row>
    <row r="101" spans="1:3">
      <c r="A101" s="23" t="s">
        <v>546</v>
      </c>
      <c r="B101" s="23" t="s">
        <v>545</v>
      </c>
      <c r="C101" s="22" t="str">
        <f t="shared" si="1"/>
        <v>GTM:과테말라</v>
      </c>
    </row>
    <row r="102" spans="1:3">
      <c r="A102" s="23" t="s">
        <v>544</v>
      </c>
      <c r="B102" s="23" t="s">
        <v>543</v>
      </c>
      <c r="C102" s="22" t="str">
        <f t="shared" si="1"/>
        <v>GUF:프랑스령 기아나</v>
      </c>
    </row>
    <row r="103" spans="1:3">
      <c r="A103" s="23" t="s">
        <v>542</v>
      </c>
      <c r="B103" s="23" t="s">
        <v>541</v>
      </c>
      <c r="C103" s="22" t="str">
        <f t="shared" si="1"/>
        <v>GUM:괌</v>
      </c>
    </row>
    <row r="104" spans="1:3">
      <c r="A104" s="23" t="s">
        <v>540</v>
      </c>
      <c r="B104" s="23" t="s">
        <v>539</v>
      </c>
      <c r="C104" s="22" t="str">
        <f t="shared" si="1"/>
        <v>GUY:가이아나</v>
      </c>
    </row>
    <row r="105" spans="1:3">
      <c r="A105" s="23" t="s">
        <v>538</v>
      </c>
      <c r="B105" s="23" t="s">
        <v>537</v>
      </c>
      <c r="C105" s="22" t="str">
        <f t="shared" si="1"/>
        <v>HMD:허드 맥도널드 제도</v>
      </c>
    </row>
    <row r="106" spans="1:3">
      <c r="A106" s="23" t="s">
        <v>536</v>
      </c>
      <c r="B106" s="23" t="s">
        <v>535</v>
      </c>
      <c r="C106" s="22" t="str">
        <f t="shared" si="1"/>
        <v>HND:온두라스</v>
      </c>
    </row>
    <row r="107" spans="1:3">
      <c r="A107" s="23" t="s">
        <v>534</v>
      </c>
      <c r="B107" s="23" t="s">
        <v>533</v>
      </c>
      <c r="C107" s="22" t="str">
        <f t="shared" si="1"/>
        <v>HRV:크로아티아</v>
      </c>
    </row>
    <row r="108" spans="1:3">
      <c r="A108" s="23" t="s">
        <v>532</v>
      </c>
      <c r="B108" s="23" t="s">
        <v>531</v>
      </c>
      <c r="C108" s="22" t="str">
        <f t="shared" si="1"/>
        <v>HTI:아이티</v>
      </c>
    </row>
    <row r="109" spans="1:3">
      <c r="A109" s="23" t="s">
        <v>530</v>
      </c>
      <c r="B109" s="23" t="s">
        <v>529</v>
      </c>
      <c r="C109" s="22" t="str">
        <f t="shared" si="1"/>
        <v>HUN:헝가리</v>
      </c>
    </row>
    <row r="110" spans="1:3">
      <c r="A110" s="23" t="s">
        <v>528</v>
      </c>
      <c r="B110" s="23" t="s">
        <v>527</v>
      </c>
      <c r="C110" s="22" t="str">
        <f t="shared" si="1"/>
        <v>IDN:인도네시아</v>
      </c>
    </row>
    <row r="111" spans="1:3">
      <c r="A111" s="23" t="s">
        <v>526</v>
      </c>
      <c r="B111" s="23" t="s">
        <v>525</v>
      </c>
      <c r="C111" s="22" t="str">
        <f t="shared" si="1"/>
        <v>IMN:맨 섬</v>
      </c>
    </row>
    <row r="112" spans="1:3">
      <c r="A112" s="23" t="s">
        <v>524</v>
      </c>
      <c r="B112" s="23" t="s">
        <v>523</v>
      </c>
      <c r="C112" s="22" t="str">
        <f t="shared" si="1"/>
        <v>IOT:영국령 인도양 지역</v>
      </c>
    </row>
    <row r="113" spans="1:3">
      <c r="A113" s="23" t="s">
        <v>522</v>
      </c>
      <c r="B113" s="23" t="s">
        <v>521</v>
      </c>
      <c r="C113" s="22" t="str">
        <f t="shared" si="1"/>
        <v>IRL:아일랜드</v>
      </c>
    </row>
    <row r="114" spans="1:3">
      <c r="A114" s="23" t="s">
        <v>520</v>
      </c>
      <c r="B114" s="23" t="s">
        <v>519</v>
      </c>
      <c r="C114" s="22" t="str">
        <f t="shared" si="1"/>
        <v>IRN:이란</v>
      </c>
    </row>
    <row r="115" spans="1:3">
      <c r="A115" s="23" t="s">
        <v>518</v>
      </c>
      <c r="B115" s="23" t="s">
        <v>517</v>
      </c>
      <c r="C115" s="22" t="str">
        <f t="shared" si="1"/>
        <v>IRQ:이라크</v>
      </c>
    </row>
    <row r="116" spans="1:3">
      <c r="A116" s="23" t="s">
        <v>516</v>
      </c>
      <c r="B116" s="23" t="s">
        <v>515</v>
      </c>
      <c r="C116" s="22" t="str">
        <f t="shared" si="1"/>
        <v>ISL:아이슬란드</v>
      </c>
    </row>
    <row r="117" spans="1:3">
      <c r="A117" s="23" t="s">
        <v>514</v>
      </c>
      <c r="B117" s="23" t="s">
        <v>513</v>
      </c>
      <c r="C117" s="22" t="str">
        <f t="shared" si="1"/>
        <v>ISR:이스라엘</v>
      </c>
    </row>
    <row r="118" spans="1:3">
      <c r="A118" s="23" t="s">
        <v>512</v>
      </c>
      <c r="B118" s="23" t="s">
        <v>511</v>
      </c>
      <c r="C118" s="22" t="str">
        <f t="shared" si="1"/>
        <v>JAM:자메이카</v>
      </c>
    </row>
    <row r="119" spans="1:3">
      <c r="A119" s="23" t="s">
        <v>510</v>
      </c>
      <c r="B119" s="23" t="s">
        <v>509</v>
      </c>
      <c r="C119" s="22" t="str">
        <f t="shared" si="1"/>
        <v>JEY:저지 섬</v>
      </c>
    </row>
    <row r="120" spans="1:3">
      <c r="A120" s="23" t="s">
        <v>508</v>
      </c>
      <c r="B120" s="23" t="s">
        <v>507</v>
      </c>
      <c r="C120" s="22" t="str">
        <f t="shared" si="1"/>
        <v>JOR:요르단</v>
      </c>
    </row>
    <row r="121" spans="1:3">
      <c r="A121" s="23" t="s">
        <v>506</v>
      </c>
      <c r="B121" s="23" t="s">
        <v>505</v>
      </c>
      <c r="C121" s="22" t="str">
        <f t="shared" si="1"/>
        <v>KAZ:카자흐스탄</v>
      </c>
    </row>
    <row r="122" spans="1:3">
      <c r="A122" s="23" t="s">
        <v>504</v>
      </c>
      <c r="B122" s="23" t="s">
        <v>503</v>
      </c>
      <c r="C122" s="22" t="str">
        <f t="shared" si="1"/>
        <v>KEN:케냐</v>
      </c>
    </row>
    <row r="123" spans="1:3">
      <c r="A123" s="23" t="s">
        <v>502</v>
      </c>
      <c r="B123" s="23" t="s">
        <v>501</v>
      </c>
      <c r="C123" s="22" t="str">
        <f t="shared" si="1"/>
        <v>KGZ:키르기스스탄</v>
      </c>
    </row>
    <row r="124" spans="1:3">
      <c r="A124" s="23" t="s">
        <v>500</v>
      </c>
      <c r="B124" s="23" t="s">
        <v>499</v>
      </c>
      <c r="C124" s="22" t="str">
        <f t="shared" si="1"/>
        <v>KHM:캄보디아</v>
      </c>
    </row>
    <row r="125" spans="1:3">
      <c r="A125" s="23" t="s">
        <v>498</v>
      </c>
      <c r="B125" s="23" t="s">
        <v>497</v>
      </c>
      <c r="C125" s="22" t="str">
        <f t="shared" si="1"/>
        <v>KIR:키리바시</v>
      </c>
    </row>
    <row r="126" spans="1:3">
      <c r="A126" s="23" t="s">
        <v>496</v>
      </c>
      <c r="B126" s="23" t="s">
        <v>495</v>
      </c>
      <c r="C126" s="22" t="str">
        <f t="shared" si="1"/>
        <v>KNA:세인트키츠 네비스</v>
      </c>
    </row>
    <row r="127" spans="1:3">
      <c r="A127" s="23" t="s">
        <v>494</v>
      </c>
      <c r="B127" s="23" t="s">
        <v>493</v>
      </c>
      <c r="C127" s="22" t="str">
        <f t="shared" si="1"/>
        <v>KWT:쿠웨이트</v>
      </c>
    </row>
    <row r="128" spans="1:3">
      <c r="A128" s="23" t="s">
        <v>492</v>
      </c>
      <c r="B128" s="23" t="s">
        <v>491</v>
      </c>
      <c r="C128" s="22" t="str">
        <f t="shared" si="1"/>
        <v>LAO:라오스</v>
      </c>
    </row>
    <row r="129" spans="1:3">
      <c r="A129" s="23" t="s">
        <v>490</v>
      </c>
      <c r="B129" s="23" t="s">
        <v>489</v>
      </c>
      <c r="C129" s="22" t="str">
        <f t="shared" si="1"/>
        <v>LBN:레바논</v>
      </c>
    </row>
    <row r="130" spans="1:3">
      <c r="A130" s="23" t="s">
        <v>488</v>
      </c>
      <c r="B130" s="23" t="s">
        <v>487</v>
      </c>
      <c r="C130" s="22" t="str">
        <f t="shared" ref="C130:C193" si="2">CONCATENATE(A130, ":", B130)</f>
        <v>LBR:라이베리아</v>
      </c>
    </row>
    <row r="131" spans="1:3">
      <c r="A131" s="23" t="s">
        <v>486</v>
      </c>
      <c r="B131" s="23" t="s">
        <v>485</v>
      </c>
      <c r="C131" s="22" t="str">
        <f t="shared" si="2"/>
        <v>LBY:리비아</v>
      </c>
    </row>
    <row r="132" spans="1:3">
      <c r="A132" s="23" t="s">
        <v>484</v>
      </c>
      <c r="B132" s="23" t="s">
        <v>483</v>
      </c>
      <c r="C132" s="22" t="str">
        <f t="shared" si="2"/>
        <v>LCA:세인트루시아</v>
      </c>
    </row>
    <row r="133" spans="1:3">
      <c r="A133" s="23" t="s">
        <v>482</v>
      </c>
      <c r="B133" s="23" t="s">
        <v>481</v>
      </c>
      <c r="C133" s="22" t="str">
        <f t="shared" si="2"/>
        <v>LIE:리히텐슈타인</v>
      </c>
    </row>
    <row r="134" spans="1:3">
      <c r="A134" s="23" t="s">
        <v>480</v>
      </c>
      <c r="B134" s="23" t="s">
        <v>479</v>
      </c>
      <c r="C134" s="22" t="str">
        <f t="shared" si="2"/>
        <v>LKA:스리랑카</v>
      </c>
    </row>
    <row r="135" spans="1:3">
      <c r="A135" s="23" t="s">
        <v>478</v>
      </c>
      <c r="B135" s="23" t="s">
        <v>477</v>
      </c>
      <c r="C135" s="22" t="str">
        <f t="shared" si="2"/>
        <v>LSO:레소토</v>
      </c>
    </row>
    <row r="136" spans="1:3">
      <c r="A136" s="23" t="s">
        <v>476</v>
      </c>
      <c r="B136" s="23" t="s">
        <v>475</v>
      </c>
      <c r="C136" s="22" t="str">
        <f t="shared" si="2"/>
        <v>LTU:리투아니아</v>
      </c>
    </row>
    <row r="137" spans="1:3">
      <c r="A137" s="23" t="s">
        <v>474</v>
      </c>
      <c r="B137" s="23" t="s">
        <v>473</v>
      </c>
      <c r="C137" s="22" t="str">
        <f t="shared" si="2"/>
        <v>LUX:룩셈부르크</v>
      </c>
    </row>
    <row r="138" spans="1:3">
      <c r="A138" s="23" t="s">
        <v>472</v>
      </c>
      <c r="B138" s="23" t="s">
        <v>471</v>
      </c>
      <c r="C138" s="22" t="str">
        <f t="shared" si="2"/>
        <v>LVA:라트비아</v>
      </c>
    </row>
    <row r="139" spans="1:3">
      <c r="A139" s="23" t="s">
        <v>470</v>
      </c>
      <c r="B139" s="23" t="s">
        <v>469</v>
      </c>
      <c r="C139" s="22" t="str">
        <f t="shared" si="2"/>
        <v>MAC:마카오</v>
      </c>
    </row>
    <row r="140" spans="1:3">
      <c r="A140" s="23" t="s">
        <v>468</v>
      </c>
      <c r="B140" s="23" t="s">
        <v>467</v>
      </c>
      <c r="C140" s="22" t="str">
        <f t="shared" si="2"/>
        <v>MAF:생마르탱</v>
      </c>
    </row>
    <row r="141" spans="1:3">
      <c r="A141" s="23" t="s">
        <v>466</v>
      </c>
      <c r="B141" s="23" t="s">
        <v>465</v>
      </c>
      <c r="C141" s="22" t="str">
        <f t="shared" si="2"/>
        <v>MAR:모로코</v>
      </c>
    </row>
    <row r="142" spans="1:3">
      <c r="A142" s="23" t="s">
        <v>464</v>
      </c>
      <c r="B142" s="23" t="s">
        <v>463</v>
      </c>
      <c r="C142" s="22" t="str">
        <f t="shared" si="2"/>
        <v>MCO:모나코</v>
      </c>
    </row>
    <row r="143" spans="1:3">
      <c r="A143" s="23" t="s">
        <v>462</v>
      </c>
      <c r="B143" s="23" t="s">
        <v>461</v>
      </c>
      <c r="C143" s="22" t="str">
        <f t="shared" si="2"/>
        <v>MDA:몰도바</v>
      </c>
    </row>
    <row r="144" spans="1:3">
      <c r="A144" s="23" t="s">
        <v>460</v>
      </c>
      <c r="B144" s="23" t="s">
        <v>459</v>
      </c>
      <c r="C144" s="22" t="str">
        <f t="shared" si="2"/>
        <v>MDG:마다가스카르</v>
      </c>
    </row>
    <row r="145" spans="1:3">
      <c r="A145" s="23" t="s">
        <v>458</v>
      </c>
      <c r="B145" s="23" t="s">
        <v>457</v>
      </c>
      <c r="C145" s="22" t="str">
        <f t="shared" si="2"/>
        <v>MDV:몰디브</v>
      </c>
    </row>
    <row r="146" spans="1:3">
      <c r="A146" s="23" t="s">
        <v>456</v>
      </c>
      <c r="B146" s="23" t="s">
        <v>455</v>
      </c>
      <c r="C146" s="22" t="str">
        <f t="shared" si="2"/>
        <v>MEX:멕시코</v>
      </c>
    </row>
    <row r="147" spans="1:3">
      <c r="A147" s="23" t="s">
        <v>454</v>
      </c>
      <c r="B147" s="23" t="s">
        <v>453</v>
      </c>
      <c r="C147" s="22" t="str">
        <f t="shared" si="2"/>
        <v>MHL:마셜 제도</v>
      </c>
    </row>
    <row r="148" spans="1:3">
      <c r="A148" s="23" t="s">
        <v>452</v>
      </c>
      <c r="B148" s="23" t="s">
        <v>451</v>
      </c>
      <c r="C148" s="22" t="str">
        <f t="shared" si="2"/>
        <v>MKD:마케도니아 공화국</v>
      </c>
    </row>
    <row r="149" spans="1:3">
      <c r="A149" s="23" t="s">
        <v>450</v>
      </c>
      <c r="B149" s="23" t="s">
        <v>449</v>
      </c>
      <c r="C149" s="22" t="str">
        <f t="shared" si="2"/>
        <v>MLI:말리</v>
      </c>
    </row>
    <row r="150" spans="1:3">
      <c r="A150" s="23" t="s">
        <v>448</v>
      </c>
      <c r="B150" s="23" t="s">
        <v>447</v>
      </c>
      <c r="C150" s="22" t="str">
        <f t="shared" si="2"/>
        <v>MLT:몰타</v>
      </c>
    </row>
    <row r="151" spans="1:3">
      <c r="A151" s="23" t="s">
        <v>446</v>
      </c>
      <c r="B151" s="23" t="s">
        <v>445</v>
      </c>
      <c r="C151" s="22" t="str">
        <f t="shared" si="2"/>
        <v>MMR:미얀마</v>
      </c>
    </row>
    <row r="152" spans="1:3">
      <c r="A152" s="23" t="s">
        <v>444</v>
      </c>
      <c r="B152" s="23" t="s">
        <v>443</v>
      </c>
      <c r="C152" s="22" t="str">
        <f t="shared" si="2"/>
        <v>MNE:몬테네그로</v>
      </c>
    </row>
    <row r="153" spans="1:3">
      <c r="A153" s="23" t="s">
        <v>442</v>
      </c>
      <c r="B153" s="23" t="s">
        <v>441</v>
      </c>
      <c r="C153" s="22" t="str">
        <f t="shared" si="2"/>
        <v>MNG:몽골</v>
      </c>
    </row>
    <row r="154" spans="1:3">
      <c r="A154" s="23" t="s">
        <v>440</v>
      </c>
      <c r="B154" s="23" t="s">
        <v>439</v>
      </c>
      <c r="C154" s="22" t="str">
        <f t="shared" si="2"/>
        <v>MNP:북마리아나 제도</v>
      </c>
    </row>
    <row r="155" spans="1:3">
      <c r="A155" s="23" t="s">
        <v>438</v>
      </c>
      <c r="B155" s="23" t="s">
        <v>437</v>
      </c>
      <c r="C155" s="22" t="str">
        <f t="shared" si="2"/>
        <v>MOZ:모잠비크</v>
      </c>
    </row>
    <row r="156" spans="1:3">
      <c r="A156" s="23" t="s">
        <v>436</v>
      </c>
      <c r="B156" s="23" t="s">
        <v>435</v>
      </c>
      <c r="C156" s="22" t="str">
        <f t="shared" si="2"/>
        <v>MRT:모리타니</v>
      </c>
    </row>
    <row r="157" spans="1:3">
      <c r="A157" s="23" t="s">
        <v>434</v>
      </c>
      <c r="B157" s="23" t="s">
        <v>433</v>
      </c>
      <c r="C157" s="22" t="str">
        <f t="shared" si="2"/>
        <v>MSR:몬트세랫</v>
      </c>
    </row>
    <row r="158" spans="1:3">
      <c r="A158" s="23" t="s">
        <v>432</v>
      </c>
      <c r="B158" s="23" t="s">
        <v>431</v>
      </c>
      <c r="C158" s="22" t="str">
        <f t="shared" si="2"/>
        <v>MTQ:마르티니크</v>
      </c>
    </row>
    <row r="159" spans="1:3">
      <c r="A159" s="23" t="s">
        <v>430</v>
      </c>
      <c r="B159" s="23" t="s">
        <v>429</v>
      </c>
      <c r="C159" s="22" t="str">
        <f t="shared" si="2"/>
        <v>MUS:모리셔스</v>
      </c>
    </row>
    <row r="160" spans="1:3">
      <c r="A160" s="23" t="s">
        <v>428</v>
      </c>
      <c r="B160" s="23" t="s">
        <v>427</v>
      </c>
      <c r="C160" s="22" t="str">
        <f t="shared" si="2"/>
        <v>MWI:말라위</v>
      </c>
    </row>
    <row r="161" spans="1:3">
      <c r="A161" s="23" t="s">
        <v>426</v>
      </c>
      <c r="B161" s="23" t="s">
        <v>425</v>
      </c>
      <c r="C161" s="22" t="str">
        <f t="shared" si="2"/>
        <v>MYS:말레이시아</v>
      </c>
    </row>
    <row r="162" spans="1:3">
      <c r="A162" s="23" t="s">
        <v>424</v>
      </c>
      <c r="B162" s="23" t="s">
        <v>423</v>
      </c>
      <c r="C162" s="22" t="str">
        <f t="shared" si="2"/>
        <v>MYT:마요트</v>
      </c>
    </row>
    <row r="163" spans="1:3">
      <c r="A163" s="23" t="s">
        <v>422</v>
      </c>
      <c r="B163" s="23" t="s">
        <v>421</v>
      </c>
      <c r="C163" s="22" t="str">
        <f t="shared" si="2"/>
        <v>NAM:나미비아</v>
      </c>
    </row>
    <row r="164" spans="1:3">
      <c r="A164" s="23" t="s">
        <v>420</v>
      </c>
      <c r="B164" s="23" t="s">
        <v>419</v>
      </c>
      <c r="C164" s="22" t="str">
        <f t="shared" si="2"/>
        <v>NCL:누벨칼레도니</v>
      </c>
    </row>
    <row r="165" spans="1:3">
      <c r="A165" s="23" t="s">
        <v>418</v>
      </c>
      <c r="B165" s="23" t="s">
        <v>417</v>
      </c>
      <c r="C165" s="22" t="str">
        <f t="shared" si="2"/>
        <v>NER:니제르</v>
      </c>
    </row>
    <row r="166" spans="1:3">
      <c r="A166" s="23" t="s">
        <v>416</v>
      </c>
      <c r="B166" s="23" t="s">
        <v>415</v>
      </c>
      <c r="C166" s="22" t="str">
        <f t="shared" si="2"/>
        <v>NFK:노퍽 섬</v>
      </c>
    </row>
    <row r="167" spans="1:3">
      <c r="A167" s="23" t="s">
        <v>414</v>
      </c>
      <c r="B167" s="23" t="s">
        <v>413</v>
      </c>
      <c r="C167" s="22" t="str">
        <f t="shared" si="2"/>
        <v>NGA:나이지리아</v>
      </c>
    </row>
    <row r="168" spans="1:3">
      <c r="A168" s="23" t="s">
        <v>412</v>
      </c>
      <c r="B168" s="23" t="s">
        <v>411</v>
      </c>
      <c r="C168" s="22" t="str">
        <f t="shared" si="2"/>
        <v>NIC:니카라과</v>
      </c>
    </row>
    <row r="169" spans="1:3">
      <c r="A169" s="23" t="s">
        <v>410</v>
      </c>
      <c r="B169" s="23" t="s">
        <v>409</v>
      </c>
      <c r="C169" s="22" t="str">
        <f t="shared" si="2"/>
        <v>NIU:니우에</v>
      </c>
    </row>
    <row r="170" spans="1:3">
      <c r="A170" s="23" t="s">
        <v>408</v>
      </c>
      <c r="B170" s="23" t="s">
        <v>407</v>
      </c>
      <c r="C170" s="22" t="str">
        <f t="shared" si="2"/>
        <v>NLD:네덜란드</v>
      </c>
    </row>
    <row r="171" spans="1:3">
      <c r="A171" s="23" t="s">
        <v>406</v>
      </c>
      <c r="B171" s="23" t="s">
        <v>405</v>
      </c>
      <c r="C171" s="22" t="str">
        <f t="shared" si="2"/>
        <v>NOR:노르웨이</v>
      </c>
    </row>
    <row r="172" spans="1:3">
      <c r="A172" s="23" t="s">
        <v>404</v>
      </c>
      <c r="B172" s="23" t="s">
        <v>403</v>
      </c>
      <c r="C172" s="22" t="str">
        <f t="shared" si="2"/>
        <v>NPL:네팔</v>
      </c>
    </row>
    <row r="173" spans="1:3">
      <c r="A173" s="23" t="s">
        <v>402</v>
      </c>
      <c r="B173" s="23" t="s">
        <v>401</v>
      </c>
      <c r="C173" s="22" t="str">
        <f t="shared" si="2"/>
        <v>NRU:나우루</v>
      </c>
    </row>
    <row r="174" spans="1:3">
      <c r="A174" s="23" t="s">
        <v>400</v>
      </c>
      <c r="B174" s="23" t="s">
        <v>399</v>
      </c>
      <c r="C174" s="22" t="str">
        <f t="shared" si="2"/>
        <v>NZL:뉴질랜드</v>
      </c>
    </row>
    <row r="175" spans="1:3">
      <c r="A175" s="23" t="s">
        <v>398</v>
      </c>
      <c r="B175" s="23" t="s">
        <v>397</v>
      </c>
      <c r="C175" s="22" t="str">
        <f t="shared" si="2"/>
        <v>OMN:오만</v>
      </c>
    </row>
    <row r="176" spans="1:3">
      <c r="A176" s="23" t="s">
        <v>396</v>
      </c>
      <c r="B176" s="23" t="s">
        <v>395</v>
      </c>
      <c r="C176" s="22" t="str">
        <f t="shared" si="2"/>
        <v>PAK:파키스탄</v>
      </c>
    </row>
    <row r="177" spans="1:3">
      <c r="A177" s="23" t="s">
        <v>394</v>
      </c>
      <c r="B177" s="23" t="s">
        <v>393</v>
      </c>
      <c r="C177" s="22" t="str">
        <f t="shared" si="2"/>
        <v>PAN:파나마</v>
      </c>
    </row>
    <row r="178" spans="1:3">
      <c r="A178" s="23" t="s">
        <v>392</v>
      </c>
      <c r="B178" s="23" t="s">
        <v>391</v>
      </c>
      <c r="C178" s="22" t="str">
        <f t="shared" si="2"/>
        <v>PCN:핏케언 제도</v>
      </c>
    </row>
    <row r="179" spans="1:3">
      <c r="A179" s="23" t="s">
        <v>390</v>
      </c>
      <c r="B179" s="23" t="s">
        <v>389</v>
      </c>
      <c r="C179" s="22" t="str">
        <f t="shared" si="2"/>
        <v>PER:페루</v>
      </c>
    </row>
    <row r="180" spans="1:3">
      <c r="A180" s="23" t="s">
        <v>388</v>
      </c>
      <c r="B180" s="23" t="s">
        <v>387</v>
      </c>
      <c r="C180" s="22" t="str">
        <f t="shared" si="2"/>
        <v>PHL:필리핀</v>
      </c>
    </row>
    <row r="181" spans="1:3">
      <c r="A181" s="23" t="s">
        <v>386</v>
      </c>
      <c r="B181" s="23" t="s">
        <v>385</v>
      </c>
      <c r="C181" s="22" t="str">
        <f t="shared" si="2"/>
        <v>PLW:팔라우</v>
      </c>
    </row>
    <row r="182" spans="1:3">
      <c r="A182" s="23" t="s">
        <v>384</v>
      </c>
      <c r="B182" s="23" t="s">
        <v>383</v>
      </c>
      <c r="C182" s="22" t="str">
        <f t="shared" si="2"/>
        <v>PNG:파푸아 뉴기니</v>
      </c>
    </row>
    <row r="183" spans="1:3">
      <c r="A183" s="23" t="s">
        <v>382</v>
      </c>
      <c r="B183" s="23" t="s">
        <v>381</v>
      </c>
      <c r="C183" s="22" t="str">
        <f t="shared" si="2"/>
        <v>POL:폴란드</v>
      </c>
    </row>
    <row r="184" spans="1:3">
      <c r="A184" s="23" t="s">
        <v>380</v>
      </c>
      <c r="B184" s="23" t="s">
        <v>379</v>
      </c>
      <c r="C184" s="22" t="str">
        <f t="shared" si="2"/>
        <v>PRI:푸에르토리코</v>
      </c>
    </row>
    <row r="185" spans="1:3">
      <c r="A185" s="23" t="s">
        <v>378</v>
      </c>
      <c r="B185" s="23" t="s">
        <v>377</v>
      </c>
      <c r="C185" s="22" t="str">
        <f t="shared" si="2"/>
        <v>PRK:조선민주주의인민공화국</v>
      </c>
    </row>
    <row r="186" spans="1:3">
      <c r="A186" s="23" t="s">
        <v>376</v>
      </c>
      <c r="B186" s="23" t="s">
        <v>375</v>
      </c>
      <c r="C186" s="22" t="str">
        <f t="shared" si="2"/>
        <v>PRT:포르투갈</v>
      </c>
    </row>
    <row r="187" spans="1:3">
      <c r="A187" s="23" t="s">
        <v>374</v>
      </c>
      <c r="B187" s="23" t="s">
        <v>373</v>
      </c>
      <c r="C187" s="22" t="str">
        <f t="shared" si="2"/>
        <v>PRY:파라과이</v>
      </c>
    </row>
    <row r="188" spans="1:3">
      <c r="A188" s="23" t="s">
        <v>372</v>
      </c>
      <c r="B188" s="23" t="s">
        <v>371</v>
      </c>
      <c r="C188" s="22" t="str">
        <f t="shared" si="2"/>
        <v>PSE:팔레스타인</v>
      </c>
    </row>
    <row r="189" spans="1:3">
      <c r="A189" s="23" t="s">
        <v>370</v>
      </c>
      <c r="B189" s="23" t="s">
        <v>369</v>
      </c>
      <c r="C189" s="22" t="str">
        <f t="shared" si="2"/>
        <v>PYF:프랑스령 폴리네시아</v>
      </c>
    </row>
    <row r="190" spans="1:3">
      <c r="A190" s="23" t="s">
        <v>368</v>
      </c>
      <c r="B190" s="23" t="s">
        <v>367</v>
      </c>
      <c r="C190" s="22" t="str">
        <f t="shared" si="2"/>
        <v>QAT:카타르</v>
      </c>
    </row>
    <row r="191" spans="1:3">
      <c r="A191" s="23" t="s">
        <v>366</v>
      </c>
      <c r="B191" s="23" t="s">
        <v>365</v>
      </c>
      <c r="C191" s="22" t="str">
        <f t="shared" si="2"/>
        <v>REU:레위니옹</v>
      </c>
    </row>
    <row r="192" spans="1:3">
      <c r="A192" s="23" t="s">
        <v>364</v>
      </c>
      <c r="B192" s="23" t="s">
        <v>363</v>
      </c>
      <c r="C192" s="22" t="str">
        <f t="shared" si="2"/>
        <v>ROU:루마니아</v>
      </c>
    </row>
    <row r="193" spans="1:3">
      <c r="A193" s="23" t="s">
        <v>362</v>
      </c>
      <c r="B193" s="23" t="s">
        <v>361</v>
      </c>
      <c r="C193" s="22" t="str">
        <f t="shared" si="2"/>
        <v>RUS:러시아</v>
      </c>
    </row>
    <row r="194" spans="1:3">
      <c r="A194" s="23" t="s">
        <v>360</v>
      </c>
      <c r="B194" s="23" t="s">
        <v>359</v>
      </c>
      <c r="C194" s="22" t="str">
        <f t="shared" ref="C194:C247" si="3">CONCATENATE(A194, ":", B194)</f>
        <v>RWA:르완다</v>
      </c>
    </row>
    <row r="195" spans="1:3">
      <c r="A195" s="23" t="s">
        <v>358</v>
      </c>
      <c r="B195" s="23" t="s">
        <v>357</v>
      </c>
      <c r="C195" s="22" t="str">
        <f t="shared" si="3"/>
        <v>SAU:사우디아라비아</v>
      </c>
    </row>
    <row r="196" spans="1:3">
      <c r="A196" s="23" t="s">
        <v>356</v>
      </c>
      <c r="B196" s="23" t="s">
        <v>355</v>
      </c>
      <c r="C196" s="22" t="str">
        <f t="shared" si="3"/>
        <v>SDN:수단</v>
      </c>
    </row>
    <row r="197" spans="1:3">
      <c r="A197" s="23" t="s">
        <v>354</v>
      </c>
      <c r="B197" s="23" t="s">
        <v>353</v>
      </c>
      <c r="C197" s="22" t="str">
        <f t="shared" si="3"/>
        <v>SEN:세네갈</v>
      </c>
    </row>
    <row r="198" spans="1:3">
      <c r="A198" s="23" t="s">
        <v>352</v>
      </c>
      <c r="B198" s="23" t="s">
        <v>351</v>
      </c>
      <c r="C198" s="22" t="str">
        <f t="shared" si="3"/>
        <v>SGP:싱가포르</v>
      </c>
    </row>
    <row r="199" spans="1:3">
      <c r="A199" s="23" t="s">
        <v>350</v>
      </c>
      <c r="B199" s="23" t="s">
        <v>349</v>
      </c>
      <c r="C199" s="22" t="str">
        <f t="shared" si="3"/>
        <v>SGS:사우스조지아 사우스샌드위치 제도</v>
      </c>
    </row>
    <row r="200" spans="1:3">
      <c r="A200" s="23" t="s">
        <v>348</v>
      </c>
      <c r="B200" s="23" t="s">
        <v>347</v>
      </c>
      <c r="C200" s="22" t="str">
        <f t="shared" si="3"/>
        <v>SHN:세인트헬레나</v>
      </c>
    </row>
    <row r="201" spans="1:3">
      <c r="A201" s="23" t="s">
        <v>346</v>
      </c>
      <c r="B201" s="23" t="s">
        <v>345</v>
      </c>
      <c r="C201" s="22" t="str">
        <f t="shared" si="3"/>
        <v>SJM:스발바르 얀마옌</v>
      </c>
    </row>
    <row r="202" spans="1:3">
      <c r="A202" s="23" t="s">
        <v>344</v>
      </c>
      <c r="B202" s="23" t="s">
        <v>343</v>
      </c>
      <c r="C202" s="22" t="str">
        <f t="shared" si="3"/>
        <v>SLB:솔로몬 제도</v>
      </c>
    </row>
    <row r="203" spans="1:3">
      <c r="A203" s="23" t="s">
        <v>342</v>
      </c>
      <c r="B203" s="23" t="s">
        <v>341</v>
      </c>
      <c r="C203" s="22" t="str">
        <f t="shared" si="3"/>
        <v>SLE:시에라리온</v>
      </c>
    </row>
    <row r="204" spans="1:3">
      <c r="A204" s="23" t="s">
        <v>340</v>
      </c>
      <c r="B204" s="23" t="s">
        <v>339</v>
      </c>
      <c r="C204" s="22" t="str">
        <f t="shared" si="3"/>
        <v>SLV:엘살바도르</v>
      </c>
    </row>
    <row r="205" spans="1:3">
      <c r="A205" s="23" t="s">
        <v>338</v>
      </c>
      <c r="B205" s="23" t="s">
        <v>337</v>
      </c>
      <c r="C205" s="22" t="str">
        <f t="shared" si="3"/>
        <v>SMR:산마리노</v>
      </c>
    </row>
    <row r="206" spans="1:3">
      <c r="A206" s="23" t="s">
        <v>336</v>
      </c>
      <c r="B206" s="23" t="s">
        <v>335</v>
      </c>
      <c r="C206" s="22" t="str">
        <f t="shared" si="3"/>
        <v>SOM:소말리아</v>
      </c>
    </row>
    <row r="207" spans="1:3">
      <c r="A207" s="23" t="s">
        <v>334</v>
      </c>
      <c r="B207" s="23" t="s">
        <v>333</v>
      </c>
      <c r="C207" s="22" t="str">
        <f t="shared" si="3"/>
        <v>SPM:생피에르 미클롱</v>
      </c>
    </row>
    <row r="208" spans="1:3">
      <c r="A208" s="23" t="s">
        <v>332</v>
      </c>
      <c r="B208" s="23" t="s">
        <v>331</v>
      </c>
      <c r="C208" s="22" t="str">
        <f t="shared" si="3"/>
        <v>SRB:세르비아</v>
      </c>
    </row>
    <row r="209" spans="1:3">
      <c r="A209" s="23" t="s">
        <v>330</v>
      </c>
      <c r="B209" s="23" t="s">
        <v>329</v>
      </c>
      <c r="C209" s="22" t="str">
        <f t="shared" si="3"/>
        <v>STP:상투메 프린시페</v>
      </c>
    </row>
    <row r="210" spans="1:3">
      <c r="A210" s="23" t="s">
        <v>328</v>
      </c>
      <c r="B210" s="23" t="s">
        <v>327</v>
      </c>
      <c r="C210" s="22" t="str">
        <f t="shared" si="3"/>
        <v>SUR:수리남</v>
      </c>
    </row>
    <row r="211" spans="1:3">
      <c r="A211" s="23" t="s">
        <v>326</v>
      </c>
      <c r="B211" s="23" t="s">
        <v>325</v>
      </c>
      <c r="C211" s="22" t="str">
        <f t="shared" si="3"/>
        <v>SVK:슬로바키아</v>
      </c>
    </row>
    <row r="212" spans="1:3">
      <c r="A212" s="23" t="s">
        <v>324</v>
      </c>
      <c r="B212" s="23" t="s">
        <v>323</v>
      </c>
      <c r="C212" s="22" t="str">
        <f t="shared" si="3"/>
        <v>SVN:슬로베니아</v>
      </c>
    </row>
    <row r="213" spans="1:3">
      <c r="A213" s="23" t="s">
        <v>322</v>
      </c>
      <c r="B213" s="23" t="s">
        <v>321</v>
      </c>
      <c r="C213" s="22" t="str">
        <f t="shared" si="3"/>
        <v>SWE:스웨덴</v>
      </c>
    </row>
    <row r="214" spans="1:3">
      <c r="A214" s="23" t="s">
        <v>320</v>
      </c>
      <c r="B214" s="23" t="s">
        <v>319</v>
      </c>
      <c r="C214" s="22" t="str">
        <f t="shared" si="3"/>
        <v>SWZ:스와질란드</v>
      </c>
    </row>
    <row r="215" spans="1:3">
      <c r="A215" s="23" t="s">
        <v>318</v>
      </c>
      <c r="B215" s="23" t="s">
        <v>317</v>
      </c>
      <c r="C215" s="22" t="str">
        <f t="shared" si="3"/>
        <v>SYC:세이셸</v>
      </c>
    </row>
    <row r="216" spans="1:3">
      <c r="A216" s="23" t="s">
        <v>316</v>
      </c>
      <c r="B216" s="23" t="s">
        <v>315</v>
      </c>
      <c r="C216" s="22" t="str">
        <f t="shared" si="3"/>
        <v>SYR:시리아</v>
      </c>
    </row>
    <row r="217" spans="1:3">
      <c r="A217" s="23" t="s">
        <v>314</v>
      </c>
      <c r="B217" s="23" t="s">
        <v>313</v>
      </c>
      <c r="C217" s="22" t="str">
        <f t="shared" si="3"/>
        <v>TCA:터크스 케이커스 제도</v>
      </c>
    </row>
    <row r="218" spans="1:3">
      <c r="A218" s="23" t="s">
        <v>312</v>
      </c>
      <c r="B218" s="23" t="s">
        <v>311</v>
      </c>
      <c r="C218" s="22" t="str">
        <f t="shared" si="3"/>
        <v>TCD:차드</v>
      </c>
    </row>
    <row r="219" spans="1:3">
      <c r="A219" s="23" t="s">
        <v>310</v>
      </c>
      <c r="B219" s="23" t="s">
        <v>309</v>
      </c>
      <c r="C219" s="22" t="str">
        <f t="shared" si="3"/>
        <v>TGO:토고</v>
      </c>
    </row>
    <row r="220" spans="1:3">
      <c r="A220" s="23" t="s">
        <v>308</v>
      </c>
      <c r="B220" s="23" t="s">
        <v>307</v>
      </c>
      <c r="C220" s="22" t="str">
        <f t="shared" si="3"/>
        <v>TJK:타지키스탄</v>
      </c>
    </row>
    <row r="221" spans="1:3">
      <c r="A221" s="23" t="s">
        <v>306</v>
      </c>
      <c r="B221" s="23" t="s">
        <v>305</v>
      </c>
      <c r="C221" s="22" t="str">
        <f t="shared" si="3"/>
        <v>TKL:토켈라우</v>
      </c>
    </row>
    <row r="222" spans="1:3">
      <c r="A222" s="23" t="s">
        <v>304</v>
      </c>
      <c r="B222" s="23" t="s">
        <v>303</v>
      </c>
      <c r="C222" s="22" t="str">
        <f t="shared" si="3"/>
        <v>TKM:투르크메니스탄</v>
      </c>
    </row>
    <row r="223" spans="1:3">
      <c r="A223" s="23" t="s">
        <v>302</v>
      </c>
      <c r="B223" s="23" t="s">
        <v>301</v>
      </c>
      <c r="C223" s="22" t="str">
        <f t="shared" si="3"/>
        <v>TLS:동티모르</v>
      </c>
    </row>
    <row r="224" spans="1:3">
      <c r="A224" s="23" t="s">
        <v>300</v>
      </c>
      <c r="B224" s="23" t="s">
        <v>299</v>
      </c>
      <c r="C224" s="22" t="str">
        <f t="shared" si="3"/>
        <v>TON:통가</v>
      </c>
    </row>
    <row r="225" spans="1:3">
      <c r="A225" s="23" t="s">
        <v>298</v>
      </c>
      <c r="B225" s="23" t="s">
        <v>297</v>
      </c>
      <c r="C225" s="22" t="str">
        <f t="shared" si="3"/>
        <v>TTO:트리니다드 토바고</v>
      </c>
    </row>
    <row r="226" spans="1:3">
      <c r="A226" s="23" t="s">
        <v>296</v>
      </c>
      <c r="B226" s="23" t="s">
        <v>295</v>
      </c>
      <c r="C226" s="22" t="str">
        <f t="shared" si="3"/>
        <v>TUN:튀니지</v>
      </c>
    </row>
    <row r="227" spans="1:3">
      <c r="A227" s="23" t="s">
        <v>294</v>
      </c>
      <c r="B227" s="23" t="s">
        <v>293</v>
      </c>
      <c r="C227" s="22" t="str">
        <f t="shared" si="3"/>
        <v>TUR:터키</v>
      </c>
    </row>
    <row r="228" spans="1:3">
      <c r="A228" s="23" t="s">
        <v>292</v>
      </c>
      <c r="B228" s="23" t="s">
        <v>291</v>
      </c>
      <c r="C228" s="22" t="str">
        <f t="shared" si="3"/>
        <v>TUV:투발루</v>
      </c>
    </row>
    <row r="229" spans="1:3">
      <c r="A229" s="23" t="s">
        <v>290</v>
      </c>
      <c r="B229" s="23" t="s">
        <v>289</v>
      </c>
      <c r="C229" s="22" t="str">
        <f t="shared" si="3"/>
        <v>TZA:탄자니아</v>
      </c>
    </row>
    <row r="230" spans="1:3">
      <c r="A230" s="23" t="s">
        <v>288</v>
      </c>
      <c r="B230" s="23" t="s">
        <v>287</v>
      </c>
      <c r="C230" s="22" t="str">
        <f t="shared" si="3"/>
        <v>UGA:우간다</v>
      </c>
    </row>
    <row r="231" spans="1:3">
      <c r="A231" s="23" t="s">
        <v>286</v>
      </c>
      <c r="B231" s="23" t="s">
        <v>285</v>
      </c>
      <c r="C231" s="22" t="str">
        <f t="shared" si="3"/>
        <v>UKR:우크라이나</v>
      </c>
    </row>
    <row r="232" spans="1:3">
      <c r="A232" s="23" t="s">
        <v>284</v>
      </c>
      <c r="B232" s="23" t="s">
        <v>283</v>
      </c>
      <c r="C232" s="22" t="str">
        <f t="shared" si="3"/>
        <v>UMI:미국령 군소 제도</v>
      </c>
    </row>
    <row r="233" spans="1:3">
      <c r="A233" s="23" t="s">
        <v>282</v>
      </c>
      <c r="B233" s="23" t="s">
        <v>281</v>
      </c>
      <c r="C233" s="22" t="str">
        <f t="shared" si="3"/>
        <v>URY:우루과이</v>
      </c>
    </row>
    <row r="234" spans="1:3">
      <c r="A234" s="23" t="s">
        <v>280</v>
      </c>
      <c r="B234" s="23" t="s">
        <v>279</v>
      </c>
      <c r="C234" s="22" t="str">
        <f t="shared" si="3"/>
        <v>UZB:우즈베키스탄</v>
      </c>
    </row>
    <row r="235" spans="1:3">
      <c r="A235" s="23" t="s">
        <v>278</v>
      </c>
      <c r="B235" s="23" t="s">
        <v>277</v>
      </c>
      <c r="C235" s="22" t="str">
        <f t="shared" si="3"/>
        <v>VAT:바티칸 시국</v>
      </c>
    </row>
    <row r="236" spans="1:3">
      <c r="A236" s="23" t="s">
        <v>276</v>
      </c>
      <c r="B236" s="23" t="s">
        <v>275</v>
      </c>
      <c r="C236" s="22" t="str">
        <f t="shared" si="3"/>
        <v>VCT:세인트빈센트 그레나딘</v>
      </c>
    </row>
    <row r="237" spans="1:3">
      <c r="A237" s="23" t="s">
        <v>274</v>
      </c>
      <c r="B237" s="23" t="s">
        <v>273</v>
      </c>
      <c r="C237" s="22" t="str">
        <f t="shared" si="3"/>
        <v>VEN:베네수엘라</v>
      </c>
    </row>
    <row r="238" spans="1:3">
      <c r="A238" s="23" t="s">
        <v>272</v>
      </c>
      <c r="B238" s="23" t="s">
        <v>271</v>
      </c>
      <c r="C238" s="22" t="str">
        <f t="shared" si="3"/>
        <v>VGB:영국령 버진아일랜드</v>
      </c>
    </row>
    <row r="239" spans="1:3">
      <c r="A239" s="23" t="s">
        <v>270</v>
      </c>
      <c r="B239" s="23" t="s">
        <v>269</v>
      </c>
      <c r="C239" s="22" t="str">
        <f t="shared" si="3"/>
        <v>VIR:미국령 버진아일랜드</v>
      </c>
    </row>
    <row r="240" spans="1:3">
      <c r="A240" s="23" t="s">
        <v>268</v>
      </c>
      <c r="B240" s="23" t="s">
        <v>267</v>
      </c>
      <c r="C240" s="22" t="str">
        <f t="shared" si="3"/>
        <v>VNM:베트남</v>
      </c>
    </row>
    <row r="241" spans="1:3">
      <c r="A241" s="23" t="s">
        <v>266</v>
      </c>
      <c r="B241" s="23" t="s">
        <v>265</v>
      </c>
      <c r="C241" s="22" t="str">
        <f t="shared" si="3"/>
        <v>VUT:바누아투</v>
      </c>
    </row>
    <row r="242" spans="1:3">
      <c r="A242" s="23" t="s">
        <v>264</v>
      </c>
      <c r="B242" s="23" t="s">
        <v>263</v>
      </c>
      <c r="C242" s="22" t="str">
        <f t="shared" si="3"/>
        <v>WLF:왈리스 퓌튀나</v>
      </c>
    </row>
    <row r="243" spans="1:3">
      <c r="A243" s="23" t="s">
        <v>262</v>
      </c>
      <c r="B243" s="23" t="s">
        <v>261</v>
      </c>
      <c r="C243" s="22" t="str">
        <f t="shared" si="3"/>
        <v>WSM:사모아</v>
      </c>
    </row>
    <row r="244" spans="1:3">
      <c r="A244" s="23" t="s">
        <v>260</v>
      </c>
      <c r="B244" s="23" t="s">
        <v>259</v>
      </c>
      <c r="C244" s="22" t="str">
        <f t="shared" si="3"/>
        <v>YEM:예멘</v>
      </c>
    </row>
    <row r="245" spans="1:3">
      <c r="A245" s="23" t="s">
        <v>258</v>
      </c>
      <c r="B245" s="23" t="s">
        <v>257</v>
      </c>
      <c r="C245" s="22" t="str">
        <f t="shared" si="3"/>
        <v>ZAF:남아프리카 공화국</v>
      </c>
    </row>
    <row r="246" spans="1:3">
      <c r="A246" s="23" t="s">
        <v>256</v>
      </c>
      <c r="B246" s="23" t="s">
        <v>255</v>
      </c>
      <c r="C246" s="22" t="str">
        <f t="shared" si="3"/>
        <v>ZMB:잠비아</v>
      </c>
    </row>
    <row r="247" spans="1:3">
      <c r="A247" s="23" t="s">
        <v>254</v>
      </c>
      <c r="B247" s="23" t="s">
        <v>253</v>
      </c>
      <c r="C247" s="22" t="str">
        <f t="shared" si="3"/>
        <v>ZWE:짐바브웨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C491"/>
  <sheetViews>
    <sheetView workbookViewId="0">
      <selection activeCell="B14" sqref="B14"/>
    </sheetView>
  </sheetViews>
  <sheetFormatPr defaultColWidth="10.28515625" defaultRowHeight="13.5"/>
  <cols>
    <col min="1" max="1" width="10" style="22" bestFit="1" customWidth="1"/>
    <col min="2" max="2" width="74.140625" style="22" bestFit="1" customWidth="1"/>
    <col min="3" max="16384" width="10.28515625" style="22"/>
  </cols>
  <sheetData>
    <row r="1" spans="1:3">
      <c r="A1" s="24" t="s">
        <v>746</v>
      </c>
      <c r="B1" s="24" t="s">
        <v>745</v>
      </c>
    </row>
    <row r="2" spans="1:3">
      <c r="A2" s="25" t="s">
        <v>744</v>
      </c>
      <c r="B2" s="25" t="s">
        <v>1647</v>
      </c>
      <c r="C2" s="52" t="s">
        <v>1647</v>
      </c>
    </row>
    <row r="3" spans="1:3">
      <c r="A3" s="25" t="s">
        <v>1646</v>
      </c>
      <c r="B3" s="25" t="s">
        <v>1645</v>
      </c>
      <c r="C3" s="52" t="s">
        <v>1645</v>
      </c>
    </row>
    <row r="4" spans="1:3">
      <c r="A4" s="25" t="s">
        <v>736</v>
      </c>
      <c r="B4" s="25" t="s">
        <v>1644</v>
      </c>
      <c r="C4" s="52" t="s">
        <v>1644</v>
      </c>
    </row>
    <row r="5" spans="1:3">
      <c r="A5" s="25" t="s">
        <v>1643</v>
      </c>
      <c r="B5" s="25" t="s">
        <v>753</v>
      </c>
      <c r="C5" s="52" t="s">
        <v>753</v>
      </c>
    </row>
    <row r="6" spans="1:3">
      <c r="A6" s="25" t="s">
        <v>1642</v>
      </c>
      <c r="B6" s="25" t="s">
        <v>1384</v>
      </c>
      <c r="C6" s="52" t="s">
        <v>1384</v>
      </c>
    </row>
    <row r="7" spans="1:3">
      <c r="A7" s="25" t="s">
        <v>726</v>
      </c>
      <c r="B7" s="25" t="s">
        <v>1367</v>
      </c>
      <c r="C7" s="52" t="s">
        <v>1367</v>
      </c>
    </row>
    <row r="8" spans="1:3">
      <c r="A8" s="25" t="s">
        <v>1641</v>
      </c>
      <c r="B8" s="25" t="s">
        <v>1640</v>
      </c>
      <c r="C8" s="52" t="s">
        <v>1640</v>
      </c>
    </row>
    <row r="9" spans="1:3">
      <c r="A9" s="25" t="s">
        <v>1639</v>
      </c>
      <c r="B9" s="25" t="s">
        <v>1638</v>
      </c>
      <c r="C9" s="52" t="s">
        <v>1638</v>
      </c>
    </row>
    <row r="10" spans="1:3">
      <c r="A10" s="25" t="s">
        <v>1637</v>
      </c>
      <c r="B10" s="25" t="s">
        <v>1636</v>
      </c>
      <c r="C10" s="52" t="s">
        <v>1636</v>
      </c>
    </row>
    <row r="11" spans="1:3">
      <c r="A11" s="25" t="s">
        <v>1635</v>
      </c>
      <c r="B11" s="25" t="s">
        <v>1634</v>
      </c>
      <c r="C11" s="52" t="s">
        <v>1634</v>
      </c>
    </row>
    <row r="12" spans="1:3">
      <c r="A12" s="25" t="s">
        <v>1633</v>
      </c>
      <c r="B12" s="25" t="s">
        <v>1632</v>
      </c>
      <c r="C12" s="52" t="s">
        <v>1632</v>
      </c>
    </row>
    <row r="13" spans="1:3">
      <c r="A13" s="25" t="s">
        <v>1631</v>
      </c>
      <c r="B13" s="25" t="s">
        <v>1630</v>
      </c>
      <c r="C13" s="52" t="s">
        <v>1630</v>
      </c>
    </row>
    <row r="14" spans="1:3">
      <c r="A14" s="25" t="s">
        <v>1629</v>
      </c>
      <c r="B14" s="25" t="s">
        <v>1628</v>
      </c>
      <c r="C14" s="52" t="s">
        <v>1628</v>
      </c>
    </row>
    <row r="15" spans="1:3">
      <c r="A15" s="25" t="s">
        <v>1627</v>
      </c>
      <c r="B15" s="25" t="s">
        <v>1626</v>
      </c>
      <c r="C15" s="52" t="s">
        <v>1626</v>
      </c>
    </row>
    <row r="16" spans="1:3">
      <c r="A16" s="25" t="s">
        <v>1625</v>
      </c>
      <c r="B16" s="25" t="s">
        <v>1624</v>
      </c>
      <c r="C16" s="52" t="s">
        <v>1624</v>
      </c>
    </row>
    <row r="17" spans="1:3">
      <c r="A17" s="25" t="s">
        <v>1623</v>
      </c>
      <c r="B17" s="25" t="s">
        <v>1622</v>
      </c>
      <c r="C17" s="52" t="s">
        <v>1622</v>
      </c>
    </row>
    <row r="18" spans="1:3">
      <c r="A18" s="25" t="s">
        <v>1621</v>
      </c>
      <c r="B18" s="25" t="s">
        <v>1620</v>
      </c>
      <c r="C18" s="52" t="s">
        <v>1620</v>
      </c>
    </row>
    <row r="19" spans="1:3">
      <c r="A19" s="25" t="s">
        <v>1619</v>
      </c>
      <c r="B19" s="25" t="s">
        <v>1618</v>
      </c>
      <c r="C19" s="52" t="s">
        <v>1618</v>
      </c>
    </row>
    <row r="20" spans="1:3">
      <c r="A20" s="25" t="s">
        <v>1617</v>
      </c>
      <c r="B20" s="25" t="s">
        <v>1616</v>
      </c>
      <c r="C20" s="52" t="s">
        <v>1616</v>
      </c>
    </row>
    <row r="21" spans="1:3">
      <c r="A21" s="25" t="s">
        <v>1615</v>
      </c>
      <c r="B21" s="25" t="s">
        <v>1614</v>
      </c>
      <c r="C21" s="52" t="s">
        <v>1614</v>
      </c>
    </row>
    <row r="22" spans="1:3">
      <c r="A22" s="25" t="s">
        <v>1613</v>
      </c>
      <c r="B22" s="25" t="s">
        <v>1612</v>
      </c>
      <c r="C22" s="52" t="s">
        <v>1612</v>
      </c>
    </row>
    <row r="23" spans="1:3">
      <c r="A23" s="25" t="s">
        <v>710</v>
      </c>
      <c r="B23" s="25" t="s">
        <v>896</v>
      </c>
      <c r="C23" s="52" t="s">
        <v>896</v>
      </c>
    </row>
    <row r="24" spans="1:3">
      <c r="A24" s="25" t="s">
        <v>1611</v>
      </c>
      <c r="B24" s="25" t="s">
        <v>1610</v>
      </c>
      <c r="C24" s="52" t="s">
        <v>1610</v>
      </c>
    </row>
    <row r="25" spans="1:3">
      <c r="A25" s="25" t="s">
        <v>1609</v>
      </c>
      <c r="B25" s="25" t="s">
        <v>1608</v>
      </c>
      <c r="C25" s="52" t="s">
        <v>1608</v>
      </c>
    </row>
    <row r="26" spans="1:3">
      <c r="A26" s="25" t="s">
        <v>1607</v>
      </c>
      <c r="B26" s="25" t="s">
        <v>1606</v>
      </c>
      <c r="C26" s="52" t="s">
        <v>1606</v>
      </c>
    </row>
    <row r="27" spans="1:3">
      <c r="A27" s="25" t="s">
        <v>1605</v>
      </c>
      <c r="B27" s="25" t="s">
        <v>1604</v>
      </c>
      <c r="C27" s="52" t="s">
        <v>1604</v>
      </c>
    </row>
    <row r="28" spans="1:3">
      <c r="A28" s="25" t="s">
        <v>1603</v>
      </c>
      <c r="B28" s="25" t="s">
        <v>1602</v>
      </c>
      <c r="C28" s="52" t="s">
        <v>1602</v>
      </c>
    </row>
    <row r="29" spans="1:3">
      <c r="A29" s="25" t="s">
        <v>1601</v>
      </c>
      <c r="B29" s="25" t="s">
        <v>1600</v>
      </c>
      <c r="C29" s="52" t="s">
        <v>1600</v>
      </c>
    </row>
    <row r="30" spans="1:3">
      <c r="A30" s="25" t="s">
        <v>1599</v>
      </c>
      <c r="B30" s="25" t="s">
        <v>1598</v>
      </c>
      <c r="C30" s="52" t="s">
        <v>1598</v>
      </c>
    </row>
    <row r="31" spans="1:3">
      <c r="A31" s="25" t="s">
        <v>1597</v>
      </c>
      <c r="B31" s="25" t="s">
        <v>1596</v>
      </c>
      <c r="C31" s="52" t="s">
        <v>1596</v>
      </c>
    </row>
    <row r="32" spans="1:3">
      <c r="A32" s="25" t="s">
        <v>702</v>
      </c>
      <c r="B32" s="25" t="s">
        <v>1595</v>
      </c>
      <c r="C32" s="52" t="s">
        <v>1595</v>
      </c>
    </row>
    <row r="33" spans="1:3">
      <c r="A33" s="25" t="s">
        <v>700</v>
      </c>
      <c r="B33" s="25" t="s">
        <v>1305</v>
      </c>
      <c r="C33" s="52" t="s">
        <v>1305</v>
      </c>
    </row>
    <row r="34" spans="1:3">
      <c r="A34" s="25" t="s">
        <v>1594</v>
      </c>
      <c r="B34" s="25" t="s">
        <v>1593</v>
      </c>
      <c r="C34" s="52" t="s">
        <v>1593</v>
      </c>
    </row>
    <row r="35" spans="1:3">
      <c r="A35" s="25" t="s">
        <v>1592</v>
      </c>
      <c r="B35" s="25" t="s">
        <v>1591</v>
      </c>
      <c r="C35" s="52" t="s">
        <v>1591</v>
      </c>
    </row>
    <row r="36" spans="1:3">
      <c r="A36" s="25" t="s">
        <v>1590</v>
      </c>
      <c r="B36" s="25" t="s">
        <v>1589</v>
      </c>
      <c r="C36" s="52" t="s">
        <v>1589</v>
      </c>
    </row>
    <row r="37" spans="1:3">
      <c r="A37" s="25" t="s">
        <v>1588</v>
      </c>
      <c r="B37" s="25" t="s">
        <v>1587</v>
      </c>
      <c r="C37" s="52" t="s">
        <v>1587</v>
      </c>
    </row>
    <row r="38" spans="1:3">
      <c r="A38" s="25" t="s">
        <v>698</v>
      </c>
      <c r="B38" s="25" t="s">
        <v>1586</v>
      </c>
      <c r="C38" s="52" t="s">
        <v>1586</v>
      </c>
    </row>
    <row r="39" spans="1:3">
      <c r="A39" s="25" t="s">
        <v>1585</v>
      </c>
      <c r="B39" s="25" t="s">
        <v>1584</v>
      </c>
      <c r="C39" s="52" t="s">
        <v>1584</v>
      </c>
    </row>
    <row r="40" spans="1:3">
      <c r="A40" s="25" t="s">
        <v>1583</v>
      </c>
      <c r="B40" s="25" t="s">
        <v>1582</v>
      </c>
      <c r="C40" s="52" t="s">
        <v>1582</v>
      </c>
    </row>
    <row r="41" spans="1:3">
      <c r="A41" s="25" t="s">
        <v>690</v>
      </c>
      <c r="B41" s="25" t="s">
        <v>1581</v>
      </c>
      <c r="C41" s="52" t="s">
        <v>1581</v>
      </c>
    </row>
    <row r="42" spans="1:3">
      <c r="A42" s="25" t="s">
        <v>1580</v>
      </c>
      <c r="B42" s="25" t="s">
        <v>1579</v>
      </c>
      <c r="C42" s="52" t="s">
        <v>1579</v>
      </c>
    </row>
    <row r="43" spans="1:3">
      <c r="A43" s="25" t="s">
        <v>1578</v>
      </c>
      <c r="B43" s="25" t="s">
        <v>1577</v>
      </c>
      <c r="C43" s="52" t="s">
        <v>1577</v>
      </c>
    </row>
    <row r="44" spans="1:3">
      <c r="A44" s="25" t="s">
        <v>1576</v>
      </c>
      <c r="B44" s="25" t="s">
        <v>1575</v>
      </c>
      <c r="C44" s="52" t="s">
        <v>1575</v>
      </c>
    </row>
    <row r="45" spans="1:3">
      <c r="A45" s="25" t="s">
        <v>1574</v>
      </c>
      <c r="B45" s="25" t="s">
        <v>1573</v>
      </c>
      <c r="C45" s="52" t="s">
        <v>1573</v>
      </c>
    </row>
    <row r="46" spans="1:3">
      <c r="A46" s="25" t="s">
        <v>686</v>
      </c>
      <c r="B46" s="25" t="s">
        <v>1572</v>
      </c>
      <c r="C46" s="52" t="s">
        <v>1572</v>
      </c>
    </row>
    <row r="47" spans="1:3">
      <c r="A47" s="25" t="s">
        <v>1571</v>
      </c>
      <c r="B47" s="25" t="s">
        <v>1570</v>
      </c>
      <c r="C47" s="52" t="s">
        <v>1570</v>
      </c>
    </row>
    <row r="48" spans="1:3">
      <c r="A48" s="25" t="s">
        <v>1569</v>
      </c>
      <c r="B48" s="25" t="s">
        <v>1568</v>
      </c>
      <c r="C48" s="52" t="s">
        <v>1568</v>
      </c>
    </row>
    <row r="49" spans="1:3">
      <c r="A49" s="25" t="s">
        <v>1567</v>
      </c>
      <c r="B49" s="25" t="s">
        <v>1566</v>
      </c>
      <c r="C49" s="52" t="s">
        <v>1566</v>
      </c>
    </row>
    <row r="50" spans="1:3">
      <c r="A50" s="25" t="s">
        <v>1565</v>
      </c>
      <c r="B50" s="25" t="s">
        <v>1564</v>
      </c>
      <c r="C50" s="52" t="s">
        <v>1564</v>
      </c>
    </row>
    <row r="51" spans="1:3">
      <c r="A51" s="25" t="s">
        <v>1563</v>
      </c>
      <c r="B51" s="25" t="s">
        <v>1562</v>
      </c>
      <c r="C51" s="52" t="s">
        <v>1562</v>
      </c>
    </row>
    <row r="52" spans="1:3">
      <c r="A52" s="25" t="s">
        <v>1561</v>
      </c>
      <c r="B52" s="25" t="s">
        <v>1560</v>
      </c>
      <c r="C52" s="52" t="s">
        <v>1560</v>
      </c>
    </row>
    <row r="53" spans="1:3">
      <c r="A53" s="25" t="s">
        <v>1559</v>
      </c>
      <c r="B53" s="25" t="s">
        <v>1405</v>
      </c>
      <c r="C53" s="52" t="s">
        <v>1405</v>
      </c>
    </row>
    <row r="54" spans="1:3">
      <c r="A54" s="25" t="s">
        <v>1558</v>
      </c>
      <c r="B54" s="25" t="s">
        <v>1557</v>
      </c>
      <c r="C54" s="52" t="s">
        <v>1557</v>
      </c>
    </row>
    <row r="55" spans="1:3">
      <c r="A55" s="25" t="s">
        <v>1556</v>
      </c>
      <c r="B55" s="25" t="s">
        <v>1555</v>
      </c>
      <c r="C55" s="52" t="s">
        <v>1555</v>
      </c>
    </row>
    <row r="56" spans="1:3">
      <c r="A56" s="25" t="s">
        <v>1554</v>
      </c>
      <c r="B56" s="25" t="s">
        <v>1553</v>
      </c>
      <c r="C56" s="52" t="s">
        <v>1553</v>
      </c>
    </row>
    <row r="57" spans="1:3">
      <c r="A57" s="25" t="s">
        <v>1552</v>
      </c>
      <c r="B57" s="25" t="s">
        <v>1551</v>
      </c>
      <c r="C57" s="52" t="s">
        <v>1551</v>
      </c>
    </row>
    <row r="58" spans="1:3">
      <c r="A58" s="25" t="s">
        <v>682</v>
      </c>
      <c r="B58" s="25" t="s">
        <v>1550</v>
      </c>
      <c r="C58" s="52" t="s">
        <v>1550</v>
      </c>
    </row>
    <row r="59" spans="1:3">
      <c r="A59" s="25" t="s">
        <v>1549</v>
      </c>
      <c r="B59" s="25" t="s">
        <v>1548</v>
      </c>
      <c r="C59" s="52" t="s">
        <v>1548</v>
      </c>
    </row>
    <row r="60" spans="1:3">
      <c r="A60" s="25" t="s">
        <v>680</v>
      </c>
      <c r="B60" s="25" t="s">
        <v>1547</v>
      </c>
      <c r="C60" s="52" t="s">
        <v>1547</v>
      </c>
    </row>
    <row r="61" spans="1:3">
      <c r="A61" s="25" t="s">
        <v>1546</v>
      </c>
      <c r="B61" s="25" t="s">
        <v>1545</v>
      </c>
      <c r="C61" s="52" t="s">
        <v>1545</v>
      </c>
    </row>
    <row r="62" spans="1:3">
      <c r="A62" s="25" t="s">
        <v>1544</v>
      </c>
      <c r="B62" s="25" t="s">
        <v>1543</v>
      </c>
      <c r="C62" s="52" t="s">
        <v>1543</v>
      </c>
    </row>
    <row r="63" spans="1:3">
      <c r="A63" s="25" t="s">
        <v>668</v>
      </c>
      <c r="B63" s="25" t="s">
        <v>1542</v>
      </c>
      <c r="C63" s="52" t="s">
        <v>1542</v>
      </c>
    </row>
    <row r="64" spans="1:3">
      <c r="A64" s="25" t="s">
        <v>1541</v>
      </c>
      <c r="B64" s="25" t="s">
        <v>1540</v>
      </c>
      <c r="C64" s="52" t="s">
        <v>1540</v>
      </c>
    </row>
    <row r="65" spans="1:3">
      <c r="A65" s="25" t="s">
        <v>1539</v>
      </c>
      <c r="B65" s="25" t="s">
        <v>1538</v>
      </c>
      <c r="C65" s="52" t="s">
        <v>1538</v>
      </c>
    </row>
    <row r="66" spans="1:3">
      <c r="A66" s="25" t="s">
        <v>1537</v>
      </c>
      <c r="B66" s="25" t="s">
        <v>1536</v>
      </c>
      <c r="C66" s="52" t="s">
        <v>1536</v>
      </c>
    </row>
    <row r="67" spans="1:3">
      <c r="A67" s="25" t="s">
        <v>1535</v>
      </c>
      <c r="B67" s="25" t="s">
        <v>1534</v>
      </c>
      <c r="C67" s="52" t="s">
        <v>1534</v>
      </c>
    </row>
    <row r="68" spans="1:3">
      <c r="A68" s="25" t="s">
        <v>1533</v>
      </c>
      <c r="B68" s="25" t="s">
        <v>1532</v>
      </c>
      <c r="C68" s="52" t="s">
        <v>1532</v>
      </c>
    </row>
    <row r="69" spans="1:3">
      <c r="A69" s="25" t="s">
        <v>1531</v>
      </c>
      <c r="B69" s="25" t="s">
        <v>851</v>
      </c>
      <c r="C69" s="52" t="s">
        <v>851</v>
      </c>
    </row>
    <row r="70" spans="1:3">
      <c r="A70" s="25" t="s">
        <v>1530</v>
      </c>
      <c r="B70" s="25" t="s">
        <v>1529</v>
      </c>
      <c r="C70" s="52" t="s">
        <v>1529</v>
      </c>
    </row>
    <row r="71" spans="1:3">
      <c r="A71" s="25" t="s">
        <v>656</v>
      </c>
      <c r="B71" s="25" t="s">
        <v>1528</v>
      </c>
      <c r="C71" s="52" t="s">
        <v>1528</v>
      </c>
    </row>
    <row r="72" spans="1:3">
      <c r="A72" s="25" t="s">
        <v>1527</v>
      </c>
      <c r="B72" s="25" t="s">
        <v>1526</v>
      </c>
      <c r="C72" s="52" t="s">
        <v>1526</v>
      </c>
    </row>
    <row r="73" spans="1:3">
      <c r="A73" s="25" t="s">
        <v>1525</v>
      </c>
      <c r="B73" s="25" t="s">
        <v>1524</v>
      </c>
      <c r="C73" s="52" t="s">
        <v>1524</v>
      </c>
    </row>
    <row r="74" spans="1:3">
      <c r="A74" s="25" t="s">
        <v>1523</v>
      </c>
      <c r="B74" s="25" t="s">
        <v>1522</v>
      </c>
      <c r="C74" s="52" t="s">
        <v>1522</v>
      </c>
    </row>
    <row r="75" spans="1:3">
      <c r="A75" s="25" t="s">
        <v>1521</v>
      </c>
      <c r="B75" s="25" t="s">
        <v>1520</v>
      </c>
      <c r="C75" s="52" t="s">
        <v>1520</v>
      </c>
    </row>
    <row r="76" spans="1:3">
      <c r="A76" s="25" t="s">
        <v>1519</v>
      </c>
      <c r="B76" s="25" t="s">
        <v>1097</v>
      </c>
      <c r="C76" s="52" t="s">
        <v>1097</v>
      </c>
    </row>
    <row r="77" spans="1:3">
      <c r="A77" s="25" t="s">
        <v>1518</v>
      </c>
      <c r="B77" s="25" t="s">
        <v>1517</v>
      </c>
      <c r="C77" s="52" t="s">
        <v>1517</v>
      </c>
    </row>
    <row r="78" spans="1:3">
      <c r="A78" s="25" t="s">
        <v>1516</v>
      </c>
      <c r="B78" s="25" t="s">
        <v>1515</v>
      </c>
      <c r="C78" s="52" t="s">
        <v>1515</v>
      </c>
    </row>
    <row r="79" spans="1:3">
      <c r="A79" s="25" t="s">
        <v>1514</v>
      </c>
      <c r="B79" s="25" t="s">
        <v>1513</v>
      </c>
      <c r="C79" s="52" t="s">
        <v>1513</v>
      </c>
    </row>
    <row r="80" spans="1:3">
      <c r="A80" s="25" t="s">
        <v>1512</v>
      </c>
      <c r="B80" s="25" t="s">
        <v>1511</v>
      </c>
      <c r="C80" s="52" t="s">
        <v>1511</v>
      </c>
    </row>
    <row r="81" spans="1:3">
      <c r="A81" s="25" t="s">
        <v>1510</v>
      </c>
      <c r="B81" s="25" t="s">
        <v>1509</v>
      </c>
      <c r="C81" s="52" t="s">
        <v>1509</v>
      </c>
    </row>
    <row r="82" spans="1:3">
      <c r="A82" s="25" t="s">
        <v>1508</v>
      </c>
      <c r="B82" s="25" t="s">
        <v>1507</v>
      </c>
      <c r="C82" s="52" t="s">
        <v>1507</v>
      </c>
    </row>
    <row r="83" spans="1:3">
      <c r="A83" s="25" t="s">
        <v>1506</v>
      </c>
      <c r="B83" s="25" t="s">
        <v>1505</v>
      </c>
      <c r="C83" s="52" t="s">
        <v>1505</v>
      </c>
    </row>
    <row r="84" spans="1:3">
      <c r="A84" s="25" t="s">
        <v>1504</v>
      </c>
      <c r="B84" s="25" t="s">
        <v>1503</v>
      </c>
      <c r="C84" s="52" t="s">
        <v>1503</v>
      </c>
    </row>
    <row r="85" spans="1:3">
      <c r="A85" s="25" t="s">
        <v>1502</v>
      </c>
      <c r="B85" s="25" t="s">
        <v>1453</v>
      </c>
      <c r="C85" s="52" t="s">
        <v>1453</v>
      </c>
    </row>
    <row r="86" spans="1:3">
      <c r="A86" s="25" t="s">
        <v>1501</v>
      </c>
      <c r="B86" s="25" t="s">
        <v>1500</v>
      </c>
      <c r="C86" s="52" t="s">
        <v>1500</v>
      </c>
    </row>
    <row r="87" spans="1:3">
      <c r="A87" s="25" t="s">
        <v>1499</v>
      </c>
      <c r="B87" s="25" t="s">
        <v>1498</v>
      </c>
      <c r="C87" s="52" t="s">
        <v>1498</v>
      </c>
    </row>
    <row r="88" spans="1:3">
      <c r="A88" s="25" t="s">
        <v>638</v>
      </c>
      <c r="B88" s="25" t="s">
        <v>1497</v>
      </c>
      <c r="C88" s="52" t="s">
        <v>1497</v>
      </c>
    </row>
    <row r="89" spans="1:3">
      <c r="A89" s="25" t="s">
        <v>1496</v>
      </c>
      <c r="B89" s="25" t="s">
        <v>1495</v>
      </c>
      <c r="C89" s="52" t="s">
        <v>1495</v>
      </c>
    </row>
    <row r="90" spans="1:3">
      <c r="A90" s="25" t="s">
        <v>1494</v>
      </c>
      <c r="B90" s="25" t="s">
        <v>1493</v>
      </c>
      <c r="C90" s="52" t="s">
        <v>1493</v>
      </c>
    </row>
    <row r="91" spans="1:3">
      <c r="A91" s="25" t="s">
        <v>1492</v>
      </c>
      <c r="B91" s="25" t="s">
        <v>1491</v>
      </c>
      <c r="C91" s="52" t="s">
        <v>1491</v>
      </c>
    </row>
    <row r="92" spans="1:3">
      <c r="A92" s="25" t="s">
        <v>732</v>
      </c>
      <c r="B92" s="25" t="s">
        <v>1490</v>
      </c>
      <c r="C92" s="52" t="s">
        <v>1490</v>
      </c>
    </row>
    <row r="93" spans="1:3">
      <c r="A93" s="25" t="s">
        <v>1489</v>
      </c>
      <c r="B93" s="25" t="s">
        <v>1488</v>
      </c>
      <c r="C93" s="52" t="s">
        <v>1488</v>
      </c>
    </row>
    <row r="94" spans="1:3">
      <c r="A94" s="25" t="s">
        <v>1487</v>
      </c>
      <c r="B94" s="25" t="s">
        <v>1486</v>
      </c>
      <c r="C94" s="52" t="s">
        <v>1486</v>
      </c>
    </row>
    <row r="95" spans="1:3">
      <c r="A95" s="25" t="s">
        <v>1485</v>
      </c>
      <c r="B95" s="25" t="s">
        <v>1484</v>
      </c>
      <c r="C95" s="52" t="s">
        <v>1484</v>
      </c>
    </row>
    <row r="96" spans="1:3">
      <c r="A96" s="25" t="s">
        <v>1483</v>
      </c>
      <c r="B96" s="25" t="s">
        <v>1482</v>
      </c>
      <c r="C96" s="52" t="s">
        <v>1482</v>
      </c>
    </row>
    <row r="97" spans="1:3">
      <c r="A97" s="25" t="s">
        <v>1481</v>
      </c>
      <c r="B97" s="25" t="s">
        <v>1480</v>
      </c>
      <c r="C97" s="52" t="s">
        <v>1480</v>
      </c>
    </row>
    <row r="98" spans="1:3">
      <c r="A98" s="25" t="s">
        <v>1479</v>
      </c>
      <c r="B98" s="25" t="s">
        <v>1478</v>
      </c>
      <c r="C98" s="52" t="s">
        <v>1478</v>
      </c>
    </row>
    <row r="99" spans="1:3">
      <c r="A99" s="25" t="s">
        <v>1477</v>
      </c>
      <c r="B99" s="25" t="s">
        <v>1476</v>
      </c>
      <c r="C99" s="52" t="s">
        <v>1476</v>
      </c>
    </row>
    <row r="100" spans="1:3">
      <c r="A100" s="25" t="s">
        <v>1475</v>
      </c>
      <c r="B100" s="25" t="s">
        <v>1474</v>
      </c>
      <c r="C100" s="52" t="s">
        <v>1474</v>
      </c>
    </row>
    <row r="101" spans="1:3">
      <c r="A101" s="25" t="s">
        <v>1473</v>
      </c>
      <c r="B101" s="25" t="s">
        <v>1472</v>
      </c>
      <c r="C101" s="52" t="s">
        <v>1472</v>
      </c>
    </row>
    <row r="102" spans="1:3">
      <c r="A102" s="25" t="s">
        <v>1471</v>
      </c>
      <c r="B102" s="25" t="s">
        <v>1470</v>
      </c>
      <c r="C102" s="52" t="s">
        <v>1470</v>
      </c>
    </row>
    <row r="103" spans="1:3">
      <c r="A103" s="25" t="s">
        <v>1469</v>
      </c>
      <c r="B103" s="25" t="s">
        <v>1468</v>
      </c>
      <c r="C103" s="52" t="s">
        <v>1468</v>
      </c>
    </row>
    <row r="104" spans="1:3">
      <c r="A104" s="25" t="s">
        <v>1467</v>
      </c>
      <c r="B104" s="25" t="s">
        <v>1466</v>
      </c>
      <c r="C104" s="52" t="s">
        <v>1466</v>
      </c>
    </row>
    <row r="105" spans="1:3">
      <c r="A105" s="25" t="s">
        <v>1465</v>
      </c>
      <c r="B105" s="25" t="s">
        <v>1464</v>
      </c>
      <c r="C105" s="52" t="s">
        <v>1464</v>
      </c>
    </row>
    <row r="106" spans="1:3">
      <c r="A106" s="25" t="s">
        <v>1463</v>
      </c>
      <c r="B106" s="25" t="s">
        <v>1462</v>
      </c>
      <c r="C106" s="52" t="s">
        <v>1462</v>
      </c>
    </row>
    <row r="107" spans="1:3">
      <c r="A107" s="25" t="s">
        <v>1461</v>
      </c>
      <c r="B107" s="25" t="s">
        <v>1460</v>
      </c>
      <c r="C107" s="52" t="s">
        <v>1460</v>
      </c>
    </row>
    <row r="108" spans="1:3">
      <c r="A108" s="25" t="s">
        <v>1459</v>
      </c>
      <c r="B108" s="25" t="s">
        <v>1458</v>
      </c>
      <c r="C108" s="52" t="s">
        <v>1458</v>
      </c>
    </row>
    <row r="109" spans="1:3">
      <c r="A109" s="25" t="s">
        <v>1457</v>
      </c>
      <c r="B109" s="25" t="s">
        <v>1456</v>
      </c>
      <c r="C109" s="52" t="s">
        <v>1456</v>
      </c>
    </row>
    <row r="110" spans="1:3">
      <c r="A110" s="25" t="s">
        <v>1455</v>
      </c>
      <c r="B110" s="25" t="s">
        <v>1454</v>
      </c>
      <c r="C110" s="52" t="s">
        <v>1454</v>
      </c>
    </row>
    <row r="111" spans="1:3">
      <c r="A111" s="25" t="s">
        <v>612</v>
      </c>
      <c r="B111" s="25" t="s">
        <v>781</v>
      </c>
      <c r="C111" s="52" t="s">
        <v>781</v>
      </c>
    </row>
    <row r="112" spans="1:3">
      <c r="A112" s="25" t="s">
        <v>608</v>
      </c>
      <c r="B112" s="25" t="s">
        <v>1453</v>
      </c>
      <c r="C112" s="52" t="s">
        <v>1453</v>
      </c>
    </row>
    <row r="113" spans="1:3">
      <c r="A113" s="25" t="s">
        <v>1452</v>
      </c>
      <c r="B113" s="25" t="s">
        <v>1451</v>
      </c>
      <c r="C113" s="52" t="s">
        <v>1451</v>
      </c>
    </row>
    <row r="114" spans="1:3">
      <c r="A114" s="25" t="s">
        <v>1450</v>
      </c>
      <c r="B114" s="25" t="s">
        <v>1449</v>
      </c>
      <c r="C114" s="52" t="s">
        <v>1449</v>
      </c>
    </row>
    <row r="115" spans="1:3">
      <c r="A115" s="25" t="s">
        <v>1448</v>
      </c>
      <c r="B115" s="25" t="s">
        <v>1447</v>
      </c>
      <c r="C115" s="52" t="s">
        <v>1447</v>
      </c>
    </row>
    <row r="116" spans="1:3">
      <c r="A116" s="25" t="s">
        <v>1446</v>
      </c>
      <c r="B116" s="25" t="s">
        <v>1445</v>
      </c>
      <c r="C116" s="52" t="s">
        <v>1445</v>
      </c>
    </row>
    <row r="117" spans="1:3">
      <c r="A117" s="25" t="s">
        <v>1444</v>
      </c>
      <c r="B117" s="25" t="s">
        <v>1443</v>
      </c>
      <c r="C117" s="52" t="s">
        <v>1443</v>
      </c>
    </row>
    <row r="118" spans="1:3">
      <c r="A118" s="25" t="s">
        <v>1442</v>
      </c>
      <c r="B118" s="25" t="s">
        <v>1441</v>
      </c>
      <c r="C118" s="52" t="s">
        <v>1441</v>
      </c>
    </row>
    <row r="119" spans="1:3">
      <c r="A119" s="25" t="s">
        <v>1440</v>
      </c>
      <c r="B119" s="25" t="s">
        <v>1439</v>
      </c>
      <c r="C119" s="52" t="s">
        <v>1439</v>
      </c>
    </row>
    <row r="120" spans="1:3">
      <c r="A120" s="25" t="s">
        <v>1438</v>
      </c>
      <c r="B120" s="25" t="s">
        <v>1437</v>
      </c>
      <c r="C120" s="52" t="s">
        <v>1437</v>
      </c>
    </row>
    <row r="121" spans="1:3">
      <c r="A121" s="25" t="s">
        <v>1436</v>
      </c>
      <c r="B121" s="25" t="s">
        <v>1435</v>
      </c>
      <c r="C121" s="52" t="s">
        <v>1435</v>
      </c>
    </row>
    <row r="122" spans="1:3">
      <c r="A122" s="25" t="s">
        <v>1434</v>
      </c>
      <c r="B122" s="25" t="s">
        <v>1433</v>
      </c>
      <c r="C122" s="52" t="s">
        <v>1433</v>
      </c>
    </row>
    <row r="123" spans="1:3">
      <c r="A123" s="25" t="s">
        <v>1432</v>
      </c>
      <c r="B123" s="25" t="s">
        <v>1431</v>
      </c>
      <c r="C123" s="52" t="s">
        <v>1431</v>
      </c>
    </row>
    <row r="124" spans="1:3">
      <c r="A124" s="25" t="s">
        <v>1430</v>
      </c>
      <c r="B124" s="25" t="s">
        <v>1429</v>
      </c>
      <c r="C124" s="52" t="s">
        <v>1429</v>
      </c>
    </row>
    <row r="125" spans="1:3">
      <c r="A125" s="25" t="s">
        <v>1428</v>
      </c>
      <c r="B125" s="25" t="s">
        <v>1427</v>
      </c>
      <c r="C125" s="52" t="s">
        <v>1427</v>
      </c>
    </row>
    <row r="126" spans="1:3">
      <c r="A126" s="25" t="s">
        <v>1426</v>
      </c>
      <c r="B126" s="25" t="s">
        <v>1425</v>
      </c>
      <c r="C126" s="52" t="s">
        <v>1425</v>
      </c>
    </row>
    <row r="127" spans="1:3">
      <c r="A127" s="25" t="s">
        <v>1424</v>
      </c>
      <c r="B127" s="25" t="s">
        <v>1067</v>
      </c>
      <c r="C127" s="52" t="s">
        <v>1067</v>
      </c>
    </row>
    <row r="128" spans="1:3">
      <c r="A128" s="25" t="s">
        <v>1423</v>
      </c>
      <c r="B128" s="25" t="s">
        <v>1422</v>
      </c>
      <c r="C128" s="52" t="s">
        <v>1422</v>
      </c>
    </row>
    <row r="129" spans="1:3">
      <c r="A129" s="25" t="s">
        <v>1421</v>
      </c>
      <c r="B129" s="25" t="s">
        <v>1420</v>
      </c>
      <c r="C129" s="52" t="s">
        <v>1420</v>
      </c>
    </row>
    <row r="130" spans="1:3">
      <c r="A130" s="25" t="s">
        <v>1419</v>
      </c>
      <c r="B130" s="25" t="s">
        <v>1418</v>
      </c>
      <c r="C130" s="52" t="s">
        <v>1418</v>
      </c>
    </row>
    <row r="131" spans="1:3">
      <c r="A131" s="25" t="s">
        <v>594</v>
      </c>
      <c r="B131" s="25" t="s">
        <v>1417</v>
      </c>
      <c r="C131" s="52" t="s">
        <v>1417</v>
      </c>
    </row>
    <row r="132" spans="1:3">
      <c r="A132" s="25" t="s">
        <v>1416</v>
      </c>
      <c r="B132" s="25" t="s">
        <v>1415</v>
      </c>
      <c r="C132" s="52" t="s">
        <v>1415</v>
      </c>
    </row>
    <row r="133" spans="1:3">
      <c r="A133" s="25" t="s">
        <v>1414</v>
      </c>
      <c r="B133" s="25" t="s">
        <v>1342</v>
      </c>
      <c r="C133" s="52" t="s">
        <v>1342</v>
      </c>
    </row>
    <row r="134" spans="1:3">
      <c r="A134" s="25" t="s">
        <v>1413</v>
      </c>
      <c r="B134" s="25" t="s">
        <v>1412</v>
      </c>
      <c r="C134" s="52" t="s">
        <v>1412</v>
      </c>
    </row>
    <row r="135" spans="1:3">
      <c r="A135" s="25" t="s">
        <v>1411</v>
      </c>
      <c r="B135" s="25" t="s">
        <v>1410</v>
      </c>
      <c r="C135" s="52" t="s">
        <v>1410</v>
      </c>
    </row>
    <row r="136" spans="1:3">
      <c r="A136" s="25" t="s">
        <v>1409</v>
      </c>
      <c r="B136" s="25" t="s">
        <v>1408</v>
      </c>
      <c r="C136" s="52" t="s">
        <v>1408</v>
      </c>
    </row>
    <row r="137" spans="1:3">
      <c r="A137" s="25" t="s">
        <v>586</v>
      </c>
      <c r="B137" s="25" t="s">
        <v>1407</v>
      </c>
      <c r="C137" s="52" t="s">
        <v>1407</v>
      </c>
    </row>
    <row r="138" spans="1:3">
      <c r="A138" s="25" t="s">
        <v>1406</v>
      </c>
      <c r="B138" s="25" t="s">
        <v>1405</v>
      </c>
      <c r="C138" s="52" t="s">
        <v>1405</v>
      </c>
    </row>
    <row r="139" spans="1:3">
      <c r="A139" s="25" t="s">
        <v>1404</v>
      </c>
      <c r="B139" s="25" t="s">
        <v>1403</v>
      </c>
      <c r="C139" s="52" t="s">
        <v>1403</v>
      </c>
    </row>
    <row r="140" spans="1:3">
      <c r="A140" s="25" t="s">
        <v>1402</v>
      </c>
      <c r="B140" s="25" t="s">
        <v>1401</v>
      </c>
      <c r="C140" s="52" t="s">
        <v>1401</v>
      </c>
    </row>
    <row r="141" spans="1:3">
      <c r="A141" s="25" t="s">
        <v>1400</v>
      </c>
      <c r="B141" s="25" t="s">
        <v>1399</v>
      </c>
      <c r="C141" s="52" t="s">
        <v>1399</v>
      </c>
    </row>
    <row r="142" spans="1:3">
      <c r="A142" s="25" t="s">
        <v>1398</v>
      </c>
      <c r="B142" s="25" t="s">
        <v>1397</v>
      </c>
      <c r="C142" s="52" t="s">
        <v>1397</v>
      </c>
    </row>
    <row r="143" spans="1:3">
      <c r="A143" s="25" t="s">
        <v>1396</v>
      </c>
      <c r="B143" s="25" t="s">
        <v>1010</v>
      </c>
      <c r="C143" s="52" t="s">
        <v>1010</v>
      </c>
    </row>
    <row r="144" spans="1:3">
      <c r="A144" s="25" t="s">
        <v>1395</v>
      </c>
      <c r="B144" s="25" t="s">
        <v>1394</v>
      </c>
      <c r="C144" s="52" t="s">
        <v>1394</v>
      </c>
    </row>
    <row r="145" spans="1:3">
      <c r="A145" s="25" t="s">
        <v>1393</v>
      </c>
      <c r="B145" s="25" t="s">
        <v>1392</v>
      </c>
      <c r="C145" s="52" t="s">
        <v>1392</v>
      </c>
    </row>
    <row r="146" spans="1:3">
      <c r="A146" s="25" t="s">
        <v>1391</v>
      </c>
      <c r="B146" s="25" t="s">
        <v>1390</v>
      </c>
      <c r="C146" s="52" t="s">
        <v>1390</v>
      </c>
    </row>
    <row r="147" spans="1:3">
      <c r="A147" s="25" t="s">
        <v>582</v>
      </c>
      <c r="B147" s="25" t="s">
        <v>1389</v>
      </c>
      <c r="C147" s="52" t="s">
        <v>1389</v>
      </c>
    </row>
    <row r="148" spans="1:3">
      <c r="A148" s="25" t="s">
        <v>1388</v>
      </c>
      <c r="B148" s="25" t="s">
        <v>1387</v>
      </c>
      <c r="C148" s="52" t="s">
        <v>1387</v>
      </c>
    </row>
    <row r="149" spans="1:3">
      <c r="A149" s="25" t="s">
        <v>1386</v>
      </c>
      <c r="B149" s="25" t="s">
        <v>1385</v>
      </c>
      <c r="C149" s="52" t="s">
        <v>1385</v>
      </c>
    </row>
    <row r="150" spans="1:3">
      <c r="A150" s="25" t="s">
        <v>738</v>
      </c>
      <c r="B150" s="25" t="s">
        <v>1384</v>
      </c>
      <c r="C150" s="52" t="s">
        <v>1384</v>
      </c>
    </row>
    <row r="151" spans="1:3">
      <c r="A151" s="25" t="s">
        <v>1383</v>
      </c>
      <c r="B151" s="25" t="s">
        <v>1382</v>
      </c>
      <c r="C151" s="52" t="s">
        <v>1382</v>
      </c>
    </row>
    <row r="152" spans="1:3">
      <c r="A152" s="25" t="s">
        <v>576</v>
      </c>
      <c r="B152" s="25" t="s">
        <v>1381</v>
      </c>
      <c r="C152" s="52" t="s">
        <v>1381</v>
      </c>
    </row>
    <row r="153" spans="1:3">
      <c r="A153" s="25" t="s">
        <v>1380</v>
      </c>
      <c r="B153" s="25" t="s">
        <v>1379</v>
      </c>
      <c r="C153" s="52" t="s">
        <v>1379</v>
      </c>
    </row>
    <row r="154" spans="1:3">
      <c r="A154" s="25" t="s">
        <v>1378</v>
      </c>
      <c r="B154" s="25" t="s">
        <v>1377</v>
      </c>
      <c r="C154" s="52" t="s">
        <v>1377</v>
      </c>
    </row>
    <row r="155" spans="1:3">
      <c r="A155" s="25" t="s">
        <v>1376</v>
      </c>
      <c r="B155" s="25" t="s">
        <v>1375</v>
      </c>
      <c r="C155" s="52" t="s">
        <v>1375</v>
      </c>
    </row>
    <row r="156" spans="1:3">
      <c r="A156" s="25" t="s">
        <v>1374</v>
      </c>
      <c r="B156" s="25" t="s">
        <v>1373</v>
      </c>
      <c r="C156" s="52" t="s">
        <v>1373</v>
      </c>
    </row>
    <row r="157" spans="1:3">
      <c r="A157" s="25" t="s">
        <v>1372</v>
      </c>
      <c r="B157" s="25" t="s">
        <v>1371</v>
      </c>
      <c r="C157" s="52" t="s">
        <v>1371</v>
      </c>
    </row>
    <row r="158" spans="1:3">
      <c r="A158" s="25" t="s">
        <v>1370</v>
      </c>
      <c r="B158" s="25" t="s">
        <v>1369</v>
      </c>
      <c r="C158" s="52" t="s">
        <v>1369</v>
      </c>
    </row>
    <row r="159" spans="1:3">
      <c r="A159" s="25" t="s">
        <v>570</v>
      </c>
      <c r="B159" s="25" t="s">
        <v>1249</v>
      </c>
      <c r="C159" s="52" t="s">
        <v>1249</v>
      </c>
    </row>
    <row r="160" spans="1:3">
      <c r="A160" s="25" t="s">
        <v>1368</v>
      </c>
      <c r="B160" s="25" t="s">
        <v>1367</v>
      </c>
      <c r="C160" s="52" t="s">
        <v>1367</v>
      </c>
    </row>
    <row r="161" spans="1:3">
      <c r="A161" s="25" t="s">
        <v>1366</v>
      </c>
      <c r="B161" s="25" t="s">
        <v>1365</v>
      </c>
      <c r="C161" s="52" t="s">
        <v>1365</v>
      </c>
    </row>
    <row r="162" spans="1:3">
      <c r="A162" s="25" t="s">
        <v>1364</v>
      </c>
      <c r="B162" s="25" t="s">
        <v>1363</v>
      </c>
      <c r="C162" s="52" t="s">
        <v>1363</v>
      </c>
    </row>
    <row r="163" spans="1:3">
      <c r="A163" s="25" t="s">
        <v>1362</v>
      </c>
      <c r="B163" s="25" t="s">
        <v>1361</v>
      </c>
      <c r="C163" s="52" t="s">
        <v>1361</v>
      </c>
    </row>
    <row r="164" spans="1:3">
      <c r="A164" s="25" t="s">
        <v>1360</v>
      </c>
      <c r="B164" s="25" t="s">
        <v>1359</v>
      </c>
      <c r="C164" s="52" t="s">
        <v>1359</v>
      </c>
    </row>
    <row r="165" spans="1:3">
      <c r="A165" s="25" t="s">
        <v>1358</v>
      </c>
      <c r="B165" s="25" t="s">
        <v>1357</v>
      </c>
      <c r="C165" s="52" t="s">
        <v>1357</v>
      </c>
    </row>
    <row r="166" spans="1:3">
      <c r="A166" s="25" t="s">
        <v>1356</v>
      </c>
      <c r="B166" s="25" t="s">
        <v>1355</v>
      </c>
      <c r="C166" s="52" t="s">
        <v>1355</v>
      </c>
    </row>
    <row r="167" spans="1:3">
      <c r="A167" s="25" t="s">
        <v>1354</v>
      </c>
      <c r="B167" s="25" t="s">
        <v>1353</v>
      </c>
      <c r="C167" s="52" t="s">
        <v>1353</v>
      </c>
    </row>
    <row r="168" spans="1:3">
      <c r="A168" s="25" t="s">
        <v>1352</v>
      </c>
      <c r="B168" s="25" t="s">
        <v>1351</v>
      </c>
      <c r="C168" s="52" t="s">
        <v>1351</v>
      </c>
    </row>
    <row r="169" spans="1:3">
      <c r="A169" s="25" t="s">
        <v>1350</v>
      </c>
      <c r="B169" s="25" t="s">
        <v>1349</v>
      </c>
      <c r="C169" s="52" t="s">
        <v>1349</v>
      </c>
    </row>
    <row r="170" spans="1:3">
      <c r="A170" s="25" t="s">
        <v>1348</v>
      </c>
      <c r="B170" s="25" t="s">
        <v>1347</v>
      </c>
      <c r="C170" s="52" t="s">
        <v>1347</v>
      </c>
    </row>
    <row r="171" spans="1:3">
      <c r="A171" s="25" t="s">
        <v>1346</v>
      </c>
      <c r="B171" s="25" t="s">
        <v>1345</v>
      </c>
      <c r="C171" s="52" t="s">
        <v>1345</v>
      </c>
    </row>
    <row r="172" spans="1:3">
      <c r="A172" s="25" t="s">
        <v>552</v>
      </c>
      <c r="B172" s="25" t="s">
        <v>1344</v>
      </c>
      <c r="C172" s="52" t="s">
        <v>1344</v>
      </c>
    </row>
    <row r="173" spans="1:3">
      <c r="A173" s="25" t="s">
        <v>1343</v>
      </c>
      <c r="B173" s="25" t="s">
        <v>1342</v>
      </c>
      <c r="C173" s="52" t="s">
        <v>1342</v>
      </c>
    </row>
    <row r="174" spans="1:3">
      <c r="A174" s="25" t="s">
        <v>1341</v>
      </c>
      <c r="B174" s="25" t="s">
        <v>1340</v>
      </c>
      <c r="C174" s="52" t="s">
        <v>1340</v>
      </c>
    </row>
    <row r="175" spans="1:3">
      <c r="A175" s="25" t="s">
        <v>1339</v>
      </c>
      <c r="B175" s="25" t="s">
        <v>1338</v>
      </c>
      <c r="C175" s="52" t="s">
        <v>1338</v>
      </c>
    </row>
    <row r="176" spans="1:3">
      <c r="A176" s="25" t="s">
        <v>1337</v>
      </c>
      <c r="B176" s="25" t="s">
        <v>1336</v>
      </c>
      <c r="C176" s="52" t="s">
        <v>1336</v>
      </c>
    </row>
    <row r="177" spans="1:3">
      <c r="A177" s="25" t="s">
        <v>1335</v>
      </c>
      <c r="B177" s="25" t="s">
        <v>1334</v>
      </c>
      <c r="C177" s="52" t="s">
        <v>1334</v>
      </c>
    </row>
    <row r="178" spans="1:3">
      <c r="A178" s="25" t="s">
        <v>1333</v>
      </c>
      <c r="B178" s="25" t="s">
        <v>1332</v>
      </c>
      <c r="C178" s="52" t="s">
        <v>1332</v>
      </c>
    </row>
    <row r="179" spans="1:3">
      <c r="A179" s="25" t="s">
        <v>1331</v>
      </c>
      <c r="B179" s="25" t="s">
        <v>1330</v>
      </c>
      <c r="C179" s="52" t="s">
        <v>1330</v>
      </c>
    </row>
    <row r="180" spans="1:3">
      <c r="A180" s="25" t="s">
        <v>1329</v>
      </c>
      <c r="B180" s="25" t="s">
        <v>1328</v>
      </c>
      <c r="C180" s="52" t="s">
        <v>1328</v>
      </c>
    </row>
    <row r="181" spans="1:3">
      <c r="A181" s="25" t="s">
        <v>1327</v>
      </c>
      <c r="B181" s="25" t="s">
        <v>1326</v>
      </c>
      <c r="C181" s="52" t="s">
        <v>1326</v>
      </c>
    </row>
    <row r="182" spans="1:3">
      <c r="A182" s="25" t="s">
        <v>1325</v>
      </c>
      <c r="B182" s="25" t="s">
        <v>1324</v>
      </c>
      <c r="C182" s="52" t="s">
        <v>1324</v>
      </c>
    </row>
    <row r="183" spans="1:3">
      <c r="A183" s="25" t="s">
        <v>1323</v>
      </c>
      <c r="B183" s="25" t="s">
        <v>1322</v>
      </c>
      <c r="C183" s="52" t="s">
        <v>1322</v>
      </c>
    </row>
    <row r="184" spans="1:3">
      <c r="A184" s="25" t="s">
        <v>1321</v>
      </c>
      <c r="B184" s="25" t="s">
        <v>1320</v>
      </c>
      <c r="C184" s="52" t="s">
        <v>1320</v>
      </c>
    </row>
    <row r="185" spans="1:3">
      <c r="A185" s="25" t="s">
        <v>1319</v>
      </c>
      <c r="B185" s="25" t="s">
        <v>1318</v>
      </c>
      <c r="C185" s="52" t="s">
        <v>1318</v>
      </c>
    </row>
    <row r="186" spans="1:3">
      <c r="A186" s="25" t="s">
        <v>1317</v>
      </c>
      <c r="B186" s="25" t="s">
        <v>1316</v>
      </c>
      <c r="C186" s="52" t="s">
        <v>1316</v>
      </c>
    </row>
    <row r="187" spans="1:3">
      <c r="A187" s="25" t="s">
        <v>1315</v>
      </c>
      <c r="B187" s="25" t="s">
        <v>1314</v>
      </c>
      <c r="C187" s="52" t="s">
        <v>1314</v>
      </c>
    </row>
    <row r="188" spans="1:3">
      <c r="A188" s="25" t="s">
        <v>1313</v>
      </c>
      <c r="B188" s="25" t="s">
        <v>1312</v>
      </c>
      <c r="C188" s="52" t="s">
        <v>1312</v>
      </c>
    </row>
    <row r="189" spans="1:3">
      <c r="A189" s="25" t="s">
        <v>534</v>
      </c>
      <c r="B189" s="25" t="s">
        <v>946</v>
      </c>
      <c r="C189" s="52" t="s">
        <v>946</v>
      </c>
    </row>
    <row r="190" spans="1:3">
      <c r="A190" s="25" t="s">
        <v>1311</v>
      </c>
      <c r="B190" s="25" t="s">
        <v>1310</v>
      </c>
      <c r="C190" s="52" t="s">
        <v>1310</v>
      </c>
    </row>
    <row r="191" spans="1:3">
      <c r="A191" s="25" t="s">
        <v>530</v>
      </c>
      <c r="B191" s="25" t="s">
        <v>1309</v>
      </c>
      <c r="C191" s="52" t="s">
        <v>1309</v>
      </c>
    </row>
    <row r="192" spans="1:3">
      <c r="A192" s="25" t="s">
        <v>1308</v>
      </c>
      <c r="B192" s="25" t="s">
        <v>1307</v>
      </c>
      <c r="C192" s="52" t="s">
        <v>1307</v>
      </c>
    </row>
    <row r="193" spans="1:3">
      <c r="A193" s="25" t="s">
        <v>1306</v>
      </c>
      <c r="B193" s="25" t="s">
        <v>1305</v>
      </c>
      <c r="C193" s="52" t="s">
        <v>1305</v>
      </c>
    </row>
    <row r="194" spans="1:3">
      <c r="A194" s="25" t="s">
        <v>1304</v>
      </c>
      <c r="B194" s="25" t="s">
        <v>1303</v>
      </c>
      <c r="C194" s="52" t="s">
        <v>1303</v>
      </c>
    </row>
    <row r="195" spans="1:3">
      <c r="A195" s="25" t="s">
        <v>1302</v>
      </c>
      <c r="B195" s="25" t="s">
        <v>1301</v>
      </c>
      <c r="C195" s="52" t="s">
        <v>1301</v>
      </c>
    </row>
    <row r="196" spans="1:3">
      <c r="A196" s="25" t="s">
        <v>1300</v>
      </c>
      <c r="B196" s="25" t="s">
        <v>1276</v>
      </c>
      <c r="C196" s="52" t="s">
        <v>1276</v>
      </c>
    </row>
    <row r="197" spans="1:3">
      <c r="A197" s="25" t="s">
        <v>1299</v>
      </c>
      <c r="B197" s="25" t="s">
        <v>1298</v>
      </c>
      <c r="C197" s="52" t="s">
        <v>1298</v>
      </c>
    </row>
    <row r="198" spans="1:3">
      <c r="A198" s="25" t="s">
        <v>1297</v>
      </c>
      <c r="B198" s="25" t="s">
        <v>1296</v>
      </c>
      <c r="C198" s="52" t="s">
        <v>1296</v>
      </c>
    </row>
    <row r="199" spans="1:3">
      <c r="A199" s="25" t="s">
        <v>1295</v>
      </c>
      <c r="B199" s="25" t="s">
        <v>1294</v>
      </c>
      <c r="C199" s="52" t="s">
        <v>1294</v>
      </c>
    </row>
    <row r="200" spans="1:3">
      <c r="A200" s="25" t="s">
        <v>1293</v>
      </c>
      <c r="B200" s="25" t="s">
        <v>1292</v>
      </c>
      <c r="C200" s="52" t="s">
        <v>1292</v>
      </c>
    </row>
    <row r="201" spans="1:3">
      <c r="A201" s="25" t="s">
        <v>1291</v>
      </c>
      <c r="B201" s="25" t="s">
        <v>1290</v>
      </c>
      <c r="C201" s="52" t="s">
        <v>1290</v>
      </c>
    </row>
    <row r="202" spans="1:3">
      <c r="A202" s="25" t="s">
        <v>1289</v>
      </c>
      <c r="B202" s="25" t="s">
        <v>1288</v>
      </c>
      <c r="C202" s="52" t="s">
        <v>1288</v>
      </c>
    </row>
    <row r="203" spans="1:3">
      <c r="A203" s="25" t="s">
        <v>734</v>
      </c>
      <c r="B203" s="25" t="s">
        <v>1287</v>
      </c>
      <c r="C203" s="52" t="s">
        <v>1287</v>
      </c>
    </row>
    <row r="204" spans="1:3">
      <c r="A204" s="25" t="s">
        <v>1286</v>
      </c>
      <c r="B204" s="25" t="s">
        <v>1285</v>
      </c>
      <c r="C204" s="52" t="s">
        <v>1285</v>
      </c>
    </row>
    <row r="205" spans="1:3">
      <c r="A205" s="25" t="s">
        <v>1284</v>
      </c>
      <c r="B205" s="25" t="s">
        <v>1283</v>
      </c>
      <c r="C205" s="52" t="s">
        <v>1283</v>
      </c>
    </row>
    <row r="206" spans="1:3">
      <c r="A206" s="25" t="s">
        <v>1282</v>
      </c>
      <c r="B206" s="25" t="s">
        <v>1281</v>
      </c>
      <c r="C206" s="52" t="s">
        <v>1281</v>
      </c>
    </row>
    <row r="207" spans="1:3">
      <c r="A207" s="25" t="s">
        <v>1280</v>
      </c>
      <c r="B207" s="25" t="s">
        <v>1279</v>
      </c>
      <c r="C207" s="52" t="s">
        <v>1279</v>
      </c>
    </row>
    <row r="208" spans="1:3">
      <c r="A208" s="25" t="s">
        <v>1278</v>
      </c>
      <c r="B208" s="25" t="s">
        <v>1277</v>
      </c>
      <c r="C208" s="52" t="s">
        <v>1277</v>
      </c>
    </row>
    <row r="209" spans="1:3">
      <c r="A209" s="25" t="s">
        <v>516</v>
      </c>
      <c r="B209" s="25" t="s">
        <v>1276</v>
      </c>
      <c r="C209" s="52" t="s">
        <v>1276</v>
      </c>
    </row>
    <row r="210" spans="1:3">
      <c r="A210" s="25" t="s">
        <v>722</v>
      </c>
      <c r="B210" s="25" t="s">
        <v>1275</v>
      </c>
      <c r="C210" s="52" t="s">
        <v>1275</v>
      </c>
    </row>
    <row r="211" spans="1:3">
      <c r="A211" s="25" t="s">
        <v>1274</v>
      </c>
      <c r="B211" s="25" t="s">
        <v>1273</v>
      </c>
      <c r="C211" s="52" t="s">
        <v>1273</v>
      </c>
    </row>
    <row r="212" spans="1:3">
      <c r="A212" s="25" t="s">
        <v>1272</v>
      </c>
      <c r="B212" s="25" t="s">
        <v>1271</v>
      </c>
      <c r="C212" s="52" t="s">
        <v>1271</v>
      </c>
    </row>
    <row r="213" spans="1:3">
      <c r="A213" s="25" t="s">
        <v>1270</v>
      </c>
      <c r="B213" s="25" t="s">
        <v>1269</v>
      </c>
      <c r="C213" s="52" t="s">
        <v>1269</v>
      </c>
    </row>
    <row r="214" spans="1:3">
      <c r="A214" s="25" t="s">
        <v>1268</v>
      </c>
      <c r="B214" s="25" t="s">
        <v>1267</v>
      </c>
      <c r="C214" s="52" t="s">
        <v>1267</v>
      </c>
    </row>
    <row r="215" spans="1:3">
      <c r="A215" s="25" t="s">
        <v>1266</v>
      </c>
      <c r="B215" s="25" t="s">
        <v>1265</v>
      </c>
      <c r="C215" s="52" t="s">
        <v>1265</v>
      </c>
    </row>
    <row r="216" spans="1:3">
      <c r="A216" s="25" t="s">
        <v>1264</v>
      </c>
      <c r="B216" s="25" t="s">
        <v>1263</v>
      </c>
      <c r="C216" s="52" t="s">
        <v>1263</v>
      </c>
    </row>
    <row r="217" spans="1:3">
      <c r="A217" s="25" t="s">
        <v>1262</v>
      </c>
      <c r="B217" s="25" t="s">
        <v>1261</v>
      </c>
      <c r="C217" s="52" t="s">
        <v>1261</v>
      </c>
    </row>
    <row r="218" spans="1:3">
      <c r="A218" s="25" t="s">
        <v>1260</v>
      </c>
      <c r="B218" s="25" t="s">
        <v>1259</v>
      </c>
      <c r="C218" s="52" t="s">
        <v>1259</v>
      </c>
    </row>
    <row r="219" spans="1:3">
      <c r="A219" s="25" t="s">
        <v>1258</v>
      </c>
      <c r="B219" s="25" t="s">
        <v>1257</v>
      </c>
      <c r="C219" s="52" t="s">
        <v>1257</v>
      </c>
    </row>
    <row r="220" spans="1:3">
      <c r="A220" s="25" t="s">
        <v>1256</v>
      </c>
      <c r="B220" s="25" t="s">
        <v>1255</v>
      </c>
      <c r="C220" s="52" t="s">
        <v>1255</v>
      </c>
    </row>
    <row r="221" spans="1:3">
      <c r="A221" s="25" t="s">
        <v>1254</v>
      </c>
      <c r="B221" s="25" t="s">
        <v>1253</v>
      </c>
      <c r="C221" s="52" t="s">
        <v>1253</v>
      </c>
    </row>
    <row r="222" spans="1:3">
      <c r="A222" s="25" t="s">
        <v>1252</v>
      </c>
      <c r="B222" s="25" t="s">
        <v>1251</v>
      </c>
      <c r="C222" s="52" t="s">
        <v>1251</v>
      </c>
    </row>
    <row r="223" spans="1:3">
      <c r="A223" s="25" t="s">
        <v>1250</v>
      </c>
      <c r="B223" s="25" t="s">
        <v>1249</v>
      </c>
      <c r="C223" s="52" t="s">
        <v>1249</v>
      </c>
    </row>
    <row r="224" spans="1:3">
      <c r="A224" s="25" t="s">
        <v>1248</v>
      </c>
      <c r="B224" s="25" t="s">
        <v>1247</v>
      </c>
      <c r="C224" s="52" t="s">
        <v>1247</v>
      </c>
    </row>
    <row r="225" spans="1:3">
      <c r="A225" s="25" t="s">
        <v>1246</v>
      </c>
      <c r="B225" s="25" t="s">
        <v>1245</v>
      </c>
      <c r="C225" s="52" t="s">
        <v>1245</v>
      </c>
    </row>
    <row r="226" spans="1:3">
      <c r="A226" s="25" t="s">
        <v>506</v>
      </c>
      <c r="B226" s="25" t="s">
        <v>1244</v>
      </c>
      <c r="C226" s="52" t="s">
        <v>1244</v>
      </c>
    </row>
    <row r="227" spans="1:3">
      <c r="A227" s="25" t="s">
        <v>1243</v>
      </c>
      <c r="B227" s="25" t="s">
        <v>1242</v>
      </c>
      <c r="C227" s="52" t="s">
        <v>1242</v>
      </c>
    </row>
    <row r="228" spans="1:3">
      <c r="A228" s="25" t="s">
        <v>1241</v>
      </c>
      <c r="B228" s="25" t="s">
        <v>1240</v>
      </c>
      <c r="C228" s="52" t="s">
        <v>1240</v>
      </c>
    </row>
    <row r="229" spans="1:3">
      <c r="A229" s="25" t="s">
        <v>1239</v>
      </c>
      <c r="B229" s="25" t="s">
        <v>1238</v>
      </c>
      <c r="C229" s="52" t="s">
        <v>1238</v>
      </c>
    </row>
    <row r="230" spans="1:3">
      <c r="A230" s="25" t="s">
        <v>500</v>
      </c>
      <c r="B230" s="25" t="s">
        <v>1237</v>
      </c>
      <c r="C230" s="52" t="s">
        <v>1237</v>
      </c>
    </row>
    <row r="231" spans="1:3">
      <c r="A231" s="25" t="s">
        <v>1236</v>
      </c>
      <c r="B231" s="25" t="s">
        <v>1235</v>
      </c>
      <c r="C231" s="52" t="s">
        <v>1235</v>
      </c>
    </row>
    <row r="232" spans="1:3">
      <c r="A232" s="25" t="s">
        <v>1234</v>
      </c>
      <c r="B232" s="25" t="s">
        <v>1233</v>
      </c>
      <c r="C232" s="52" t="s">
        <v>1233</v>
      </c>
    </row>
    <row r="233" spans="1:3">
      <c r="A233" s="25" t="s">
        <v>1232</v>
      </c>
      <c r="B233" s="25" t="s">
        <v>1231</v>
      </c>
      <c r="C233" s="52" t="s">
        <v>1231</v>
      </c>
    </row>
    <row r="234" spans="1:3">
      <c r="A234" s="25" t="s">
        <v>498</v>
      </c>
      <c r="B234" s="25" t="s">
        <v>1230</v>
      </c>
      <c r="C234" s="52" t="s">
        <v>1230</v>
      </c>
    </row>
    <row r="235" spans="1:3">
      <c r="A235" s="25" t="s">
        <v>1229</v>
      </c>
      <c r="B235" s="25" t="s">
        <v>1228</v>
      </c>
      <c r="C235" s="52" t="s">
        <v>1228</v>
      </c>
    </row>
    <row r="236" spans="1:3">
      <c r="A236" s="25" t="s">
        <v>1227</v>
      </c>
      <c r="B236" s="25" t="s">
        <v>1226</v>
      </c>
      <c r="C236" s="52" t="s">
        <v>1226</v>
      </c>
    </row>
    <row r="237" spans="1:3">
      <c r="A237" s="25" t="s">
        <v>1225</v>
      </c>
      <c r="B237" s="25" t="s">
        <v>1224</v>
      </c>
      <c r="C237" s="52" t="s">
        <v>1224</v>
      </c>
    </row>
    <row r="238" spans="1:3">
      <c r="A238" s="25" t="s">
        <v>1223</v>
      </c>
      <c r="B238" s="25" t="s">
        <v>1222</v>
      </c>
      <c r="C238" s="52" t="s">
        <v>1222</v>
      </c>
    </row>
    <row r="239" spans="1:3">
      <c r="A239" s="25" t="s">
        <v>1221</v>
      </c>
      <c r="B239" s="25" t="s">
        <v>1220</v>
      </c>
      <c r="C239" s="52" t="s">
        <v>1220</v>
      </c>
    </row>
    <row r="240" spans="1:3">
      <c r="A240" s="25" t="s">
        <v>1219</v>
      </c>
      <c r="B240" s="25" t="s">
        <v>1218</v>
      </c>
      <c r="C240" s="52" t="s">
        <v>1218</v>
      </c>
    </row>
    <row r="241" spans="1:3">
      <c r="A241" s="25" t="s">
        <v>1217</v>
      </c>
      <c r="B241" s="25" t="s">
        <v>1216</v>
      </c>
      <c r="C241" s="52" t="s">
        <v>1216</v>
      </c>
    </row>
    <row r="242" spans="1:3">
      <c r="A242" s="25" t="s">
        <v>1215</v>
      </c>
      <c r="B242" s="25" t="s">
        <v>1214</v>
      </c>
      <c r="C242" s="52" t="s">
        <v>1214</v>
      </c>
    </row>
    <row r="243" spans="1:3">
      <c r="A243" s="25" t="s">
        <v>1213</v>
      </c>
      <c r="B243" s="25" t="s">
        <v>1212</v>
      </c>
      <c r="C243" s="52" t="s">
        <v>1212</v>
      </c>
    </row>
    <row r="244" spans="1:3">
      <c r="A244" s="25" t="s">
        <v>1211</v>
      </c>
      <c r="B244" s="25" t="s">
        <v>1210</v>
      </c>
      <c r="C244" s="52" t="s">
        <v>1210</v>
      </c>
    </row>
    <row r="245" spans="1:3">
      <c r="A245" s="25" t="s">
        <v>1209</v>
      </c>
      <c r="B245" s="25" t="s">
        <v>1208</v>
      </c>
      <c r="C245" s="52" t="s">
        <v>1208</v>
      </c>
    </row>
    <row r="246" spans="1:3">
      <c r="A246" s="25" t="s">
        <v>1207</v>
      </c>
      <c r="B246" s="25" t="s">
        <v>1206</v>
      </c>
      <c r="C246" s="52" t="s">
        <v>1206</v>
      </c>
    </row>
    <row r="247" spans="1:3">
      <c r="A247" s="25" t="s">
        <v>1205</v>
      </c>
      <c r="B247" s="25" t="s">
        <v>1204</v>
      </c>
      <c r="C247" s="52" t="s">
        <v>1204</v>
      </c>
    </row>
    <row r="248" spans="1:3">
      <c r="A248" s="25" t="s">
        <v>1203</v>
      </c>
      <c r="B248" s="25" t="s">
        <v>1202</v>
      </c>
      <c r="C248" s="52" t="s">
        <v>1202</v>
      </c>
    </row>
    <row r="249" spans="1:3">
      <c r="A249" s="25" t="s">
        <v>1201</v>
      </c>
      <c r="B249" s="25" t="s">
        <v>1200</v>
      </c>
      <c r="C249" s="52" t="s">
        <v>1200</v>
      </c>
    </row>
    <row r="250" spans="1:3">
      <c r="A250" s="25" t="s">
        <v>492</v>
      </c>
      <c r="B250" s="25" t="s">
        <v>1199</v>
      </c>
      <c r="C250" s="52" t="s">
        <v>1199</v>
      </c>
    </row>
    <row r="251" spans="1:3">
      <c r="A251" s="25" t="s">
        <v>1198</v>
      </c>
      <c r="B251" s="25" t="s">
        <v>1197</v>
      </c>
      <c r="C251" s="52" t="s">
        <v>1197</v>
      </c>
    </row>
    <row r="252" spans="1:3">
      <c r="A252" s="25" t="s">
        <v>1196</v>
      </c>
      <c r="B252" s="25" t="s">
        <v>1195</v>
      </c>
      <c r="C252" s="52" t="s">
        <v>1195</v>
      </c>
    </row>
    <row r="253" spans="1:3">
      <c r="A253" s="25" t="s">
        <v>1194</v>
      </c>
      <c r="B253" s="25" t="s">
        <v>1193</v>
      </c>
      <c r="C253" s="52" t="s">
        <v>1193</v>
      </c>
    </row>
    <row r="254" spans="1:3">
      <c r="A254" s="25" t="s">
        <v>1192</v>
      </c>
      <c r="B254" s="25" t="s">
        <v>1191</v>
      </c>
      <c r="C254" s="52" t="s">
        <v>1191</v>
      </c>
    </row>
    <row r="255" spans="1:3">
      <c r="A255" s="25" t="s">
        <v>1190</v>
      </c>
      <c r="B255" s="25" t="s">
        <v>1189</v>
      </c>
      <c r="C255" s="52" t="s">
        <v>1189</v>
      </c>
    </row>
    <row r="256" spans="1:3">
      <c r="A256" s="25" t="s">
        <v>1188</v>
      </c>
      <c r="B256" s="25" t="s">
        <v>1187</v>
      </c>
      <c r="C256" s="52" t="s">
        <v>1187</v>
      </c>
    </row>
    <row r="257" spans="1:3">
      <c r="A257" s="25" t="s">
        <v>1186</v>
      </c>
      <c r="B257" s="25" t="s">
        <v>1185</v>
      </c>
      <c r="C257" s="52" t="s">
        <v>1185</v>
      </c>
    </row>
    <row r="258" spans="1:3">
      <c r="A258" s="25" t="s">
        <v>1184</v>
      </c>
      <c r="B258" s="25" t="s">
        <v>1183</v>
      </c>
      <c r="C258" s="52" t="s">
        <v>1183</v>
      </c>
    </row>
    <row r="259" spans="1:3">
      <c r="A259" s="25" t="s">
        <v>1182</v>
      </c>
      <c r="B259" s="25" t="s">
        <v>1181</v>
      </c>
      <c r="C259" s="52" t="s">
        <v>1181</v>
      </c>
    </row>
    <row r="260" spans="1:3">
      <c r="A260" s="25" t="s">
        <v>1180</v>
      </c>
      <c r="B260" s="25" t="s">
        <v>1179</v>
      </c>
      <c r="C260" s="52" t="s">
        <v>1179</v>
      </c>
    </row>
    <row r="261" spans="1:3">
      <c r="A261" s="25" t="s">
        <v>1178</v>
      </c>
      <c r="B261" s="25" t="s">
        <v>1177</v>
      </c>
      <c r="C261" s="52" t="s">
        <v>1177</v>
      </c>
    </row>
    <row r="262" spans="1:3">
      <c r="A262" s="25" t="s">
        <v>1176</v>
      </c>
      <c r="B262" s="25" t="s">
        <v>1175</v>
      </c>
      <c r="C262" s="52" t="s">
        <v>1175</v>
      </c>
    </row>
    <row r="263" spans="1:3">
      <c r="A263" s="25" t="s">
        <v>1174</v>
      </c>
      <c r="B263" s="25" t="s">
        <v>1173</v>
      </c>
      <c r="C263" s="52" t="s">
        <v>1173</v>
      </c>
    </row>
    <row r="264" spans="1:3">
      <c r="A264" s="25" t="s">
        <v>1172</v>
      </c>
      <c r="B264" s="25" t="s">
        <v>1171</v>
      </c>
      <c r="C264" s="52" t="s">
        <v>1171</v>
      </c>
    </row>
    <row r="265" spans="1:3">
      <c r="A265" s="25" t="s">
        <v>1170</v>
      </c>
      <c r="B265" s="25" t="s">
        <v>1169</v>
      </c>
      <c r="C265" s="52" t="s">
        <v>1169</v>
      </c>
    </row>
    <row r="266" spans="1:3">
      <c r="A266" s="25" t="s">
        <v>1168</v>
      </c>
      <c r="B266" s="25" t="s">
        <v>1167</v>
      </c>
      <c r="C266" s="52" t="s">
        <v>1167</v>
      </c>
    </row>
    <row r="267" spans="1:3">
      <c r="A267" s="25" t="s">
        <v>470</v>
      </c>
      <c r="B267" s="25" t="s">
        <v>1131</v>
      </c>
      <c r="C267" s="52" t="s">
        <v>1131</v>
      </c>
    </row>
    <row r="268" spans="1:3">
      <c r="A268" s="25" t="s">
        <v>1166</v>
      </c>
      <c r="B268" s="25" t="s">
        <v>1165</v>
      </c>
      <c r="C268" s="52" t="s">
        <v>1165</v>
      </c>
    </row>
    <row r="269" spans="1:3">
      <c r="A269" s="25" t="s">
        <v>1164</v>
      </c>
      <c r="B269" s="25" t="s">
        <v>1163</v>
      </c>
      <c r="C269" s="52" t="s">
        <v>1163</v>
      </c>
    </row>
    <row r="270" spans="1:3">
      <c r="A270" s="25" t="s">
        <v>1162</v>
      </c>
      <c r="B270" s="25" t="s">
        <v>1161</v>
      </c>
      <c r="C270" s="52" t="s">
        <v>1161</v>
      </c>
    </row>
    <row r="271" spans="1:3">
      <c r="A271" s="25" t="s">
        <v>1160</v>
      </c>
      <c r="B271" s="25" t="s">
        <v>1159</v>
      </c>
      <c r="C271" s="52" t="s">
        <v>1159</v>
      </c>
    </row>
    <row r="272" spans="1:3">
      <c r="A272" s="25" t="s">
        <v>1158</v>
      </c>
      <c r="B272" s="25" t="s">
        <v>1157</v>
      </c>
      <c r="C272" s="52" t="s">
        <v>1157</v>
      </c>
    </row>
    <row r="273" spans="1:3">
      <c r="A273" s="25" t="s">
        <v>1156</v>
      </c>
      <c r="B273" s="25" t="s">
        <v>1155</v>
      </c>
      <c r="C273" s="52" t="s">
        <v>1155</v>
      </c>
    </row>
    <row r="274" spans="1:3">
      <c r="A274" s="25" t="s">
        <v>1154</v>
      </c>
      <c r="B274" s="25" t="s">
        <v>1153</v>
      </c>
      <c r="C274" s="52" t="s">
        <v>1153</v>
      </c>
    </row>
    <row r="275" spans="1:3">
      <c r="A275" s="25" t="s">
        <v>1152</v>
      </c>
      <c r="B275" s="25" t="s">
        <v>1110</v>
      </c>
      <c r="C275" s="52" t="s">
        <v>1110</v>
      </c>
    </row>
    <row r="276" spans="1:3">
      <c r="A276" s="25" t="s">
        <v>1151</v>
      </c>
      <c r="B276" s="25" t="s">
        <v>1150</v>
      </c>
      <c r="C276" s="52" t="s">
        <v>1150</v>
      </c>
    </row>
    <row r="277" spans="1:3">
      <c r="A277" s="25" t="s">
        <v>466</v>
      </c>
      <c r="B277" s="25" t="s">
        <v>1149</v>
      </c>
      <c r="C277" s="52" t="s">
        <v>1149</v>
      </c>
    </row>
    <row r="278" spans="1:3">
      <c r="A278" s="25" t="s">
        <v>1148</v>
      </c>
      <c r="B278" s="25" t="s">
        <v>1147</v>
      </c>
      <c r="C278" s="52" t="s">
        <v>1147</v>
      </c>
    </row>
    <row r="279" spans="1:3">
      <c r="A279" s="25" t="s">
        <v>1146</v>
      </c>
      <c r="B279" s="25" t="s">
        <v>1108</v>
      </c>
      <c r="C279" s="52" t="s">
        <v>1108</v>
      </c>
    </row>
    <row r="280" spans="1:3">
      <c r="A280" s="25" t="s">
        <v>1145</v>
      </c>
      <c r="B280" s="25" t="s">
        <v>1144</v>
      </c>
      <c r="C280" s="52" t="s">
        <v>1144</v>
      </c>
    </row>
    <row r="281" spans="1:3">
      <c r="A281" s="25" t="s">
        <v>1143</v>
      </c>
      <c r="B281" s="25" t="s">
        <v>1142</v>
      </c>
      <c r="C281" s="52" t="s">
        <v>1142</v>
      </c>
    </row>
    <row r="282" spans="1:3">
      <c r="A282" s="25" t="s">
        <v>1141</v>
      </c>
      <c r="B282" s="25" t="s">
        <v>1140</v>
      </c>
      <c r="C282" s="52" t="s">
        <v>1140</v>
      </c>
    </row>
    <row r="283" spans="1:3">
      <c r="A283" s="25" t="s">
        <v>1139</v>
      </c>
      <c r="B283" s="25" t="s">
        <v>1138</v>
      </c>
      <c r="C283" s="52" t="s">
        <v>1138</v>
      </c>
    </row>
    <row r="284" spans="1:3">
      <c r="A284" s="25" t="s">
        <v>1137</v>
      </c>
      <c r="B284" s="25" t="s">
        <v>1136</v>
      </c>
      <c r="C284" s="52" t="s">
        <v>1136</v>
      </c>
    </row>
    <row r="285" spans="1:3">
      <c r="A285" s="25" t="s">
        <v>1135</v>
      </c>
      <c r="B285" s="25" t="s">
        <v>1134</v>
      </c>
      <c r="C285" s="52" t="s">
        <v>1134</v>
      </c>
    </row>
    <row r="286" spans="1:3">
      <c r="A286" s="25" t="s">
        <v>1133</v>
      </c>
      <c r="B286" s="25" t="s">
        <v>1132</v>
      </c>
      <c r="C286" s="52" t="s">
        <v>1132</v>
      </c>
    </row>
    <row r="287" spans="1:3">
      <c r="A287" s="25" t="s">
        <v>452</v>
      </c>
      <c r="B287" s="25" t="s">
        <v>1131</v>
      </c>
      <c r="C287" s="52" t="s">
        <v>1131</v>
      </c>
    </row>
    <row r="288" spans="1:3">
      <c r="A288" s="25" t="s">
        <v>1130</v>
      </c>
      <c r="B288" s="25" t="s">
        <v>1129</v>
      </c>
      <c r="C288" s="52" t="s">
        <v>1129</v>
      </c>
    </row>
    <row r="289" spans="1:3">
      <c r="A289" s="25" t="s">
        <v>1128</v>
      </c>
      <c r="B289" s="25" t="s">
        <v>1127</v>
      </c>
      <c r="C289" s="52" t="s">
        <v>1127</v>
      </c>
    </row>
    <row r="290" spans="1:3">
      <c r="A290" s="25" t="s">
        <v>448</v>
      </c>
      <c r="B290" s="25" t="s">
        <v>1126</v>
      </c>
      <c r="C290" s="52" t="s">
        <v>1126</v>
      </c>
    </row>
    <row r="291" spans="1:3">
      <c r="A291" s="25" t="s">
        <v>1125</v>
      </c>
      <c r="B291" s="25" t="s">
        <v>1124</v>
      </c>
      <c r="C291" s="52" t="s">
        <v>1124</v>
      </c>
    </row>
    <row r="292" spans="1:3">
      <c r="A292" s="25" t="s">
        <v>1123</v>
      </c>
      <c r="B292" s="25" t="s">
        <v>1122</v>
      </c>
      <c r="C292" s="52" t="s">
        <v>1122</v>
      </c>
    </row>
    <row r="293" spans="1:3">
      <c r="A293" s="25" t="s">
        <v>1121</v>
      </c>
      <c r="B293" s="25" t="s">
        <v>1120</v>
      </c>
      <c r="C293" s="52" t="s">
        <v>1120</v>
      </c>
    </row>
    <row r="294" spans="1:3">
      <c r="A294" s="25" t="s">
        <v>1119</v>
      </c>
      <c r="B294" s="25" t="s">
        <v>1118</v>
      </c>
      <c r="C294" s="52" t="s">
        <v>1118</v>
      </c>
    </row>
    <row r="295" spans="1:3">
      <c r="A295" s="25" t="s">
        <v>1117</v>
      </c>
      <c r="B295" s="25" t="s">
        <v>1116</v>
      </c>
      <c r="C295" s="52" t="s">
        <v>1116</v>
      </c>
    </row>
    <row r="296" spans="1:3">
      <c r="A296" s="25" t="s">
        <v>1115</v>
      </c>
      <c r="B296" s="25" t="s">
        <v>1114</v>
      </c>
      <c r="C296" s="52" t="s">
        <v>1114</v>
      </c>
    </row>
    <row r="297" spans="1:3">
      <c r="A297" s="25" t="s">
        <v>1113</v>
      </c>
      <c r="B297" s="25" t="s">
        <v>1112</v>
      </c>
      <c r="C297" s="52" t="s">
        <v>1112</v>
      </c>
    </row>
    <row r="298" spans="1:3">
      <c r="A298" s="25" t="s">
        <v>1111</v>
      </c>
      <c r="B298" s="25" t="s">
        <v>1110</v>
      </c>
      <c r="C298" s="52" t="s">
        <v>1110</v>
      </c>
    </row>
    <row r="299" spans="1:3">
      <c r="A299" s="25" t="s">
        <v>1109</v>
      </c>
      <c r="B299" s="25" t="s">
        <v>1108</v>
      </c>
      <c r="C299" s="52" t="s">
        <v>1108</v>
      </c>
    </row>
    <row r="300" spans="1:3">
      <c r="A300" s="25" t="s">
        <v>1107</v>
      </c>
      <c r="B300" s="25" t="s">
        <v>1106</v>
      </c>
      <c r="C300" s="52" t="s">
        <v>1106</v>
      </c>
    </row>
    <row r="301" spans="1:3">
      <c r="A301" s="25" t="s">
        <v>1105</v>
      </c>
      <c r="B301" s="25" t="s">
        <v>1104</v>
      </c>
      <c r="C301" s="52" t="s">
        <v>1104</v>
      </c>
    </row>
    <row r="302" spans="1:3">
      <c r="A302" s="25" t="s">
        <v>430</v>
      </c>
      <c r="B302" s="25" t="s">
        <v>1103</v>
      </c>
      <c r="C302" s="52" t="s">
        <v>1103</v>
      </c>
    </row>
    <row r="303" spans="1:3">
      <c r="A303" s="25" t="s">
        <v>1102</v>
      </c>
      <c r="B303" s="25" t="s">
        <v>1101</v>
      </c>
      <c r="C303" s="52" t="s">
        <v>1101</v>
      </c>
    </row>
    <row r="304" spans="1:3">
      <c r="A304" s="25" t="s">
        <v>1100</v>
      </c>
      <c r="B304" s="25" t="s">
        <v>1099</v>
      </c>
      <c r="C304" s="52" t="s">
        <v>1099</v>
      </c>
    </row>
    <row r="305" spans="1:3">
      <c r="A305" s="25" t="s">
        <v>1098</v>
      </c>
      <c r="B305" s="25" t="s">
        <v>1097</v>
      </c>
      <c r="C305" s="52" t="s">
        <v>1097</v>
      </c>
    </row>
    <row r="306" spans="1:3">
      <c r="A306" s="25" t="s">
        <v>1096</v>
      </c>
      <c r="B306" s="25" t="s">
        <v>1095</v>
      </c>
      <c r="C306" s="52" t="s">
        <v>1095</v>
      </c>
    </row>
    <row r="307" spans="1:3">
      <c r="A307" s="25" t="s">
        <v>1094</v>
      </c>
      <c r="B307" s="25" t="s">
        <v>1093</v>
      </c>
      <c r="C307" s="52" t="s">
        <v>1093</v>
      </c>
    </row>
    <row r="308" spans="1:3">
      <c r="A308" s="25" t="s">
        <v>1092</v>
      </c>
      <c r="B308" s="25" t="s">
        <v>1091</v>
      </c>
      <c r="C308" s="52" t="s">
        <v>1091</v>
      </c>
    </row>
    <row r="309" spans="1:3">
      <c r="A309" s="25" t="s">
        <v>1090</v>
      </c>
      <c r="B309" s="25" t="s">
        <v>1089</v>
      </c>
      <c r="C309" s="52" t="s">
        <v>1089</v>
      </c>
    </row>
    <row r="310" spans="1:3">
      <c r="A310" s="25" t="s">
        <v>1088</v>
      </c>
      <c r="B310" s="25" t="s">
        <v>1087</v>
      </c>
      <c r="C310" s="52" t="s">
        <v>1087</v>
      </c>
    </row>
    <row r="311" spans="1:3">
      <c r="A311" s="25" t="s">
        <v>1086</v>
      </c>
      <c r="B311" s="25" t="s">
        <v>1085</v>
      </c>
      <c r="C311" s="52" t="s">
        <v>1085</v>
      </c>
    </row>
    <row r="312" spans="1:3">
      <c r="A312" s="25" t="s">
        <v>1084</v>
      </c>
      <c r="B312" s="25" t="s">
        <v>1083</v>
      </c>
      <c r="C312" s="52" t="s">
        <v>1083</v>
      </c>
    </row>
    <row r="313" spans="1:3">
      <c r="A313" s="25" t="s">
        <v>1082</v>
      </c>
      <c r="B313" s="25" t="s">
        <v>1081</v>
      </c>
      <c r="C313" s="52" t="s">
        <v>1081</v>
      </c>
    </row>
    <row r="314" spans="1:3">
      <c r="A314" s="25" t="s">
        <v>1080</v>
      </c>
      <c r="B314" s="25" t="s">
        <v>1079</v>
      </c>
      <c r="C314" s="52" t="s">
        <v>1079</v>
      </c>
    </row>
    <row r="315" spans="1:3">
      <c r="A315" s="25" t="s">
        <v>1078</v>
      </c>
      <c r="B315" s="25" t="s">
        <v>1077</v>
      </c>
      <c r="C315" s="52" t="s">
        <v>1077</v>
      </c>
    </row>
    <row r="316" spans="1:3">
      <c r="A316" s="25" t="s">
        <v>1076</v>
      </c>
      <c r="B316" s="25" t="s">
        <v>1075</v>
      </c>
      <c r="C316" s="52" t="s">
        <v>1075</v>
      </c>
    </row>
    <row r="317" spans="1:3">
      <c r="A317" s="25" t="s">
        <v>1074</v>
      </c>
      <c r="B317" s="25" t="s">
        <v>1073</v>
      </c>
      <c r="C317" s="52" t="s">
        <v>1073</v>
      </c>
    </row>
    <row r="318" spans="1:3">
      <c r="A318" s="25" t="s">
        <v>1072</v>
      </c>
      <c r="B318" s="25" t="s">
        <v>1071</v>
      </c>
      <c r="C318" s="52" t="s">
        <v>1071</v>
      </c>
    </row>
    <row r="319" spans="1:3">
      <c r="A319" s="25" t="s">
        <v>412</v>
      </c>
      <c r="B319" s="25" t="s">
        <v>1070</v>
      </c>
      <c r="C319" s="52" t="s">
        <v>1070</v>
      </c>
    </row>
    <row r="320" spans="1:3">
      <c r="A320" s="25" t="s">
        <v>410</v>
      </c>
      <c r="B320" s="25" t="s">
        <v>1069</v>
      </c>
      <c r="C320" s="52" t="s">
        <v>1069</v>
      </c>
    </row>
    <row r="321" spans="1:3">
      <c r="A321" s="25" t="s">
        <v>1068</v>
      </c>
      <c r="B321" s="25" t="s">
        <v>1067</v>
      </c>
      <c r="C321" s="52" t="s">
        <v>1067</v>
      </c>
    </row>
    <row r="322" spans="1:3">
      <c r="A322" s="25" t="s">
        <v>1066</v>
      </c>
      <c r="B322" s="25" t="s">
        <v>1065</v>
      </c>
      <c r="C322" s="52" t="s">
        <v>1065</v>
      </c>
    </row>
    <row r="323" spans="1:3">
      <c r="A323" s="25" t="s">
        <v>1064</v>
      </c>
      <c r="B323" s="25" t="s">
        <v>1063</v>
      </c>
      <c r="C323" s="52" t="s">
        <v>1063</v>
      </c>
    </row>
    <row r="324" spans="1:3">
      <c r="A324" s="25" t="s">
        <v>1062</v>
      </c>
      <c r="B324" s="25" t="s">
        <v>1061</v>
      </c>
      <c r="C324" s="52" t="s">
        <v>1061</v>
      </c>
    </row>
    <row r="325" spans="1:3">
      <c r="A325" s="25" t="s">
        <v>1060</v>
      </c>
      <c r="B325" s="25" t="s">
        <v>1059</v>
      </c>
      <c r="C325" s="52" t="s">
        <v>1059</v>
      </c>
    </row>
    <row r="326" spans="1:3">
      <c r="A326" s="25" t="s">
        <v>406</v>
      </c>
      <c r="B326" s="25" t="s">
        <v>1058</v>
      </c>
      <c r="C326" s="52" t="s">
        <v>1058</v>
      </c>
    </row>
    <row r="327" spans="1:3">
      <c r="A327" s="25" t="s">
        <v>1057</v>
      </c>
      <c r="B327" s="25" t="s">
        <v>1056</v>
      </c>
      <c r="C327" s="52" t="s">
        <v>1056</v>
      </c>
    </row>
    <row r="328" spans="1:3">
      <c r="A328" s="25" t="s">
        <v>1055</v>
      </c>
      <c r="B328" s="25" t="s">
        <v>1054</v>
      </c>
      <c r="C328" s="52" t="s">
        <v>1054</v>
      </c>
    </row>
    <row r="329" spans="1:3">
      <c r="A329" s="25" t="s">
        <v>1053</v>
      </c>
      <c r="B329" s="25" t="s">
        <v>1052</v>
      </c>
      <c r="C329" s="52" t="s">
        <v>1052</v>
      </c>
    </row>
    <row r="330" spans="1:3">
      <c r="A330" s="25" t="s">
        <v>1051</v>
      </c>
      <c r="B330" s="25" t="s">
        <v>1050</v>
      </c>
      <c r="C330" s="52" t="s">
        <v>1050</v>
      </c>
    </row>
    <row r="331" spans="1:3">
      <c r="A331" s="25" t="s">
        <v>1049</v>
      </c>
      <c r="B331" s="25" t="s">
        <v>1048</v>
      </c>
      <c r="C331" s="52" t="s">
        <v>1048</v>
      </c>
    </row>
    <row r="332" spans="1:3">
      <c r="A332" s="25" t="s">
        <v>1047</v>
      </c>
      <c r="B332" s="25" t="s">
        <v>1046</v>
      </c>
      <c r="C332" s="52" t="s">
        <v>1046</v>
      </c>
    </row>
    <row r="333" spans="1:3">
      <c r="A333" s="25" t="s">
        <v>1045</v>
      </c>
      <c r="B333" s="25" t="s">
        <v>1044</v>
      </c>
      <c r="C333" s="52" t="s">
        <v>1044</v>
      </c>
    </row>
    <row r="334" spans="1:3">
      <c r="A334" s="25" t="s">
        <v>1043</v>
      </c>
      <c r="B334" s="25" t="s">
        <v>1042</v>
      </c>
      <c r="C334" s="52" t="s">
        <v>1042</v>
      </c>
    </row>
    <row r="335" spans="1:3">
      <c r="A335" s="25" t="s">
        <v>1041</v>
      </c>
      <c r="B335" s="25" t="s">
        <v>1040</v>
      </c>
      <c r="C335" s="52" t="s">
        <v>1040</v>
      </c>
    </row>
    <row r="336" spans="1:3">
      <c r="A336" s="25" t="s">
        <v>1039</v>
      </c>
      <c r="B336" s="25" t="s">
        <v>1038</v>
      </c>
      <c r="C336" s="52" t="s">
        <v>1038</v>
      </c>
    </row>
    <row r="337" spans="1:3">
      <c r="A337" s="25" t="s">
        <v>1037</v>
      </c>
      <c r="B337" s="25" t="s">
        <v>1036</v>
      </c>
      <c r="C337" s="52" t="s">
        <v>1036</v>
      </c>
    </row>
    <row r="338" spans="1:3">
      <c r="A338" s="25" t="s">
        <v>1035</v>
      </c>
      <c r="B338" s="25" t="s">
        <v>1034</v>
      </c>
      <c r="C338" s="52" t="s">
        <v>1034</v>
      </c>
    </row>
    <row r="339" spans="1:3">
      <c r="A339" s="25" t="s">
        <v>1033</v>
      </c>
      <c r="B339" s="25" t="s">
        <v>1032</v>
      </c>
      <c r="C339" s="52" t="s">
        <v>1032</v>
      </c>
    </row>
    <row r="340" spans="1:3">
      <c r="A340" s="25" t="s">
        <v>1031</v>
      </c>
      <c r="B340" s="25" t="s">
        <v>1030</v>
      </c>
      <c r="C340" s="52" t="s">
        <v>1030</v>
      </c>
    </row>
    <row r="341" spans="1:3">
      <c r="A341" s="25" t="s">
        <v>1029</v>
      </c>
      <c r="B341" s="25" t="s">
        <v>1028</v>
      </c>
      <c r="C341" s="52" t="s">
        <v>1028</v>
      </c>
    </row>
    <row r="342" spans="1:3">
      <c r="A342" s="25" t="s">
        <v>1027</v>
      </c>
      <c r="B342" s="25" t="s">
        <v>1026</v>
      </c>
      <c r="C342" s="52" t="s">
        <v>1026</v>
      </c>
    </row>
    <row r="343" spans="1:3">
      <c r="A343" s="25" t="s">
        <v>1025</v>
      </c>
      <c r="B343" s="25" t="s">
        <v>1024</v>
      </c>
      <c r="C343" s="52" t="s">
        <v>1024</v>
      </c>
    </row>
    <row r="344" spans="1:3">
      <c r="A344" s="25" t="s">
        <v>1023</v>
      </c>
      <c r="B344" s="25" t="s">
        <v>1022</v>
      </c>
      <c r="C344" s="52" t="s">
        <v>1022</v>
      </c>
    </row>
    <row r="345" spans="1:3">
      <c r="A345" s="25" t="s">
        <v>1021</v>
      </c>
      <c r="B345" s="25" t="s">
        <v>1020</v>
      </c>
      <c r="C345" s="52" t="s">
        <v>1020</v>
      </c>
    </row>
    <row r="346" spans="1:3">
      <c r="A346" s="25" t="s">
        <v>1019</v>
      </c>
      <c r="B346" s="25" t="s">
        <v>1018</v>
      </c>
      <c r="C346" s="52" t="s">
        <v>1018</v>
      </c>
    </row>
    <row r="347" spans="1:3">
      <c r="A347" s="25" t="s">
        <v>394</v>
      </c>
      <c r="B347" s="25" t="s">
        <v>1017</v>
      </c>
      <c r="C347" s="52" t="s">
        <v>1017</v>
      </c>
    </row>
    <row r="348" spans="1:3">
      <c r="A348" s="25" t="s">
        <v>1016</v>
      </c>
      <c r="B348" s="25" t="s">
        <v>1015</v>
      </c>
      <c r="C348" s="52" t="s">
        <v>1015</v>
      </c>
    </row>
    <row r="349" spans="1:3">
      <c r="A349" s="25" t="s">
        <v>1014</v>
      </c>
      <c r="B349" s="25" t="s">
        <v>1013</v>
      </c>
      <c r="C349" s="52" t="s">
        <v>1013</v>
      </c>
    </row>
    <row r="350" spans="1:3">
      <c r="A350" s="25" t="s">
        <v>1012</v>
      </c>
      <c r="B350" s="25" t="s">
        <v>1011</v>
      </c>
      <c r="C350" s="52" t="s">
        <v>1011</v>
      </c>
    </row>
    <row r="351" spans="1:3">
      <c r="A351" s="25" t="s">
        <v>390</v>
      </c>
      <c r="B351" s="25" t="s">
        <v>1010</v>
      </c>
      <c r="C351" s="52" t="s">
        <v>1010</v>
      </c>
    </row>
    <row r="352" spans="1:3">
      <c r="A352" s="25" t="s">
        <v>1009</v>
      </c>
      <c r="B352" s="25" t="s">
        <v>1008</v>
      </c>
      <c r="C352" s="52" t="s">
        <v>1008</v>
      </c>
    </row>
    <row r="353" spans="1:3">
      <c r="A353" s="25" t="s">
        <v>1007</v>
      </c>
      <c r="B353" s="25" t="s">
        <v>1006</v>
      </c>
      <c r="C353" s="52" t="s">
        <v>1006</v>
      </c>
    </row>
    <row r="354" spans="1:3">
      <c r="A354" s="25" t="s">
        <v>1005</v>
      </c>
      <c r="B354" s="25" t="s">
        <v>1004</v>
      </c>
      <c r="C354" s="52" t="s">
        <v>1004</v>
      </c>
    </row>
    <row r="355" spans="1:3">
      <c r="A355" s="25" t="s">
        <v>382</v>
      </c>
      <c r="B355" s="25" t="s">
        <v>1003</v>
      </c>
      <c r="C355" s="52" t="s">
        <v>1003</v>
      </c>
    </row>
    <row r="356" spans="1:3">
      <c r="A356" s="25" t="s">
        <v>1002</v>
      </c>
      <c r="B356" s="25" t="s">
        <v>1001</v>
      </c>
      <c r="C356" s="52" t="s">
        <v>1001</v>
      </c>
    </row>
    <row r="357" spans="1:3">
      <c r="A357" s="25" t="s">
        <v>1000</v>
      </c>
      <c r="B357" s="25" t="s">
        <v>999</v>
      </c>
      <c r="C357" s="52" t="s">
        <v>999</v>
      </c>
    </row>
    <row r="358" spans="1:3">
      <c r="A358" s="25" t="s">
        <v>998</v>
      </c>
      <c r="B358" s="25" t="s">
        <v>997</v>
      </c>
      <c r="C358" s="52" t="s">
        <v>997</v>
      </c>
    </row>
    <row r="359" spans="1:3">
      <c r="A359" s="25" t="s">
        <v>996</v>
      </c>
      <c r="B359" s="25" t="s">
        <v>995</v>
      </c>
      <c r="C359" s="52" t="s">
        <v>995</v>
      </c>
    </row>
    <row r="360" spans="1:3">
      <c r="A360" s="25" t="s">
        <v>994</v>
      </c>
      <c r="B360" s="25" t="s">
        <v>993</v>
      </c>
      <c r="C360" s="52" t="s">
        <v>993</v>
      </c>
    </row>
    <row r="361" spans="1:3">
      <c r="A361" s="25" t="s">
        <v>992</v>
      </c>
      <c r="B361" s="25" t="s">
        <v>991</v>
      </c>
      <c r="C361" s="52" t="s">
        <v>991</v>
      </c>
    </row>
    <row r="362" spans="1:3">
      <c r="A362" s="25" t="s">
        <v>990</v>
      </c>
      <c r="B362" s="25" t="s">
        <v>989</v>
      </c>
      <c r="C362" s="52" t="s">
        <v>989</v>
      </c>
    </row>
    <row r="363" spans="1:3">
      <c r="A363" s="25" t="s">
        <v>988</v>
      </c>
      <c r="B363" s="25" t="s">
        <v>987</v>
      </c>
      <c r="C363" s="52" t="s">
        <v>987</v>
      </c>
    </row>
    <row r="364" spans="1:3">
      <c r="A364" s="25" t="s">
        <v>986</v>
      </c>
      <c r="B364" s="25" t="s">
        <v>985</v>
      </c>
      <c r="C364" s="52" t="s">
        <v>985</v>
      </c>
    </row>
    <row r="365" spans="1:3">
      <c r="A365" s="25" t="s">
        <v>984</v>
      </c>
      <c r="B365" s="25" t="s">
        <v>983</v>
      </c>
      <c r="C365" s="52" t="s">
        <v>983</v>
      </c>
    </row>
    <row r="366" spans="1:3">
      <c r="A366" s="25" t="s">
        <v>982</v>
      </c>
      <c r="B366" s="25" t="s">
        <v>981</v>
      </c>
      <c r="C366" s="52" t="s">
        <v>981</v>
      </c>
    </row>
    <row r="367" spans="1:3">
      <c r="A367" s="25" t="s">
        <v>980</v>
      </c>
      <c r="B367" s="25" t="s">
        <v>979</v>
      </c>
      <c r="C367" s="52" t="s">
        <v>979</v>
      </c>
    </row>
    <row r="368" spans="1:3">
      <c r="A368" s="25" t="s">
        <v>978</v>
      </c>
      <c r="B368" s="25" t="s">
        <v>974</v>
      </c>
      <c r="C368" s="52" t="s">
        <v>974</v>
      </c>
    </row>
    <row r="369" spans="1:3">
      <c r="A369" s="25" t="s">
        <v>977</v>
      </c>
      <c r="B369" s="25" t="s">
        <v>976</v>
      </c>
      <c r="C369" s="52" t="s">
        <v>976</v>
      </c>
    </row>
    <row r="370" spans="1:3">
      <c r="A370" s="25" t="s">
        <v>975</v>
      </c>
      <c r="B370" s="25" t="s">
        <v>974</v>
      </c>
      <c r="C370" s="52" t="s">
        <v>974</v>
      </c>
    </row>
    <row r="371" spans="1:3">
      <c r="A371" s="25" t="s">
        <v>973</v>
      </c>
      <c r="B371" s="25" t="s">
        <v>972</v>
      </c>
      <c r="C371" s="52" t="s">
        <v>972</v>
      </c>
    </row>
    <row r="372" spans="1:3">
      <c r="A372" s="25" t="s">
        <v>362</v>
      </c>
      <c r="B372" s="25" t="s">
        <v>971</v>
      </c>
      <c r="C372" s="52" t="s">
        <v>971</v>
      </c>
    </row>
    <row r="373" spans="1:3">
      <c r="A373" s="25" t="s">
        <v>970</v>
      </c>
      <c r="B373" s="25" t="s">
        <v>969</v>
      </c>
      <c r="C373" s="52" t="s">
        <v>969</v>
      </c>
    </row>
    <row r="374" spans="1:3">
      <c r="A374" s="25" t="s">
        <v>968</v>
      </c>
      <c r="B374" s="25" t="s">
        <v>967</v>
      </c>
      <c r="C374" s="52" t="s">
        <v>967</v>
      </c>
    </row>
    <row r="375" spans="1:3">
      <c r="A375" s="25" t="s">
        <v>966</v>
      </c>
      <c r="B375" s="25" t="s">
        <v>965</v>
      </c>
      <c r="C375" s="52" t="s">
        <v>965</v>
      </c>
    </row>
    <row r="376" spans="1:3">
      <c r="A376" s="25" t="s">
        <v>964</v>
      </c>
      <c r="B376" s="25" t="s">
        <v>963</v>
      </c>
      <c r="C376" s="52" t="s">
        <v>963</v>
      </c>
    </row>
    <row r="377" spans="1:3">
      <c r="A377" s="25" t="s">
        <v>962</v>
      </c>
      <c r="B377" s="25" t="s">
        <v>961</v>
      </c>
      <c r="C377" s="52" t="s">
        <v>961</v>
      </c>
    </row>
    <row r="378" spans="1:3">
      <c r="A378" s="25" t="s">
        <v>960</v>
      </c>
      <c r="B378" s="25" t="s">
        <v>959</v>
      </c>
      <c r="C378" s="52" t="s">
        <v>959</v>
      </c>
    </row>
    <row r="379" spans="1:3">
      <c r="A379" s="25" t="s">
        <v>958</v>
      </c>
      <c r="B379" s="25" t="s">
        <v>957</v>
      </c>
      <c r="C379" s="52" t="s">
        <v>957</v>
      </c>
    </row>
    <row r="380" spans="1:3">
      <c r="A380" s="25" t="s">
        <v>956</v>
      </c>
      <c r="B380" s="25" t="s">
        <v>955</v>
      </c>
      <c r="C380" s="52" t="s">
        <v>955</v>
      </c>
    </row>
    <row r="381" spans="1:3">
      <c r="A381" s="25" t="s">
        <v>954</v>
      </c>
      <c r="B381" s="25" t="s">
        <v>953</v>
      </c>
      <c r="C381" s="52" t="s">
        <v>953</v>
      </c>
    </row>
    <row r="382" spans="1:3">
      <c r="A382" s="25" t="s">
        <v>952</v>
      </c>
      <c r="B382" s="25" t="s">
        <v>892</v>
      </c>
      <c r="C382" s="52" t="s">
        <v>892</v>
      </c>
    </row>
    <row r="383" spans="1:3">
      <c r="A383" s="25" t="s">
        <v>951</v>
      </c>
      <c r="B383" s="25" t="s">
        <v>950</v>
      </c>
      <c r="C383" s="52" t="s">
        <v>950</v>
      </c>
    </row>
    <row r="384" spans="1:3">
      <c r="A384" s="25" t="s">
        <v>949</v>
      </c>
      <c r="B384" s="25" t="s">
        <v>948</v>
      </c>
      <c r="C384" s="52" t="s">
        <v>948</v>
      </c>
    </row>
    <row r="385" spans="1:3">
      <c r="A385" s="25" t="s">
        <v>947</v>
      </c>
      <c r="B385" s="25" t="s">
        <v>946</v>
      </c>
      <c r="C385" s="52" t="s">
        <v>946</v>
      </c>
    </row>
    <row r="386" spans="1:3">
      <c r="A386" s="25" t="s">
        <v>945</v>
      </c>
      <c r="B386" s="25" t="s">
        <v>944</v>
      </c>
      <c r="C386" s="52" t="s">
        <v>944</v>
      </c>
    </row>
    <row r="387" spans="1:3">
      <c r="A387" s="25" t="s">
        <v>943</v>
      </c>
      <c r="B387" s="25" t="s">
        <v>942</v>
      </c>
      <c r="C387" s="52" t="s">
        <v>942</v>
      </c>
    </row>
    <row r="388" spans="1:3">
      <c r="A388" s="25" t="s">
        <v>941</v>
      </c>
      <c r="B388" s="25" t="s">
        <v>940</v>
      </c>
      <c r="C388" s="52" t="s">
        <v>940</v>
      </c>
    </row>
    <row r="389" spans="1:3">
      <c r="A389" s="25" t="s">
        <v>939</v>
      </c>
      <c r="B389" s="25" t="s">
        <v>938</v>
      </c>
      <c r="C389" s="52" t="s">
        <v>938</v>
      </c>
    </row>
    <row r="390" spans="1:3">
      <c r="A390" s="25" t="s">
        <v>348</v>
      </c>
      <c r="B390" s="25" t="s">
        <v>937</v>
      </c>
      <c r="C390" s="52" t="s">
        <v>937</v>
      </c>
    </row>
    <row r="391" spans="1:3">
      <c r="A391" s="25" t="s">
        <v>936</v>
      </c>
      <c r="B391" s="25" t="s">
        <v>935</v>
      </c>
      <c r="C391" s="52" t="s">
        <v>935</v>
      </c>
    </row>
    <row r="392" spans="1:3">
      <c r="A392" s="25" t="s">
        <v>934</v>
      </c>
      <c r="B392" s="25" t="s">
        <v>933</v>
      </c>
      <c r="C392" s="52" t="s">
        <v>933</v>
      </c>
    </row>
    <row r="393" spans="1:3">
      <c r="A393" s="25" t="s">
        <v>932</v>
      </c>
      <c r="B393" s="25" t="s">
        <v>931</v>
      </c>
      <c r="C393" s="52" t="s">
        <v>931</v>
      </c>
    </row>
    <row r="394" spans="1:3">
      <c r="A394" s="25" t="s">
        <v>930</v>
      </c>
      <c r="B394" s="25" t="s">
        <v>929</v>
      </c>
      <c r="C394" s="52" t="s">
        <v>929</v>
      </c>
    </row>
    <row r="395" spans="1:3">
      <c r="A395" s="25" t="s">
        <v>928</v>
      </c>
      <c r="B395" s="25" t="s">
        <v>927</v>
      </c>
      <c r="C395" s="52" t="s">
        <v>927</v>
      </c>
    </row>
    <row r="396" spans="1:3">
      <c r="A396" s="25" t="s">
        <v>926</v>
      </c>
      <c r="B396" s="25" t="s">
        <v>924</v>
      </c>
      <c r="C396" s="52" t="s">
        <v>924</v>
      </c>
    </row>
    <row r="397" spans="1:3">
      <c r="A397" s="25" t="s">
        <v>925</v>
      </c>
      <c r="B397" s="25" t="s">
        <v>924</v>
      </c>
      <c r="C397" s="52" t="s">
        <v>924</v>
      </c>
    </row>
    <row r="398" spans="1:3">
      <c r="A398" s="25" t="s">
        <v>340</v>
      </c>
      <c r="B398" s="25" t="s">
        <v>923</v>
      </c>
      <c r="C398" s="52" t="s">
        <v>923</v>
      </c>
    </row>
    <row r="399" spans="1:3">
      <c r="A399" s="25" t="s">
        <v>922</v>
      </c>
      <c r="B399" s="25" t="s">
        <v>921</v>
      </c>
      <c r="C399" s="52" t="s">
        <v>921</v>
      </c>
    </row>
    <row r="400" spans="1:3">
      <c r="A400" s="25" t="s">
        <v>920</v>
      </c>
      <c r="B400" s="25" t="s">
        <v>919</v>
      </c>
      <c r="C400" s="52" t="s">
        <v>919</v>
      </c>
    </row>
    <row r="401" spans="1:3">
      <c r="A401" s="25" t="s">
        <v>918</v>
      </c>
      <c r="B401" s="25" t="s">
        <v>917</v>
      </c>
      <c r="C401" s="52" t="s">
        <v>917</v>
      </c>
    </row>
    <row r="402" spans="1:3">
      <c r="A402" s="25" t="s">
        <v>916</v>
      </c>
      <c r="B402" s="25" t="s">
        <v>915</v>
      </c>
      <c r="C402" s="52" t="s">
        <v>915</v>
      </c>
    </row>
    <row r="403" spans="1:3">
      <c r="A403" s="25" t="s">
        <v>914</v>
      </c>
      <c r="B403" s="25" t="s">
        <v>913</v>
      </c>
      <c r="C403" s="52" t="s">
        <v>913</v>
      </c>
    </row>
    <row r="404" spans="1:3">
      <c r="A404" s="25" t="s">
        <v>912</v>
      </c>
      <c r="B404" s="25" t="s">
        <v>911</v>
      </c>
      <c r="C404" s="52" t="s">
        <v>911</v>
      </c>
    </row>
    <row r="405" spans="1:3">
      <c r="A405" s="25" t="s">
        <v>910</v>
      </c>
      <c r="B405" s="25" t="s">
        <v>909</v>
      </c>
      <c r="C405" s="52" t="s">
        <v>909</v>
      </c>
    </row>
    <row r="406" spans="1:3">
      <c r="A406" s="25" t="s">
        <v>908</v>
      </c>
      <c r="B406" s="25" t="s">
        <v>907</v>
      </c>
      <c r="C406" s="52" t="s">
        <v>907</v>
      </c>
    </row>
    <row r="407" spans="1:3">
      <c r="A407" s="25" t="s">
        <v>906</v>
      </c>
      <c r="B407" s="25" t="s">
        <v>905</v>
      </c>
      <c r="C407" s="52" t="s">
        <v>905</v>
      </c>
    </row>
    <row r="408" spans="1:3">
      <c r="A408" s="25" t="s">
        <v>904</v>
      </c>
      <c r="B408" s="25" t="s">
        <v>903</v>
      </c>
      <c r="C408" s="52" t="s">
        <v>903</v>
      </c>
    </row>
    <row r="409" spans="1:3">
      <c r="A409" s="25" t="s">
        <v>336</v>
      </c>
      <c r="B409" s="25" t="s">
        <v>902</v>
      </c>
      <c r="C409" s="52" t="s">
        <v>902</v>
      </c>
    </row>
    <row r="410" spans="1:3">
      <c r="A410" s="25" t="s">
        <v>901</v>
      </c>
      <c r="B410" s="25" t="s">
        <v>900</v>
      </c>
      <c r="C410" s="52" t="s">
        <v>900</v>
      </c>
    </row>
    <row r="411" spans="1:3">
      <c r="A411" s="25" t="s">
        <v>899</v>
      </c>
      <c r="B411" s="25" t="s">
        <v>898</v>
      </c>
      <c r="C411" s="52" t="s">
        <v>898</v>
      </c>
    </row>
    <row r="412" spans="1:3">
      <c r="A412" s="25" t="s">
        <v>897</v>
      </c>
      <c r="B412" s="25" t="s">
        <v>896</v>
      </c>
      <c r="C412" s="52" t="s">
        <v>896</v>
      </c>
    </row>
    <row r="413" spans="1:3">
      <c r="A413" s="25" t="s">
        <v>895</v>
      </c>
      <c r="B413" s="25" t="s">
        <v>894</v>
      </c>
      <c r="C413" s="52" t="s">
        <v>894</v>
      </c>
    </row>
    <row r="414" spans="1:3">
      <c r="A414" s="25" t="s">
        <v>893</v>
      </c>
      <c r="B414" s="25" t="s">
        <v>892</v>
      </c>
      <c r="C414" s="52" t="s">
        <v>892</v>
      </c>
    </row>
    <row r="415" spans="1:3">
      <c r="A415" s="25" t="s">
        <v>891</v>
      </c>
      <c r="B415" s="25" t="s">
        <v>890</v>
      </c>
      <c r="C415" s="52" t="s">
        <v>890</v>
      </c>
    </row>
    <row r="416" spans="1:3">
      <c r="A416" s="25" t="s">
        <v>889</v>
      </c>
      <c r="B416" s="25" t="s">
        <v>888</v>
      </c>
      <c r="C416" s="52" t="s">
        <v>888</v>
      </c>
    </row>
    <row r="417" spans="1:3">
      <c r="A417" s="25" t="s">
        <v>887</v>
      </c>
      <c r="B417" s="25" t="s">
        <v>886</v>
      </c>
      <c r="C417" s="52" t="s">
        <v>886</v>
      </c>
    </row>
    <row r="418" spans="1:3">
      <c r="A418" s="25" t="s">
        <v>885</v>
      </c>
      <c r="B418" s="25" t="s">
        <v>884</v>
      </c>
      <c r="C418" s="52" t="s">
        <v>884</v>
      </c>
    </row>
    <row r="419" spans="1:3">
      <c r="A419" s="25" t="s">
        <v>883</v>
      </c>
      <c r="B419" s="25" t="s">
        <v>882</v>
      </c>
      <c r="C419" s="52" t="s">
        <v>882</v>
      </c>
    </row>
    <row r="420" spans="1:3">
      <c r="A420" s="25" t="s">
        <v>881</v>
      </c>
      <c r="B420" s="25" t="s">
        <v>880</v>
      </c>
      <c r="C420" s="52" t="s">
        <v>880</v>
      </c>
    </row>
    <row r="421" spans="1:3">
      <c r="A421" s="25" t="s">
        <v>879</v>
      </c>
      <c r="B421" s="25" t="s">
        <v>878</v>
      </c>
      <c r="C421" s="52" t="s">
        <v>878</v>
      </c>
    </row>
    <row r="422" spans="1:3">
      <c r="A422" s="25" t="s">
        <v>877</v>
      </c>
      <c r="B422" s="25" t="s">
        <v>876</v>
      </c>
      <c r="C422" s="52" t="s">
        <v>876</v>
      </c>
    </row>
    <row r="423" spans="1:3">
      <c r="A423" s="25" t="s">
        <v>322</v>
      </c>
      <c r="B423" s="25" t="s">
        <v>875</v>
      </c>
      <c r="C423" s="52" t="s">
        <v>875</v>
      </c>
    </row>
    <row r="424" spans="1:3">
      <c r="A424" s="25" t="s">
        <v>316</v>
      </c>
      <c r="B424" s="25" t="s">
        <v>874</v>
      </c>
      <c r="C424" s="52" t="s">
        <v>874</v>
      </c>
    </row>
    <row r="425" spans="1:3">
      <c r="A425" s="25" t="s">
        <v>873</v>
      </c>
      <c r="B425" s="25" t="s">
        <v>872</v>
      </c>
      <c r="C425" s="52" t="s">
        <v>872</v>
      </c>
    </row>
    <row r="426" spans="1:3">
      <c r="A426" s="25" t="s">
        <v>871</v>
      </c>
      <c r="B426" s="25" t="s">
        <v>870</v>
      </c>
      <c r="C426" s="52" t="s">
        <v>870</v>
      </c>
    </row>
    <row r="427" spans="1:3">
      <c r="A427" s="25" t="s">
        <v>869</v>
      </c>
      <c r="B427" s="25" t="s">
        <v>868</v>
      </c>
      <c r="C427" s="52" t="s">
        <v>868</v>
      </c>
    </row>
    <row r="428" spans="1:3">
      <c r="A428" s="25" t="s">
        <v>867</v>
      </c>
      <c r="B428" s="25" t="s">
        <v>866</v>
      </c>
      <c r="C428" s="52" t="s">
        <v>866</v>
      </c>
    </row>
    <row r="429" spans="1:3">
      <c r="A429" s="25" t="s">
        <v>865</v>
      </c>
      <c r="B429" s="25" t="s">
        <v>864</v>
      </c>
      <c r="C429" s="52" t="s">
        <v>864</v>
      </c>
    </row>
    <row r="430" spans="1:3">
      <c r="A430" s="25" t="s">
        <v>863</v>
      </c>
      <c r="B430" s="25" t="s">
        <v>862</v>
      </c>
      <c r="C430" s="52" t="s">
        <v>862</v>
      </c>
    </row>
    <row r="431" spans="1:3">
      <c r="A431" s="25" t="s">
        <v>861</v>
      </c>
      <c r="B431" s="25" t="s">
        <v>860</v>
      </c>
      <c r="C431" s="52" t="s">
        <v>860</v>
      </c>
    </row>
    <row r="432" spans="1:3">
      <c r="A432" s="25" t="s">
        <v>859</v>
      </c>
      <c r="B432" s="25" t="s">
        <v>858</v>
      </c>
      <c r="C432" s="52" t="s">
        <v>858</v>
      </c>
    </row>
    <row r="433" spans="1:3">
      <c r="A433" s="25" t="s">
        <v>857</v>
      </c>
      <c r="B433" s="25" t="s">
        <v>856</v>
      </c>
      <c r="C433" s="52" t="s">
        <v>856</v>
      </c>
    </row>
    <row r="434" spans="1:3">
      <c r="A434" s="25" t="s">
        <v>855</v>
      </c>
      <c r="B434" s="25" t="s">
        <v>854</v>
      </c>
      <c r="C434" s="52" t="s">
        <v>854</v>
      </c>
    </row>
    <row r="435" spans="1:3">
      <c r="A435" s="25" t="s">
        <v>724</v>
      </c>
      <c r="B435" s="25" t="s">
        <v>853</v>
      </c>
      <c r="C435" s="52" t="s">
        <v>853</v>
      </c>
    </row>
    <row r="436" spans="1:3">
      <c r="A436" s="25" t="s">
        <v>852</v>
      </c>
      <c r="B436" s="25" t="s">
        <v>851</v>
      </c>
      <c r="C436" s="52" t="s">
        <v>851</v>
      </c>
    </row>
    <row r="437" spans="1:3">
      <c r="A437" s="25" t="s">
        <v>850</v>
      </c>
      <c r="B437" s="25" t="s">
        <v>849</v>
      </c>
      <c r="C437" s="52" t="s">
        <v>849</v>
      </c>
    </row>
    <row r="438" spans="1:3">
      <c r="A438" s="25" t="s">
        <v>848</v>
      </c>
      <c r="B438" s="25" t="s">
        <v>847</v>
      </c>
      <c r="C438" s="52" t="s">
        <v>847</v>
      </c>
    </row>
    <row r="439" spans="1:3">
      <c r="A439" s="25" t="s">
        <v>846</v>
      </c>
      <c r="B439" s="25" t="s">
        <v>845</v>
      </c>
      <c r="C439" s="52" t="s">
        <v>845</v>
      </c>
    </row>
    <row r="440" spans="1:3">
      <c r="A440" s="25" t="s">
        <v>844</v>
      </c>
      <c r="B440" s="25" t="s">
        <v>843</v>
      </c>
      <c r="C440" s="52" t="s">
        <v>843</v>
      </c>
    </row>
    <row r="441" spans="1:3">
      <c r="A441" s="25" t="s">
        <v>842</v>
      </c>
      <c r="B441" s="25" t="s">
        <v>841</v>
      </c>
      <c r="C441" s="52" t="s">
        <v>841</v>
      </c>
    </row>
    <row r="442" spans="1:3">
      <c r="A442" s="25" t="s">
        <v>840</v>
      </c>
      <c r="B442" s="25" t="s">
        <v>839</v>
      </c>
      <c r="C442" s="52" t="s">
        <v>839</v>
      </c>
    </row>
    <row r="443" spans="1:3">
      <c r="A443" s="25" t="s">
        <v>838</v>
      </c>
      <c r="B443" s="25" t="s">
        <v>837</v>
      </c>
      <c r="C443" s="52" t="s">
        <v>837</v>
      </c>
    </row>
    <row r="444" spans="1:3">
      <c r="A444" s="25" t="s">
        <v>300</v>
      </c>
      <c r="B444" s="25" t="s">
        <v>836</v>
      </c>
      <c r="C444" s="52" t="s">
        <v>836</v>
      </c>
    </row>
    <row r="445" spans="1:3">
      <c r="A445" s="25" t="s">
        <v>835</v>
      </c>
      <c r="B445" s="25" t="s">
        <v>834</v>
      </c>
      <c r="C445" s="52" t="s">
        <v>834</v>
      </c>
    </row>
    <row r="446" spans="1:3">
      <c r="A446" s="25" t="s">
        <v>833</v>
      </c>
      <c r="B446" s="25" t="s">
        <v>832</v>
      </c>
      <c r="C446" s="52" t="s">
        <v>832</v>
      </c>
    </row>
    <row r="447" spans="1:3">
      <c r="A447" s="25" t="s">
        <v>831</v>
      </c>
      <c r="B447" s="25" t="s">
        <v>830</v>
      </c>
      <c r="C447" s="52" t="s">
        <v>830</v>
      </c>
    </row>
    <row r="448" spans="1:3">
      <c r="A448" s="25" t="s">
        <v>829</v>
      </c>
      <c r="B448" s="25" t="s">
        <v>828</v>
      </c>
      <c r="C448" s="52" t="s">
        <v>828</v>
      </c>
    </row>
    <row r="449" spans="1:3">
      <c r="A449" s="25" t="s">
        <v>827</v>
      </c>
      <c r="B449" s="25" t="s">
        <v>826</v>
      </c>
      <c r="C449" s="52" t="s">
        <v>826</v>
      </c>
    </row>
    <row r="450" spans="1:3">
      <c r="A450" s="25" t="s">
        <v>825</v>
      </c>
      <c r="B450" s="25" t="s">
        <v>824</v>
      </c>
      <c r="C450" s="52" t="s">
        <v>824</v>
      </c>
    </row>
    <row r="451" spans="1:3">
      <c r="A451" s="25" t="s">
        <v>823</v>
      </c>
      <c r="B451" s="25" t="s">
        <v>822</v>
      </c>
      <c r="C451" s="52" t="s">
        <v>822</v>
      </c>
    </row>
    <row r="452" spans="1:3">
      <c r="A452" s="25" t="s">
        <v>294</v>
      </c>
      <c r="B452" s="25" t="s">
        <v>821</v>
      </c>
      <c r="C452" s="52" t="s">
        <v>821</v>
      </c>
    </row>
    <row r="453" spans="1:3">
      <c r="A453" s="25" t="s">
        <v>820</v>
      </c>
      <c r="B453" s="25" t="s">
        <v>819</v>
      </c>
      <c r="C453" s="52" t="s">
        <v>819</v>
      </c>
    </row>
    <row r="454" spans="1:3">
      <c r="A454" s="25" t="s">
        <v>818</v>
      </c>
      <c r="B454" s="25" t="s">
        <v>817</v>
      </c>
      <c r="C454" s="52" t="s">
        <v>817</v>
      </c>
    </row>
    <row r="455" spans="1:3">
      <c r="A455" s="25" t="s">
        <v>816</v>
      </c>
      <c r="B455" s="25" t="s">
        <v>815</v>
      </c>
      <c r="C455" s="52" t="s">
        <v>815</v>
      </c>
    </row>
    <row r="456" spans="1:3">
      <c r="A456" s="25" t="s">
        <v>814</v>
      </c>
      <c r="B456" s="25" t="s">
        <v>813</v>
      </c>
      <c r="C456" s="52" t="s">
        <v>813</v>
      </c>
    </row>
    <row r="457" spans="1:3">
      <c r="A457" s="25" t="s">
        <v>812</v>
      </c>
      <c r="B457" s="25" t="s">
        <v>811</v>
      </c>
      <c r="C457" s="52" t="s">
        <v>811</v>
      </c>
    </row>
    <row r="458" spans="1:3">
      <c r="A458" s="25" t="s">
        <v>288</v>
      </c>
      <c r="B458" s="25" t="s">
        <v>810</v>
      </c>
      <c r="C458" s="52" t="s">
        <v>810</v>
      </c>
    </row>
    <row r="459" spans="1:3">
      <c r="A459" s="25" t="s">
        <v>809</v>
      </c>
      <c r="B459" s="25" t="s">
        <v>808</v>
      </c>
      <c r="C459" s="52" t="s">
        <v>808</v>
      </c>
    </row>
    <row r="460" spans="1:3">
      <c r="A460" s="25" t="s">
        <v>286</v>
      </c>
      <c r="B460" s="25" t="s">
        <v>807</v>
      </c>
      <c r="C460" s="52" t="s">
        <v>807</v>
      </c>
    </row>
    <row r="461" spans="1:3">
      <c r="A461" s="25" t="s">
        <v>806</v>
      </c>
      <c r="B461" s="25" t="s">
        <v>805</v>
      </c>
      <c r="C461" s="52" t="s">
        <v>805</v>
      </c>
    </row>
    <row r="462" spans="1:3">
      <c r="A462" s="25" t="s">
        <v>804</v>
      </c>
      <c r="B462" s="25" t="s">
        <v>803</v>
      </c>
      <c r="C462" s="52" t="s">
        <v>803</v>
      </c>
    </row>
    <row r="463" spans="1:3">
      <c r="A463" s="25" t="s">
        <v>802</v>
      </c>
      <c r="B463" s="25" t="s">
        <v>801</v>
      </c>
      <c r="C463" s="52" t="s">
        <v>801</v>
      </c>
    </row>
    <row r="464" spans="1:3">
      <c r="A464" s="25" t="s">
        <v>280</v>
      </c>
      <c r="B464" s="25" t="s">
        <v>800</v>
      </c>
      <c r="C464" s="52" t="s">
        <v>800</v>
      </c>
    </row>
    <row r="465" spans="1:3">
      <c r="A465" s="25" t="s">
        <v>799</v>
      </c>
      <c r="B465" s="25" t="s">
        <v>798</v>
      </c>
      <c r="C465" s="52" t="s">
        <v>798</v>
      </c>
    </row>
    <row r="466" spans="1:3">
      <c r="A466" s="25" t="s">
        <v>274</v>
      </c>
      <c r="B466" s="25" t="s">
        <v>797</v>
      </c>
      <c r="C466" s="52" t="s">
        <v>797</v>
      </c>
    </row>
    <row r="467" spans="1:3">
      <c r="A467" s="25" t="s">
        <v>796</v>
      </c>
      <c r="B467" s="25" t="s">
        <v>795</v>
      </c>
      <c r="C467" s="52" t="s">
        <v>795</v>
      </c>
    </row>
    <row r="468" spans="1:3">
      <c r="A468" s="25" t="s">
        <v>794</v>
      </c>
      <c r="B468" s="25" t="s">
        <v>793</v>
      </c>
      <c r="C468" s="52" t="s">
        <v>793</v>
      </c>
    </row>
    <row r="469" spans="1:3">
      <c r="A469" s="25" t="s">
        <v>792</v>
      </c>
      <c r="B469" s="25" t="s">
        <v>791</v>
      </c>
      <c r="C469" s="52" t="s">
        <v>791</v>
      </c>
    </row>
    <row r="470" spans="1:3">
      <c r="A470" s="25" t="s">
        <v>790</v>
      </c>
      <c r="B470" s="25" t="s">
        <v>789</v>
      </c>
      <c r="C470" s="52" t="s">
        <v>789</v>
      </c>
    </row>
    <row r="471" spans="1:3">
      <c r="A471" s="25" t="s">
        <v>788</v>
      </c>
      <c r="B471" s="25" t="s">
        <v>787</v>
      </c>
      <c r="C471" s="52" t="s">
        <v>787</v>
      </c>
    </row>
    <row r="472" spans="1:3">
      <c r="A472" s="25" t="s">
        <v>786</v>
      </c>
      <c r="B472" s="25" t="s">
        <v>785</v>
      </c>
      <c r="C472" s="52" t="s">
        <v>785</v>
      </c>
    </row>
    <row r="473" spans="1:3">
      <c r="A473" s="25" t="s">
        <v>784</v>
      </c>
      <c r="B473" s="25" t="s">
        <v>783</v>
      </c>
      <c r="C473" s="52" t="s">
        <v>783</v>
      </c>
    </row>
    <row r="474" spans="1:3">
      <c r="A474" s="25" t="s">
        <v>782</v>
      </c>
      <c r="B474" s="25" t="s">
        <v>781</v>
      </c>
      <c r="C474" s="52" t="s">
        <v>781</v>
      </c>
    </row>
    <row r="475" spans="1:3">
      <c r="A475" s="25" t="s">
        <v>780</v>
      </c>
      <c r="B475" s="25" t="s">
        <v>779</v>
      </c>
      <c r="C475" s="52" t="s">
        <v>779</v>
      </c>
    </row>
    <row r="476" spans="1:3">
      <c r="A476" s="25" t="s">
        <v>778</v>
      </c>
      <c r="B476" s="25" t="s">
        <v>777</v>
      </c>
      <c r="C476" s="52" t="s">
        <v>777</v>
      </c>
    </row>
    <row r="477" spans="1:3">
      <c r="A477" s="25" t="s">
        <v>776</v>
      </c>
      <c r="B477" s="25" t="s">
        <v>775</v>
      </c>
      <c r="C477" s="52" t="s">
        <v>775</v>
      </c>
    </row>
    <row r="478" spans="1:3">
      <c r="A478" s="25" t="s">
        <v>774</v>
      </c>
      <c r="B478" s="25" t="s">
        <v>773</v>
      </c>
      <c r="C478" s="52" t="s">
        <v>773</v>
      </c>
    </row>
    <row r="479" spans="1:3">
      <c r="A479" s="25" t="s">
        <v>772</v>
      </c>
      <c r="B479" s="25" t="s">
        <v>771</v>
      </c>
      <c r="C479" s="52" t="s">
        <v>771</v>
      </c>
    </row>
    <row r="480" spans="1:3">
      <c r="A480" s="25" t="s">
        <v>770</v>
      </c>
      <c r="B480" s="25" t="s">
        <v>769</v>
      </c>
      <c r="C480" s="52" t="s">
        <v>769</v>
      </c>
    </row>
    <row r="481" spans="1:3">
      <c r="A481" s="25" t="s">
        <v>768</v>
      </c>
      <c r="B481" s="25" t="s">
        <v>767</v>
      </c>
      <c r="C481" s="52" t="s">
        <v>767</v>
      </c>
    </row>
    <row r="482" spans="1:3">
      <c r="A482" s="25" t="s">
        <v>766</v>
      </c>
      <c r="B482" s="25" t="s">
        <v>765</v>
      </c>
      <c r="C482" s="52" t="s">
        <v>765</v>
      </c>
    </row>
    <row r="483" spans="1:3">
      <c r="A483" s="25" t="s">
        <v>764</v>
      </c>
      <c r="B483" s="25" t="s">
        <v>763</v>
      </c>
      <c r="C483" s="52" t="s">
        <v>763</v>
      </c>
    </row>
    <row r="484" spans="1:3">
      <c r="A484" s="25" t="s">
        <v>762</v>
      </c>
      <c r="B484" s="25" t="s">
        <v>761</v>
      </c>
      <c r="C484" s="52" t="s">
        <v>761</v>
      </c>
    </row>
    <row r="485" spans="1:3">
      <c r="A485" s="25" t="s">
        <v>760</v>
      </c>
      <c r="B485" s="25" t="s">
        <v>759</v>
      </c>
      <c r="C485" s="52" t="s">
        <v>759</v>
      </c>
    </row>
    <row r="486" spans="1:3">
      <c r="A486" s="25" t="s">
        <v>758</v>
      </c>
      <c r="B486" s="25" t="s">
        <v>757</v>
      </c>
      <c r="C486" s="52" t="s">
        <v>757</v>
      </c>
    </row>
    <row r="487" spans="1:3">
      <c r="A487" s="25" t="s">
        <v>756</v>
      </c>
      <c r="B487" s="25" t="s">
        <v>755</v>
      </c>
      <c r="C487" s="52" t="s">
        <v>755</v>
      </c>
    </row>
    <row r="488" spans="1:3">
      <c r="A488" s="25" t="s">
        <v>754</v>
      </c>
      <c r="B488" s="25" t="s">
        <v>753</v>
      </c>
      <c r="C488" s="52" t="s">
        <v>753</v>
      </c>
    </row>
    <row r="489" spans="1:3">
      <c r="A489" s="25" t="s">
        <v>752</v>
      </c>
      <c r="B489" s="25" t="s">
        <v>751</v>
      </c>
      <c r="C489" s="52" t="s">
        <v>751</v>
      </c>
    </row>
    <row r="490" spans="1:3">
      <c r="A490" s="25" t="s">
        <v>750</v>
      </c>
      <c r="B490" s="25" t="s">
        <v>749</v>
      </c>
      <c r="C490" s="52" t="s">
        <v>749</v>
      </c>
    </row>
    <row r="491" spans="1:3">
      <c r="A491" s="25" t="s">
        <v>748</v>
      </c>
      <c r="B491" s="25" t="s">
        <v>747</v>
      </c>
      <c r="C491" s="52" t="s">
        <v>747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H260"/>
  <sheetViews>
    <sheetView workbookViewId="0">
      <selection activeCell="B37" sqref="B37"/>
    </sheetView>
  </sheetViews>
  <sheetFormatPr defaultRowHeight="12.75"/>
  <cols>
    <col min="1" max="1" width="9.140625" style="27"/>
    <col min="2" max="2" width="15.140625" style="26" bestFit="1" customWidth="1"/>
    <col min="3" max="3" width="18.140625" style="26" bestFit="1" customWidth="1"/>
    <col min="4" max="4" width="14" style="26" bestFit="1" customWidth="1"/>
    <col min="5" max="5" width="44.28515625" style="26" bestFit="1" customWidth="1"/>
    <col min="6" max="6" width="11.28515625" style="26" customWidth="1"/>
    <col min="7" max="257" width="9.140625" style="26"/>
    <col min="258" max="258" width="15.140625" style="26" bestFit="1" customWidth="1"/>
    <col min="259" max="260" width="14" style="26" bestFit="1" customWidth="1"/>
    <col min="261" max="261" width="3.28515625" style="26" customWidth="1"/>
    <col min="262" max="262" width="33.7109375" style="26" customWidth="1"/>
    <col min="263" max="513" width="9.140625" style="26"/>
    <col min="514" max="514" width="15.140625" style="26" bestFit="1" customWidth="1"/>
    <col min="515" max="516" width="14" style="26" bestFit="1" customWidth="1"/>
    <col min="517" max="517" width="3.28515625" style="26" customWidth="1"/>
    <col min="518" max="518" width="33.7109375" style="26" customWidth="1"/>
    <col min="519" max="769" width="9.140625" style="26"/>
    <col min="770" max="770" width="15.140625" style="26" bestFit="1" customWidth="1"/>
    <col min="771" max="772" width="14" style="26" bestFit="1" customWidth="1"/>
    <col min="773" max="773" width="3.28515625" style="26" customWidth="1"/>
    <col min="774" max="774" width="33.7109375" style="26" customWidth="1"/>
    <col min="775" max="1025" width="9.140625" style="26"/>
    <col min="1026" max="1026" width="15.140625" style="26" bestFit="1" customWidth="1"/>
    <col min="1027" max="1028" width="14" style="26" bestFit="1" customWidth="1"/>
    <col min="1029" max="1029" width="3.28515625" style="26" customWidth="1"/>
    <col min="1030" max="1030" width="33.7109375" style="26" customWidth="1"/>
    <col min="1031" max="1281" width="9.140625" style="26"/>
    <col min="1282" max="1282" width="15.140625" style="26" bestFit="1" customWidth="1"/>
    <col min="1283" max="1284" width="14" style="26" bestFit="1" customWidth="1"/>
    <col min="1285" max="1285" width="3.28515625" style="26" customWidth="1"/>
    <col min="1286" max="1286" width="33.7109375" style="26" customWidth="1"/>
    <col min="1287" max="1537" width="9.140625" style="26"/>
    <col min="1538" max="1538" width="15.140625" style="26" bestFit="1" customWidth="1"/>
    <col min="1539" max="1540" width="14" style="26" bestFit="1" customWidth="1"/>
    <col min="1541" max="1541" width="3.28515625" style="26" customWidth="1"/>
    <col min="1542" max="1542" width="33.7109375" style="26" customWidth="1"/>
    <col min="1543" max="1793" width="9.140625" style="26"/>
    <col min="1794" max="1794" width="15.140625" style="26" bestFit="1" customWidth="1"/>
    <col min="1795" max="1796" width="14" style="26" bestFit="1" customWidth="1"/>
    <col min="1797" max="1797" width="3.28515625" style="26" customWidth="1"/>
    <col min="1798" max="1798" width="33.7109375" style="26" customWidth="1"/>
    <col min="1799" max="2049" width="9.140625" style="26"/>
    <col min="2050" max="2050" width="15.140625" style="26" bestFit="1" customWidth="1"/>
    <col min="2051" max="2052" width="14" style="26" bestFit="1" customWidth="1"/>
    <col min="2053" max="2053" width="3.28515625" style="26" customWidth="1"/>
    <col min="2054" max="2054" width="33.7109375" style="26" customWidth="1"/>
    <col min="2055" max="2305" width="9.140625" style="26"/>
    <col min="2306" max="2306" width="15.140625" style="26" bestFit="1" customWidth="1"/>
    <col min="2307" max="2308" width="14" style="26" bestFit="1" customWidth="1"/>
    <col min="2309" max="2309" width="3.28515625" style="26" customWidth="1"/>
    <col min="2310" max="2310" width="33.7109375" style="26" customWidth="1"/>
    <col min="2311" max="2561" width="9.140625" style="26"/>
    <col min="2562" max="2562" width="15.140625" style="26" bestFit="1" customWidth="1"/>
    <col min="2563" max="2564" width="14" style="26" bestFit="1" customWidth="1"/>
    <col min="2565" max="2565" width="3.28515625" style="26" customWidth="1"/>
    <col min="2566" max="2566" width="33.7109375" style="26" customWidth="1"/>
    <col min="2567" max="2817" width="9.140625" style="26"/>
    <col min="2818" max="2818" width="15.140625" style="26" bestFit="1" customWidth="1"/>
    <col min="2819" max="2820" width="14" style="26" bestFit="1" customWidth="1"/>
    <col min="2821" max="2821" width="3.28515625" style="26" customWidth="1"/>
    <col min="2822" max="2822" width="33.7109375" style="26" customWidth="1"/>
    <col min="2823" max="3073" width="9.140625" style="26"/>
    <col min="3074" max="3074" width="15.140625" style="26" bestFit="1" customWidth="1"/>
    <col min="3075" max="3076" width="14" style="26" bestFit="1" customWidth="1"/>
    <col min="3077" max="3077" width="3.28515625" style="26" customWidth="1"/>
    <col min="3078" max="3078" width="33.7109375" style="26" customWidth="1"/>
    <col min="3079" max="3329" width="9.140625" style="26"/>
    <col min="3330" max="3330" width="15.140625" style="26" bestFit="1" customWidth="1"/>
    <col min="3331" max="3332" width="14" style="26" bestFit="1" customWidth="1"/>
    <col min="3333" max="3333" width="3.28515625" style="26" customWidth="1"/>
    <col min="3334" max="3334" width="33.7109375" style="26" customWidth="1"/>
    <col min="3335" max="3585" width="9.140625" style="26"/>
    <col min="3586" max="3586" width="15.140625" style="26" bestFit="1" customWidth="1"/>
    <col min="3587" max="3588" width="14" style="26" bestFit="1" customWidth="1"/>
    <col min="3589" max="3589" width="3.28515625" style="26" customWidth="1"/>
    <col min="3590" max="3590" width="33.7109375" style="26" customWidth="1"/>
    <col min="3591" max="3841" width="9.140625" style="26"/>
    <col min="3842" max="3842" width="15.140625" style="26" bestFit="1" customWidth="1"/>
    <col min="3843" max="3844" width="14" style="26" bestFit="1" customWidth="1"/>
    <col min="3845" max="3845" width="3.28515625" style="26" customWidth="1"/>
    <col min="3846" max="3846" width="33.7109375" style="26" customWidth="1"/>
    <col min="3847" max="4097" width="9.140625" style="26"/>
    <col min="4098" max="4098" width="15.140625" style="26" bestFit="1" customWidth="1"/>
    <col min="4099" max="4100" width="14" style="26" bestFit="1" customWidth="1"/>
    <col min="4101" max="4101" width="3.28515625" style="26" customWidth="1"/>
    <col min="4102" max="4102" width="33.7109375" style="26" customWidth="1"/>
    <col min="4103" max="4353" width="9.140625" style="26"/>
    <col min="4354" max="4354" width="15.140625" style="26" bestFit="1" customWidth="1"/>
    <col min="4355" max="4356" width="14" style="26" bestFit="1" customWidth="1"/>
    <col min="4357" max="4357" width="3.28515625" style="26" customWidth="1"/>
    <col min="4358" max="4358" width="33.7109375" style="26" customWidth="1"/>
    <col min="4359" max="4609" width="9.140625" style="26"/>
    <col min="4610" max="4610" width="15.140625" style="26" bestFit="1" customWidth="1"/>
    <col min="4611" max="4612" width="14" style="26" bestFit="1" customWidth="1"/>
    <col min="4613" max="4613" width="3.28515625" style="26" customWidth="1"/>
    <col min="4614" max="4614" width="33.7109375" style="26" customWidth="1"/>
    <col min="4615" max="4865" width="9.140625" style="26"/>
    <col min="4866" max="4866" width="15.140625" style="26" bestFit="1" customWidth="1"/>
    <col min="4867" max="4868" width="14" style="26" bestFit="1" customWidth="1"/>
    <col min="4869" max="4869" width="3.28515625" style="26" customWidth="1"/>
    <col min="4870" max="4870" width="33.7109375" style="26" customWidth="1"/>
    <col min="4871" max="5121" width="9.140625" style="26"/>
    <col min="5122" max="5122" width="15.140625" style="26" bestFit="1" customWidth="1"/>
    <col min="5123" max="5124" width="14" style="26" bestFit="1" customWidth="1"/>
    <col min="5125" max="5125" width="3.28515625" style="26" customWidth="1"/>
    <col min="5126" max="5126" width="33.7109375" style="26" customWidth="1"/>
    <col min="5127" max="5377" width="9.140625" style="26"/>
    <col min="5378" max="5378" width="15.140625" style="26" bestFit="1" customWidth="1"/>
    <col min="5379" max="5380" width="14" style="26" bestFit="1" customWidth="1"/>
    <col min="5381" max="5381" width="3.28515625" style="26" customWidth="1"/>
    <col min="5382" max="5382" width="33.7109375" style="26" customWidth="1"/>
    <col min="5383" max="5633" width="9.140625" style="26"/>
    <col min="5634" max="5634" width="15.140625" style="26" bestFit="1" customWidth="1"/>
    <col min="5635" max="5636" width="14" style="26" bestFit="1" customWidth="1"/>
    <col min="5637" max="5637" width="3.28515625" style="26" customWidth="1"/>
    <col min="5638" max="5638" width="33.7109375" style="26" customWidth="1"/>
    <col min="5639" max="5889" width="9.140625" style="26"/>
    <col min="5890" max="5890" width="15.140625" style="26" bestFit="1" customWidth="1"/>
    <col min="5891" max="5892" width="14" style="26" bestFit="1" customWidth="1"/>
    <col min="5893" max="5893" width="3.28515625" style="26" customWidth="1"/>
    <col min="5894" max="5894" width="33.7109375" style="26" customWidth="1"/>
    <col min="5895" max="6145" width="9.140625" style="26"/>
    <col min="6146" max="6146" width="15.140625" style="26" bestFit="1" customWidth="1"/>
    <col min="6147" max="6148" width="14" style="26" bestFit="1" customWidth="1"/>
    <col min="6149" max="6149" width="3.28515625" style="26" customWidth="1"/>
    <col min="6150" max="6150" width="33.7109375" style="26" customWidth="1"/>
    <col min="6151" max="6401" width="9.140625" style="26"/>
    <col min="6402" max="6402" width="15.140625" style="26" bestFit="1" customWidth="1"/>
    <col min="6403" max="6404" width="14" style="26" bestFit="1" customWidth="1"/>
    <col min="6405" max="6405" width="3.28515625" style="26" customWidth="1"/>
    <col min="6406" max="6406" width="33.7109375" style="26" customWidth="1"/>
    <col min="6407" max="6657" width="9.140625" style="26"/>
    <col min="6658" max="6658" width="15.140625" style="26" bestFit="1" customWidth="1"/>
    <col min="6659" max="6660" width="14" style="26" bestFit="1" customWidth="1"/>
    <col min="6661" max="6661" width="3.28515625" style="26" customWidth="1"/>
    <col min="6662" max="6662" width="33.7109375" style="26" customWidth="1"/>
    <col min="6663" max="6913" width="9.140625" style="26"/>
    <col min="6914" max="6914" width="15.140625" style="26" bestFit="1" customWidth="1"/>
    <col min="6915" max="6916" width="14" style="26" bestFit="1" customWidth="1"/>
    <col min="6917" max="6917" width="3.28515625" style="26" customWidth="1"/>
    <col min="6918" max="6918" width="33.7109375" style="26" customWidth="1"/>
    <col min="6919" max="7169" width="9.140625" style="26"/>
    <col min="7170" max="7170" width="15.140625" style="26" bestFit="1" customWidth="1"/>
    <col min="7171" max="7172" width="14" style="26" bestFit="1" customWidth="1"/>
    <col min="7173" max="7173" width="3.28515625" style="26" customWidth="1"/>
    <col min="7174" max="7174" width="33.7109375" style="26" customWidth="1"/>
    <col min="7175" max="7425" width="9.140625" style="26"/>
    <col min="7426" max="7426" width="15.140625" style="26" bestFit="1" customWidth="1"/>
    <col min="7427" max="7428" width="14" style="26" bestFit="1" customWidth="1"/>
    <col min="7429" max="7429" width="3.28515625" style="26" customWidth="1"/>
    <col min="7430" max="7430" width="33.7109375" style="26" customWidth="1"/>
    <col min="7431" max="7681" width="9.140625" style="26"/>
    <col min="7682" max="7682" width="15.140625" style="26" bestFit="1" customWidth="1"/>
    <col min="7683" max="7684" width="14" style="26" bestFit="1" customWidth="1"/>
    <col min="7685" max="7685" width="3.28515625" style="26" customWidth="1"/>
    <col min="7686" max="7686" width="33.7109375" style="26" customWidth="1"/>
    <col min="7687" max="7937" width="9.140625" style="26"/>
    <col min="7938" max="7938" width="15.140625" style="26" bestFit="1" customWidth="1"/>
    <col min="7939" max="7940" width="14" style="26" bestFit="1" customWidth="1"/>
    <col min="7941" max="7941" width="3.28515625" style="26" customWidth="1"/>
    <col min="7942" max="7942" width="33.7109375" style="26" customWidth="1"/>
    <col min="7943" max="8193" width="9.140625" style="26"/>
    <col min="8194" max="8194" width="15.140625" style="26" bestFit="1" customWidth="1"/>
    <col min="8195" max="8196" width="14" style="26" bestFit="1" customWidth="1"/>
    <col min="8197" max="8197" width="3.28515625" style="26" customWidth="1"/>
    <col min="8198" max="8198" width="33.7109375" style="26" customWidth="1"/>
    <col min="8199" max="8449" width="9.140625" style="26"/>
    <col min="8450" max="8450" width="15.140625" style="26" bestFit="1" customWidth="1"/>
    <col min="8451" max="8452" width="14" style="26" bestFit="1" customWidth="1"/>
    <col min="8453" max="8453" width="3.28515625" style="26" customWidth="1"/>
    <col min="8454" max="8454" width="33.7109375" style="26" customWidth="1"/>
    <col min="8455" max="8705" width="9.140625" style="26"/>
    <col min="8706" max="8706" width="15.140625" style="26" bestFit="1" customWidth="1"/>
    <col min="8707" max="8708" width="14" style="26" bestFit="1" customWidth="1"/>
    <col min="8709" max="8709" width="3.28515625" style="26" customWidth="1"/>
    <col min="8710" max="8710" width="33.7109375" style="26" customWidth="1"/>
    <col min="8711" max="8961" width="9.140625" style="26"/>
    <col min="8962" max="8962" width="15.140625" style="26" bestFit="1" customWidth="1"/>
    <col min="8963" max="8964" width="14" style="26" bestFit="1" customWidth="1"/>
    <col min="8965" max="8965" width="3.28515625" style="26" customWidth="1"/>
    <col min="8966" max="8966" width="33.7109375" style="26" customWidth="1"/>
    <col min="8967" max="9217" width="9.140625" style="26"/>
    <col min="9218" max="9218" width="15.140625" style="26" bestFit="1" customWidth="1"/>
    <col min="9219" max="9220" width="14" style="26" bestFit="1" customWidth="1"/>
    <col min="9221" max="9221" width="3.28515625" style="26" customWidth="1"/>
    <col min="9222" max="9222" width="33.7109375" style="26" customWidth="1"/>
    <col min="9223" max="9473" width="9.140625" style="26"/>
    <col min="9474" max="9474" width="15.140625" style="26" bestFit="1" customWidth="1"/>
    <col min="9475" max="9476" width="14" style="26" bestFit="1" customWidth="1"/>
    <col min="9477" max="9477" width="3.28515625" style="26" customWidth="1"/>
    <col min="9478" max="9478" width="33.7109375" style="26" customWidth="1"/>
    <col min="9479" max="9729" width="9.140625" style="26"/>
    <col min="9730" max="9730" width="15.140625" style="26" bestFit="1" customWidth="1"/>
    <col min="9731" max="9732" width="14" style="26" bestFit="1" customWidth="1"/>
    <col min="9733" max="9733" width="3.28515625" style="26" customWidth="1"/>
    <col min="9734" max="9734" width="33.7109375" style="26" customWidth="1"/>
    <col min="9735" max="9985" width="9.140625" style="26"/>
    <col min="9986" max="9986" width="15.140625" style="26" bestFit="1" customWidth="1"/>
    <col min="9987" max="9988" width="14" style="26" bestFit="1" customWidth="1"/>
    <col min="9989" max="9989" width="3.28515625" style="26" customWidth="1"/>
    <col min="9990" max="9990" width="33.7109375" style="26" customWidth="1"/>
    <col min="9991" max="10241" width="9.140625" style="26"/>
    <col min="10242" max="10242" width="15.140625" style="26" bestFit="1" customWidth="1"/>
    <col min="10243" max="10244" width="14" style="26" bestFit="1" customWidth="1"/>
    <col min="10245" max="10245" width="3.28515625" style="26" customWidth="1"/>
    <col min="10246" max="10246" width="33.7109375" style="26" customWidth="1"/>
    <col min="10247" max="10497" width="9.140625" style="26"/>
    <col min="10498" max="10498" width="15.140625" style="26" bestFit="1" customWidth="1"/>
    <col min="10499" max="10500" width="14" style="26" bestFit="1" customWidth="1"/>
    <col min="10501" max="10501" width="3.28515625" style="26" customWidth="1"/>
    <col min="10502" max="10502" width="33.7109375" style="26" customWidth="1"/>
    <col min="10503" max="10753" width="9.140625" style="26"/>
    <col min="10754" max="10754" width="15.140625" style="26" bestFit="1" customWidth="1"/>
    <col min="10755" max="10756" width="14" style="26" bestFit="1" customWidth="1"/>
    <col min="10757" max="10757" width="3.28515625" style="26" customWidth="1"/>
    <col min="10758" max="10758" width="33.7109375" style="26" customWidth="1"/>
    <col min="10759" max="11009" width="9.140625" style="26"/>
    <col min="11010" max="11010" width="15.140625" style="26" bestFit="1" customWidth="1"/>
    <col min="11011" max="11012" width="14" style="26" bestFit="1" customWidth="1"/>
    <col min="11013" max="11013" width="3.28515625" style="26" customWidth="1"/>
    <col min="11014" max="11014" width="33.7109375" style="26" customWidth="1"/>
    <col min="11015" max="11265" width="9.140625" style="26"/>
    <col min="11266" max="11266" width="15.140625" style="26" bestFit="1" customWidth="1"/>
    <col min="11267" max="11268" width="14" style="26" bestFit="1" customWidth="1"/>
    <col min="11269" max="11269" width="3.28515625" style="26" customWidth="1"/>
    <col min="11270" max="11270" width="33.7109375" style="26" customWidth="1"/>
    <col min="11271" max="11521" width="9.140625" style="26"/>
    <col min="11522" max="11522" width="15.140625" style="26" bestFit="1" customWidth="1"/>
    <col min="11523" max="11524" width="14" style="26" bestFit="1" customWidth="1"/>
    <col min="11525" max="11525" width="3.28515625" style="26" customWidth="1"/>
    <col min="11526" max="11526" width="33.7109375" style="26" customWidth="1"/>
    <col min="11527" max="11777" width="9.140625" style="26"/>
    <col min="11778" max="11778" width="15.140625" style="26" bestFit="1" customWidth="1"/>
    <col min="11779" max="11780" width="14" style="26" bestFit="1" customWidth="1"/>
    <col min="11781" max="11781" width="3.28515625" style="26" customWidth="1"/>
    <col min="11782" max="11782" width="33.7109375" style="26" customWidth="1"/>
    <col min="11783" max="12033" width="9.140625" style="26"/>
    <col min="12034" max="12034" width="15.140625" style="26" bestFit="1" customWidth="1"/>
    <col min="12035" max="12036" width="14" style="26" bestFit="1" customWidth="1"/>
    <col min="12037" max="12037" width="3.28515625" style="26" customWidth="1"/>
    <col min="12038" max="12038" width="33.7109375" style="26" customWidth="1"/>
    <col min="12039" max="12289" width="9.140625" style="26"/>
    <col min="12290" max="12290" width="15.140625" style="26" bestFit="1" customWidth="1"/>
    <col min="12291" max="12292" width="14" style="26" bestFit="1" customWidth="1"/>
    <col min="12293" max="12293" width="3.28515625" style="26" customWidth="1"/>
    <col min="12294" max="12294" width="33.7109375" style="26" customWidth="1"/>
    <col min="12295" max="12545" width="9.140625" style="26"/>
    <col min="12546" max="12546" width="15.140625" style="26" bestFit="1" customWidth="1"/>
    <col min="12547" max="12548" width="14" style="26" bestFit="1" customWidth="1"/>
    <col min="12549" max="12549" width="3.28515625" style="26" customWidth="1"/>
    <col min="12550" max="12550" width="33.7109375" style="26" customWidth="1"/>
    <col min="12551" max="12801" width="9.140625" style="26"/>
    <col min="12802" max="12802" width="15.140625" style="26" bestFit="1" customWidth="1"/>
    <col min="12803" max="12804" width="14" style="26" bestFit="1" customWidth="1"/>
    <col min="12805" max="12805" width="3.28515625" style="26" customWidth="1"/>
    <col min="12806" max="12806" width="33.7109375" style="26" customWidth="1"/>
    <col min="12807" max="13057" width="9.140625" style="26"/>
    <col min="13058" max="13058" width="15.140625" style="26" bestFit="1" customWidth="1"/>
    <col min="13059" max="13060" width="14" style="26" bestFit="1" customWidth="1"/>
    <col min="13061" max="13061" width="3.28515625" style="26" customWidth="1"/>
    <col min="13062" max="13062" width="33.7109375" style="26" customWidth="1"/>
    <col min="13063" max="13313" width="9.140625" style="26"/>
    <col min="13314" max="13314" width="15.140625" style="26" bestFit="1" customWidth="1"/>
    <col min="13315" max="13316" width="14" style="26" bestFit="1" customWidth="1"/>
    <col min="13317" max="13317" width="3.28515625" style="26" customWidth="1"/>
    <col min="13318" max="13318" width="33.7109375" style="26" customWidth="1"/>
    <col min="13319" max="13569" width="9.140625" style="26"/>
    <col min="13570" max="13570" width="15.140625" style="26" bestFit="1" customWidth="1"/>
    <col min="13571" max="13572" width="14" style="26" bestFit="1" customWidth="1"/>
    <col min="13573" max="13573" width="3.28515625" style="26" customWidth="1"/>
    <col min="13574" max="13574" width="33.7109375" style="26" customWidth="1"/>
    <col min="13575" max="13825" width="9.140625" style="26"/>
    <col min="13826" max="13826" width="15.140625" style="26" bestFit="1" customWidth="1"/>
    <col min="13827" max="13828" width="14" style="26" bestFit="1" customWidth="1"/>
    <col min="13829" max="13829" width="3.28515625" style="26" customWidth="1"/>
    <col min="13830" max="13830" width="33.7109375" style="26" customWidth="1"/>
    <col min="13831" max="14081" width="9.140625" style="26"/>
    <col min="14082" max="14082" width="15.140625" style="26" bestFit="1" customWidth="1"/>
    <col min="14083" max="14084" width="14" style="26" bestFit="1" customWidth="1"/>
    <col min="14085" max="14085" width="3.28515625" style="26" customWidth="1"/>
    <col min="14086" max="14086" width="33.7109375" style="26" customWidth="1"/>
    <col min="14087" max="14337" width="9.140625" style="26"/>
    <col min="14338" max="14338" width="15.140625" style="26" bestFit="1" customWidth="1"/>
    <col min="14339" max="14340" width="14" style="26" bestFit="1" customWidth="1"/>
    <col min="14341" max="14341" width="3.28515625" style="26" customWidth="1"/>
    <col min="14342" max="14342" width="33.7109375" style="26" customWidth="1"/>
    <col min="14343" max="14593" width="9.140625" style="26"/>
    <col min="14594" max="14594" width="15.140625" style="26" bestFit="1" customWidth="1"/>
    <col min="14595" max="14596" width="14" style="26" bestFit="1" customWidth="1"/>
    <col min="14597" max="14597" width="3.28515625" style="26" customWidth="1"/>
    <col min="14598" max="14598" width="33.7109375" style="26" customWidth="1"/>
    <col min="14599" max="14849" width="9.140625" style="26"/>
    <col min="14850" max="14850" width="15.140625" style="26" bestFit="1" customWidth="1"/>
    <col min="14851" max="14852" width="14" style="26" bestFit="1" customWidth="1"/>
    <col min="14853" max="14853" width="3.28515625" style="26" customWidth="1"/>
    <col min="14854" max="14854" width="33.7109375" style="26" customWidth="1"/>
    <col min="14855" max="15105" width="9.140625" style="26"/>
    <col min="15106" max="15106" width="15.140625" style="26" bestFit="1" customWidth="1"/>
    <col min="15107" max="15108" width="14" style="26" bestFit="1" customWidth="1"/>
    <col min="15109" max="15109" width="3.28515625" style="26" customWidth="1"/>
    <col min="15110" max="15110" width="33.7109375" style="26" customWidth="1"/>
    <col min="15111" max="15361" width="9.140625" style="26"/>
    <col min="15362" max="15362" width="15.140625" style="26" bestFit="1" customWidth="1"/>
    <col min="15363" max="15364" width="14" style="26" bestFit="1" customWidth="1"/>
    <col min="15365" max="15365" width="3.28515625" style="26" customWidth="1"/>
    <col min="15366" max="15366" width="33.7109375" style="26" customWidth="1"/>
    <col min="15367" max="15617" width="9.140625" style="26"/>
    <col min="15618" max="15618" width="15.140625" style="26" bestFit="1" customWidth="1"/>
    <col min="15619" max="15620" width="14" style="26" bestFit="1" customWidth="1"/>
    <col min="15621" max="15621" width="3.28515625" style="26" customWidth="1"/>
    <col min="15622" max="15622" width="33.7109375" style="26" customWidth="1"/>
    <col min="15623" max="15873" width="9.140625" style="26"/>
    <col min="15874" max="15874" width="15.140625" style="26" bestFit="1" customWidth="1"/>
    <col min="15875" max="15876" width="14" style="26" bestFit="1" customWidth="1"/>
    <col min="15877" max="15877" width="3.28515625" style="26" customWidth="1"/>
    <col min="15878" max="15878" width="33.7109375" style="26" customWidth="1"/>
    <col min="15879" max="16129" width="9.140625" style="26"/>
    <col min="16130" max="16130" width="15.140625" style="26" bestFit="1" customWidth="1"/>
    <col min="16131" max="16132" width="14" style="26" bestFit="1" customWidth="1"/>
    <col min="16133" max="16133" width="3.28515625" style="26" customWidth="1"/>
    <col min="16134" max="16134" width="33.7109375" style="26" customWidth="1"/>
    <col min="16135" max="16384" width="9.140625" style="26"/>
  </cols>
  <sheetData>
    <row r="1" spans="1:6" ht="16.5">
      <c r="A1" s="50" t="s">
        <v>1987</v>
      </c>
      <c r="B1" s="49" t="s">
        <v>1986</v>
      </c>
      <c r="C1" s="49" t="s">
        <v>1985</v>
      </c>
      <c r="D1" s="49" t="s">
        <v>1984</v>
      </c>
      <c r="F1" s="48"/>
    </row>
    <row r="2" spans="1:6" ht="17.25" thickBot="1">
      <c r="A2" s="34" t="s">
        <v>1983</v>
      </c>
      <c r="B2" s="33" t="s">
        <v>1955</v>
      </c>
      <c r="C2" s="33"/>
      <c r="D2" s="33"/>
      <c r="E2" s="22" t="str">
        <f t="shared" ref="E2:E65" si="0">CONCATENATE(A2, ":", B2, "_", C2, "_", D2)</f>
        <v>010000:실사영화__</v>
      </c>
      <c r="F2" s="47"/>
    </row>
    <row r="3" spans="1:6" ht="17.25" thickBot="1">
      <c r="A3" s="29" t="s">
        <v>1982</v>
      </c>
      <c r="B3" s="28" t="s">
        <v>1955</v>
      </c>
      <c r="C3" s="28" t="s">
        <v>1883</v>
      </c>
      <c r="D3" s="28"/>
      <c r="E3" s="22" t="str">
        <f t="shared" si="0"/>
        <v>010100:실사영화_액션_</v>
      </c>
      <c r="F3" s="46"/>
    </row>
    <row r="4" spans="1:6" ht="17.25" thickBot="1">
      <c r="A4" s="29" t="s">
        <v>1981</v>
      </c>
      <c r="B4" s="28" t="s">
        <v>1955</v>
      </c>
      <c r="C4" s="28" t="s">
        <v>1881</v>
      </c>
      <c r="D4" s="28"/>
      <c r="E4" s="22" t="str">
        <f t="shared" si="0"/>
        <v>010200:실사영화_SF_</v>
      </c>
    </row>
    <row r="5" spans="1:6" ht="17.25" thickBot="1">
      <c r="A5" s="29" t="s">
        <v>1980</v>
      </c>
      <c r="B5" s="28" t="s">
        <v>1955</v>
      </c>
      <c r="C5" s="28" t="s">
        <v>1879</v>
      </c>
      <c r="D5" s="28"/>
      <c r="E5" s="22" t="str">
        <f t="shared" si="0"/>
        <v>010300:실사영화_판타지_</v>
      </c>
    </row>
    <row r="6" spans="1:6" ht="17.25" thickBot="1">
      <c r="A6" s="29" t="s">
        <v>1979</v>
      </c>
      <c r="B6" s="28" t="s">
        <v>1955</v>
      </c>
      <c r="C6" s="28" t="s">
        <v>1877</v>
      </c>
      <c r="D6" s="28"/>
      <c r="E6" s="22" t="str">
        <f t="shared" si="0"/>
        <v>010400:실사영화_휴먼/가족_</v>
      </c>
    </row>
    <row r="7" spans="1:6" ht="17.25" thickBot="1">
      <c r="A7" s="29" t="s">
        <v>1978</v>
      </c>
      <c r="B7" s="28" t="s">
        <v>1955</v>
      </c>
      <c r="C7" s="28" t="s">
        <v>1875</v>
      </c>
      <c r="D7" s="28"/>
      <c r="E7" s="22" t="str">
        <f t="shared" si="0"/>
        <v>010500:실사영화_드라마_</v>
      </c>
    </row>
    <row r="8" spans="1:6" ht="17.25" thickBot="1">
      <c r="A8" s="29" t="s">
        <v>1977</v>
      </c>
      <c r="B8" s="28" t="s">
        <v>1955</v>
      </c>
      <c r="C8" s="28" t="s">
        <v>1873</v>
      </c>
      <c r="D8" s="28"/>
      <c r="E8" s="22" t="str">
        <f t="shared" si="0"/>
        <v>010600:실사영화_로맨스_</v>
      </c>
    </row>
    <row r="9" spans="1:6" ht="17.25" thickBot="1">
      <c r="A9" s="29" t="s">
        <v>1976</v>
      </c>
      <c r="B9" s="28" t="s">
        <v>1955</v>
      </c>
      <c r="C9" s="28" t="s">
        <v>1871</v>
      </c>
      <c r="D9" s="28"/>
      <c r="E9" s="22" t="str">
        <f t="shared" si="0"/>
        <v>010700:실사영화_코미디_</v>
      </c>
    </row>
    <row r="10" spans="1:6" ht="17.25" thickBot="1">
      <c r="A10" s="29" t="s">
        <v>1975</v>
      </c>
      <c r="B10" s="28" t="s">
        <v>1955</v>
      </c>
      <c r="C10" s="28" t="s">
        <v>1869</v>
      </c>
      <c r="D10" s="28"/>
      <c r="E10" s="22" t="str">
        <f t="shared" si="0"/>
        <v>010800:실사영화_공포/스릴러_</v>
      </c>
    </row>
    <row r="11" spans="1:6" ht="17.25" thickBot="1">
      <c r="A11" s="29" t="s">
        <v>1974</v>
      </c>
      <c r="B11" s="28" t="s">
        <v>1955</v>
      </c>
      <c r="C11" s="28" t="s">
        <v>1867</v>
      </c>
      <c r="D11" s="28"/>
      <c r="E11" s="22" t="str">
        <f t="shared" si="0"/>
        <v>010900:실사영화_무협_</v>
      </c>
    </row>
    <row r="12" spans="1:6" ht="17.25" thickBot="1">
      <c r="A12" s="29" t="s">
        <v>1973</v>
      </c>
      <c r="B12" s="28" t="s">
        <v>1955</v>
      </c>
      <c r="C12" s="28" t="s">
        <v>1865</v>
      </c>
      <c r="D12" s="28"/>
      <c r="E12" s="22" t="str">
        <f t="shared" si="0"/>
        <v>011000:실사영화_범죄/추리_</v>
      </c>
    </row>
    <row r="13" spans="1:6" ht="17.25" thickBot="1">
      <c r="A13" s="29" t="s">
        <v>1972</v>
      </c>
      <c r="B13" s="28" t="s">
        <v>1955</v>
      </c>
      <c r="C13" s="28" t="s">
        <v>1863</v>
      </c>
      <c r="D13" s="28"/>
      <c r="E13" s="22" t="str">
        <f t="shared" si="0"/>
        <v>011100:실사영화_사극_</v>
      </c>
    </row>
    <row r="14" spans="1:6" ht="17.25" thickBot="1">
      <c r="A14" s="29" t="s">
        <v>1971</v>
      </c>
      <c r="B14" s="28" t="s">
        <v>1970</v>
      </c>
      <c r="C14" s="28" t="s">
        <v>1861</v>
      </c>
      <c r="D14" s="28"/>
      <c r="E14" s="22" t="str">
        <f t="shared" si="0"/>
        <v>011200:실사영화_역사_</v>
      </c>
    </row>
    <row r="15" spans="1:6" ht="17.25" thickBot="1">
      <c r="A15" s="29" t="s">
        <v>1969</v>
      </c>
      <c r="B15" s="28" t="s">
        <v>1955</v>
      </c>
      <c r="C15" s="28" t="s">
        <v>1859</v>
      </c>
      <c r="D15" s="28"/>
      <c r="E15" s="22" t="str">
        <f t="shared" si="0"/>
        <v>011300:실사영화_모험_</v>
      </c>
    </row>
    <row r="16" spans="1:6" ht="17.25" thickBot="1">
      <c r="A16" s="29" t="s">
        <v>1968</v>
      </c>
      <c r="B16" s="28" t="s">
        <v>1955</v>
      </c>
      <c r="C16" s="28" t="s">
        <v>1857</v>
      </c>
      <c r="D16" s="28"/>
      <c r="E16" s="22" t="str">
        <f t="shared" si="0"/>
        <v>011400:실사영화_다큐_</v>
      </c>
    </row>
    <row r="17" spans="1:6" ht="17.25" thickBot="1">
      <c r="A17" s="29" t="s">
        <v>1967</v>
      </c>
      <c r="B17" s="28" t="s">
        <v>1955</v>
      </c>
      <c r="C17" s="28" t="s">
        <v>1855</v>
      </c>
      <c r="D17" s="28"/>
      <c r="E17" s="22" t="str">
        <f t="shared" si="0"/>
        <v>011500:실사영화_학원/순정_</v>
      </c>
    </row>
    <row r="18" spans="1:6" ht="17.25" thickBot="1">
      <c r="A18" s="29" t="s">
        <v>1966</v>
      </c>
      <c r="B18" s="28" t="s">
        <v>1955</v>
      </c>
      <c r="C18" s="28" t="s">
        <v>1829</v>
      </c>
      <c r="D18" s="28"/>
      <c r="E18" s="22" t="str">
        <f t="shared" si="0"/>
        <v>011600:실사영화_유아/어린이_</v>
      </c>
    </row>
    <row r="19" spans="1:6" ht="17.25" thickBot="1">
      <c r="A19" s="29" t="s">
        <v>1965</v>
      </c>
      <c r="B19" s="28" t="s">
        <v>1955</v>
      </c>
      <c r="C19" s="28" t="s">
        <v>1826</v>
      </c>
      <c r="D19" s="28"/>
      <c r="E19" s="22" t="str">
        <f t="shared" si="0"/>
        <v>011700:실사영화_전쟁_</v>
      </c>
    </row>
    <row r="20" spans="1:6" ht="17.25" thickBot="1">
      <c r="A20" s="29" t="s">
        <v>1964</v>
      </c>
      <c r="B20" s="28" t="s">
        <v>1955</v>
      </c>
      <c r="C20" s="28" t="s">
        <v>1824</v>
      </c>
      <c r="D20" s="28"/>
      <c r="E20" s="22" t="str">
        <f t="shared" si="0"/>
        <v>011800:실사영화_메디컬_</v>
      </c>
    </row>
    <row r="21" spans="1:6" ht="17.25" thickBot="1">
      <c r="A21" s="29" t="s">
        <v>1963</v>
      </c>
      <c r="B21" s="28" t="s">
        <v>1955</v>
      </c>
      <c r="C21" s="28" t="s">
        <v>1822</v>
      </c>
      <c r="D21" s="28"/>
      <c r="E21" s="22" t="str">
        <f t="shared" si="0"/>
        <v>011900:실사영화_교육_</v>
      </c>
    </row>
    <row r="22" spans="1:6" ht="17.25" thickBot="1">
      <c r="A22" s="29" t="s">
        <v>1962</v>
      </c>
      <c r="B22" s="28" t="s">
        <v>1955</v>
      </c>
      <c r="C22" s="28" t="s">
        <v>1820</v>
      </c>
      <c r="D22" s="28"/>
      <c r="E22" s="22" t="str">
        <f t="shared" si="0"/>
        <v>012000:실사영화_교양_</v>
      </c>
    </row>
    <row r="23" spans="1:6" ht="17.25" thickBot="1">
      <c r="A23" s="29" t="s">
        <v>1961</v>
      </c>
      <c r="B23" s="28" t="s">
        <v>1955</v>
      </c>
      <c r="C23" s="28" t="s">
        <v>1818</v>
      </c>
      <c r="D23" s="28"/>
      <c r="E23" s="22" t="str">
        <f t="shared" si="0"/>
        <v>012100:실사영화_스포츠_</v>
      </c>
    </row>
    <row r="24" spans="1:6" ht="17.25" thickBot="1">
      <c r="A24" s="29" t="s">
        <v>1960</v>
      </c>
      <c r="B24" s="28" t="s">
        <v>1955</v>
      </c>
      <c r="C24" s="28" t="s">
        <v>1738</v>
      </c>
      <c r="D24" s="28"/>
      <c r="E24" s="22" t="str">
        <f t="shared" si="0"/>
        <v>012200:실사영화_미스터리_</v>
      </c>
    </row>
    <row r="25" spans="1:6" ht="17.25" thickBot="1">
      <c r="A25" s="29" t="s">
        <v>1959</v>
      </c>
      <c r="B25" s="28" t="s">
        <v>1955</v>
      </c>
      <c r="C25" s="28" t="s">
        <v>1815</v>
      </c>
      <c r="D25" s="28"/>
      <c r="E25" s="22" t="str">
        <f t="shared" si="0"/>
        <v>012300:실사영화_뮤지컬_</v>
      </c>
    </row>
    <row r="26" spans="1:6" ht="17.25" thickBot="1">
      <c r="A26" s="29" t="s">
        <v>1958</v>
      </c>
      <c r="B26" s="28" t="s">
        <v>1955</v>
      </c>
      <c r="C26" s="28" t="s">
        <v>1813</v>
      </c>
      <c r="D26" s="28"/>
      <c r="E26" s="22" t="str">
        <f t="shared" si="0"/>
        <v>012400:실사영화_서부_</v>
      </c>
    </row>
    <row r="27" spans="1:6" ht="17.25" thickBot="1">
      <c r="A27" s="29" t="s">
        <v>1957</v>
      </c>
      <c r="B27" s="28" t="s">
        <v>1955</v>
      </c>
      <c r="C27" s="28" t="s">
        <v>1659</v>
      </c>
      <c r="D27" s="28"/>
      <c r="E27" s="22" t="str">
        <f t="shared" si="0"/>
        <v>012500:실사영화_성인_</v>
      </c>
    </row>
    <row r="28" spans="1:6" ht="17.25" thickBot="1">
      <c r="A28" s="29" t="s">
        <v>1956</v>
      </c>
      <c r="B28" s="28" t="s">
        <v>1955</v>
      </c>
      <c r="C28" s="28" t="s">
        <v>1926</v>
      </c>
      <c r="D28" s="28"/>
      <c r="E28" s="22" t="str">
        <f t="shared" si="0"/>
        <v>012600:실사영화_단편_</v>
      </c>
    </row>
    <row r="29" spans="1:6" ht="17.25" thickBot="1">
      <c r="A29" s="34" t="s">
        <v>1954</v>
      </c>
      <c r="B29" s="33" t="s">
        <v>1927</v>
      </c>
      <c r="C29" s="33"/>
      <c r="D29" s="33"/>
      <c r="E29" s="22" t="str">
        <f t="shared" si="0"/>
        <v>020000:애니영화__</v>
      </c>
      <c r="F29" s="32"/>
    </row>
    <row r="30" spans="1:6" ht="17.25" thickBot="1">
      <c r="A30" s="29" t="s">
        <v>1953</v>
      </c>
      <c r="B30" s="28" t="s">
        <v>1927</v>
      </c>
      <c r="C30" s="28" t="s">
        <v>1883</v>
      </c>
      <c r="D30" s="28"/>
      <c r="E30" s="22" t="str">
        <f t="shared" si="0"/>
        <v>020100:애니영화_액션_</v>
      </c>
    </row>
    <row r="31" spans="1:6" ht="17.25" thickBot="1">
      <c r="A31" s="29" t="s">
        <v>1952</v>
      </c>
      <c r="B31" s="28" t="s">
        <v>1927</v>
      </c>
      <c r="C31" s="28" t="s">
        <v>1881</v>
      </c>
      <c r="D31" s="28"/>
      <c r="E31" s="22" t="str">
        <f t="shared" si="0"/>
        <v>020200:애니영화_SF_</v>
      </c>
    </row>
    <row r="32" spans="1:6" ht="17.25" thickBot="1">
      <c r="A32" s="29" t="s">
        <v>1951</v>
      </c>
      <c r="B32" s="28" t="s">
        <v>1927</v>
      </c>
      <c r="C32" s="28" t="s">
        <v>1879</v>
      </c>
      <c r="D32" s="28"/>
      <c r="E32" s="22" t="str">
        <f t="shared" si="0"/>
        <v>020300:애니영화_판타지_</v>
      </c>
    </row>
    <row r="33" spans="1:5" ht="17.25" thickBot="1">
      <c r="A33" s="29" t="s">
        <v>1950</v>
      </c>
      <c r="B33" s="28" t="s">
        <v>1927</v>
      </c>
      <c r="C33" s="28" t="s">
        <v>1877</v>
      </c>
      <c r="D33" s="28"/>
      <c r="E33" s="22" t="str">
        <f t="shared" si="0"/>
        <v>020400:애니영화_휴먼/가족_</v>
      </c>
    </row>
    <row r="34" spans="1:5" ht="17.25" thickBot="1">
      <c r="A34" s="29" t="s">
        <v>1949</v>
      </c>
      <c r="B34" s="28" t="s">
        <v>1927</v>
      </c>
      <c r="C34" s="28" t="s">
        <v>1875</v>
      </c>
      <c r="D34" s="28"/>
      <c r="E34" s="22" t="str">
        <f t="shared" si="0"/>
        <v>020500:애니영화_드라마_</v>
      </c>
    </row>
    <row r="35" spans="1:5" ht="17.25" thickBot="1">
      <c r="A35" s="29" t="s">
        <v>1948</v>
      </c>
      <c r="B35" s="28" t="s">
        <v>1927</v>
      </c>
      <c r="C35" s="28" t="s">
        <v>1873</v>
      </c>
      <c r="D35" s="28"/>
      <c r="E35" s="22" t="str">
        <f t="shared" si="0"/>
        <v>020600:애니영화_로맨스_</v>
      </c>
    </row>
    <row r="36" spans="1:5" ht="17.25" thickBot="1">
      <c r="A36" s="29" t="s">
        <v>1947</v>
      </c>
      <c r="B36" s="28" t="s">
        <v>1927</v>
      </c>
      <c r="C36" s="28" t="s">
        <v>1871</v>
      </c>
      <c r="D36" s="28"/>
      <c r="E36" s="22" t="str">
        <f t="shared" si="0"/>
        <v>020700:애니영화_코미디_</v>
      </c>
    </row>
    <row r="37" spans="1:5" ht="17.25" thickBot="1">
      <c r="A37" s="29" t="s">
        <v>1946</v>
      </c>
      <c r="B37" s="28" t="s">
        <v>1927</v>
      </c>
      <c r="C37" s="28" t="s">
        <v>1869</v>
      </c>
      <c r="D37" s="28"/>
      <c r="E37" s="22" t="str">
        <f t="shared" si="0"/>
        <v>020800:애니영화_공포/스릴러_</v>
      </c>
    </row>
    <row r="38" spans="1:5" ht="17.25" thickBot="1">
      <c r="A38" s="29" t="s">
        <v>1945</v>
      </c>
      <c r="B38" s="28" t="s">
        <v>1927</v>
      </c>
      <c r="C38" s="28" t="s">
        <v>1867</v>
      </c>
      <c r="D38" s="28"/>
      <c r="E38" s="22" t="str">
        <f t="shared" si="0"/>
        <v>020900:애니영화_무협_</v>
      </c>
    </row>
    <row r="39" spans="1:5" ht="17.25" thickBot="1">
      <c r="A39" s="29" t="s">
        <v>1944</v>
      </c>
      <c r="B39" s="28" t="s">
        <v>1927</v>
      </c>
      <c r="C39" s="28" t="s">
        <v>1865</v>
      </c>
      <c r="D39" s="28"/>
      <c r="E39" s="22" t="str">
        <f t="shared" si="0"/>
        <v>021000:애니영화_범죄/추리_</v>
      </c>
    </row>
    <row r="40" spans="1:5" ht="17.25" thickBot="1">
      <c r="A40" s="29" t="s">
        <v>1943</v>
      </c>
      <c r="B40" s="28" t="s">
        <v>1927</v>
      </c>
      <c r="C40" s="28" t="s">
        <v>1863</v>
      </c>
      <c r="D40" s="28"/>
      <c r="E40" s="22" t="str">
        <f t="shared" si="0"/>
        <v>021100:애니영화_사극_</v>
      </c>
    </row>
    <row r="41" spans="1:5" ht="17.25" thickBot="1">
      <c r="A41" s="29" t="s">
        <v>1942</v>
      </c>
      <c r="B41" s="28" t="s">
        <v>1927</v>
      </c>
      <c r="C41" s="28" t="s">
        <v>1861</v>
      </c>
      <c r="D41" s="28"/>
      <c r="E41" s="22" t="str">
        <f t="shared" si="0"/>
        <v>021200:애니영화_역사_</v>
      </c>
    </row>
    <row r="42" spans="1:5" ht="17.25" thickBot="1">
      <c r="A42" s="29" t="s">
        <v>1941</v>
      </c>
      <c r="B42" s="28" t="s">
        <v>1927</v>
      </c>
      <c r="C42" s="28" t="s">
        <v>1859</v>
      </c>
      <c r="D42" s="28"/>
      <c r="E42" s="22" t="str">
        <f t="shared" si="0"/>
        <v>021300:애니영화_모험_</v>
      </c>
    </row>
    <row r="43" spans="1:5" ht="17.25" thickBot="1">
      <c r="A43" s="29" t="s">
        <v>1940</v>
      </c>
      <c r="B43" s="28" t="s">
        <v>1927</v>
      </c>
      <c r="C43" s="28" t="s">
        <v>1857</v>
      </c>
      <c r="D43" s="28"/>
      <c r="E43" s="22" t="str">
        <f t="shared" si="0"/>
        <v>021400:애니영화_다큐_</v>
      </c>
    </row>
    <row r="44" spans="1:5" ht="17.25" thickBot="1">
      <c r="A44" s="29" t="s">
        <v>1939</v>
      </c>
      <c r="B44" s="28" t="s">
        <v>1927</v>
      </c>
      <c r="C44" s="28" t="s">
        <v>1855</v>
      </c>
      <c r="D44" s="28"/>
      <c r="E44" s="22" t="str">
        <f t="shared" si="0"/>
        <v>021500:애니영화_학원/순정_</v>
      </c>
    </row>
    <row r="45" spans="1:5" ht="17.25" thickBot="1">
      <c r="A45" s="29" t="s">
        <v>1938</v>
      </c>
      <c r="B45" s="28" t="s">
        <v>1927</v>
      </c>
      <c r="C45" s="28" t="s">
        <v>1829</v>
      </c>
      <c r="D45" s="28"/>
      <c r="E45" s="22" t="str">
        <f t="shared" si="0"/>
        <v>021600:애니영화_유아/어린이_</v>
      </c>
    </row>
    <row r="46" spans="1:5" ht="17.25" thickBot="1">
      <c r="A46" s="29" t="s">
        <v>1937</v>
      </c>
      <c r="B46" s="28" t="s">
        <v>1927</v>
      </c>
      <c r="C46" s="28" t="s">
        <v>1826</v>
      </c>
      <c r="D46" s="28"/>
      <c r="E46" s="22" t="str">
        <f t="shared" si="0"/>
        <v>021700:애니영화_전쟁_</v>
      </c>
    </row>
    <row r="47" spans="1:5" ht="17.25" thickBot="1">
      <c r="A47" s="29" t="s">
        <v>1936</v>
      </c>
      <c r="B47" s="28" t="s">
        <v>1927</v>
      </c>
      <c r="C47" s="28" t="s">
        <v>1824</v>
      </c>
      <c r="D47" s="28"/>
      <c r="E47" s="22" t="str">
        <f t="shared" si="0"/>
        <v>021800:애니영화_메디컬_</v>
      </c>
    </row>
    <row r="48" spans="1:5" ht="17.25" thickBot="1">
      <c r="A48" s="29" t="s">
        <v>1935</v>
      </c>
      <c r="B48" s="28" t="s">
        <v>1927</v>
      </c>
      <c r="C48" s="28" t="s">
        <v>1822</v>
      </c>
      <c r="D48" s="28"/>
      <c r="E48" s="22" t="str">
        <f t="shared" si="0"/>
        <v>021900:애니영화_교육_</v>
      </c>
    </row>
    <row r="49" spans="1:6" ht="17.25" thickBot="1">
      <c r="A49" s="29" t="s">
        <v>1934</v>
      </c>
      <c r="B49" s="28" t="s">
        <v>1927</v>
      </c>
      <c r="C49" s="28" t="s">
        <v>1820</v>
      </c>
      <c r="D49" s="28"/>
      <c r="E49" s="22" t="str">
        <f t="shared" si="0"/>
        <v>022000:애니영화_교양_</v>
      </c>
    </row>
    <row r="50" spans="1:6" ht="17.25" thickBot="1">
      <c r="A50" s="29" t="s">
        <v>1933</v>
      </c>
      <c r="B50" s="28" t="s">
        <v>1927</v>
      </c>
      <c r="C50" s="28" t="s">
        <v>1818</v>
      </c>
      <c r="D50" s="28"/>
      <c r="E50" s="22" t="str">
        <f t="shared" si="0"/>
        <v>022100:애니영화_스포츠_</v>
      </c>
    </row>
    <row r="51" spans="1:6" ht="17.25" thickBot="1">
      <c r="A51" s="29" t="s">
        <v>1932</v>
      </c>
      <c r="B51" s="28" t="s">
        <v>1927</v>
      </c>
      <c r="C51" s="28" t="s">
        <v>1738</v>
      </c>
      <c r="D51" s="28"/>
      <c r="E51" s="22" t="str">
        <f t="shared" si="0"/>
        <v>022200:애니영화_미스터리_</v>
      </c>
    </row>
    <row r="52" spans="1:6" ht="17.25" thickBot="1">
      <c r="A52" s="29" t="s">
        <v>1931</v>
      </c>
      <c r="B52" s="28" t="s">
        <v>1927</v>
      </c>
      <c r="C52" s="28" t="s">
        <v>1815</v>
      </c>
      <c r="D52" s="28"/>
      <c r="E52" s="22" t="str">
        <f t="shared" si="0"/>
        <v>022300:애니영화_뮤지컬_</v>
      </c>
    </row>
    <row r="53" spans="1:6" ht="17.25" thickBot="1">
      <c r="A53" s="29" t="s">
        <v>1930</v>
      </c>
      <c r="B53" s="28" t="s">
        <v>1927</v>
      </c>
      <c r="C53" s="28" t="s">
        <v>1813</v>
      </c>
      <c r="D53" s="28"/>
      <c r="E53" s="22" t="str">
        <f t="shared" si="0"/>
        <v>022400:애니영화_서부_</v>
      </c>
    </row>
    <row r="54" spans="1:6" ht="17.25" thickBot="1">
      <c r="A54" s="29" t="s">
        <v>1929</v>
      </c>
      <c r="B54" s="28" t="s">
        <v>1927</v>
      </c>
      <c r="C54" s="28" t="s">
        <v>1659</v>
      </c>
      <c r="D54" s="28"/>
      <c r="E54" s="22" t="str">
        <f t="shared" si="0"/>
        <v>022500:애니영화_성인_</v>
      </c>
    </row>
    <row r="55" spans="1:6" ht="17.25" thickBot="1">
      <c r="A55" s="29" t="s">
        <v>1928</v>
      </c>
      <c r="B55" s="28" t="s">
        <v>1927</v>
      </c>
      <c r="C55" s="28" t="s">
        <v>1926</v>
      </c>
      <c r="D55" s="28"/>
      <c r="E55" s="22" t="str">
        <f t="shared" si="0"/>
        <v>022600:애니영화_단편_</v>
      </c>
    </row>
    <row r="56" spans="1:6" ht="17.25" thickBot="1">
      <c r="A56" s="34" t="s">
        <v>1925</v>
      </c>
      <c r="B56" s="33" t="s">
        <v>1886</v>
      </c>
      <c r="C56" s="33"/>
      <c r="D56" s="33"/>
      <c r="E56" s="22" t="str">
        <f t="shared" si="0"/>
        <v>030000:TV시리즈__</v>
      </c>
      <c r="F56" s="45"/>
    </row>
    <row r="57" spans="1:6" ht="17.25" thickBot="1">
      <c r="A57" s="29" t="s">
        <v>1924</v>
      </c>
      <c r="B57" s="28" t="s">
        <v>1886</v>
      </c>
      <c r="C57" s="28" t="s">
        <v>1883</v>
      </c>
      <c r="D57" s="28"/>
      <c r="E57" s="22" t="str">
        <f t="shared" si="0"/>
        <v>030100:TV시리즈_액션_</v>
      </c>
    </row>
    <row r="58" spans="1:6" ht="17.25" thickBot="1">
      <c r="A58" s="29" t="s">
        <v>1923</v>
      </c>
      <c r="B58" s="28" t="s">
        <v>1886</v>
      </c>
      <c r="C58" s="28" t="s">
        <v>1881</v>
      </c>
      <c r="D58" s="28"/>
      <c r="E58" s="22" t="str">
        <f t="shared" si="0"/>
        <v>030200:TV시리즈_SF_</v>
      </c>
    </row>
    <row r="59" spans="1:6" ht="17.25" thickBot="1">
      <c r="A59" s="29" t="s">
        <v>1922</v>
      </c>
      <c r="B59" s="28" t="s">
        <v>1886</v>
      </c>
      <c r="C59" s="28" t="s">
        <v>1879</v>
      </c>
      <c r="D59" s="28"/>
      <c r="E59" s="22" t="str">
        <f t="shared" si="0"/>
        <v>030300:TV시리즈_판타지_</v>
      </c>
    </row>
    <row r="60" spans="1:6" ht="17.25" thickBot="1">
      <c r="A60" s="29" t="s">
        <v>1921</v>
      </c>
      <c r="B60" s="28" t="s">
        <v>1886</v>
      </c>
      <c r="C60" s="28" t="s">
        <v>1877</v>
      </c>
      <c r="D60" s="28"/>
      <c r="E60" s="22" t="str">
        <f t="shared" si="0"/>
        <v>030400:TV시리즈_휴먼/가족_</v>
      </c>
    </row>
    <row r="61" spans="1:6" ht="17.25" thickBot="1">
      <c r="A61" s="29" t="s">
        <v>1920</v>
      </c>
      <c r="B61" s="28" t="s">
        <v>1886</v>
      </c>
      <c r="C61" s="28" t="s">
        <v>1875</v>
      </c>
      <c r="D61" s="28"/>
      <c r="E61" s="22" t="str">
        <f t="shared" si="0"/>
        <v>030500:TV시리즈_드라마_</v>
      </c>
    </row>
    <row r="62" spans="1:6" ht="17.25" thickBot="1">
      <c r="A62" s="29" t="s">
        <v>1919</v>
      </c>
      <c r="B62" s="28" t="s">
        <v>1886</v>
      </c>
      <c r="C62" s="28" t="s">
        <v>1873</v>
      </c>
      <c r="D62" s="28"/>
      <c r="E62" s="22" t="str">
        <f t="shared" si="0"/>
        <v>030600:TV시리즈_로맨스_</v>
      </c>
    </row>
    <row r="63" spans="1:6" ht="17.25" thickBot="1">
      <c r="A63" s="29" t="s">
        <v>1918</v>
      </c>
      <c r="B63" s="28" t="s">
        <v>1886</v>
      </c>
      <c r="C63" s="28" t="s">
        <v>1871</v>
      </c>
      <c r="D63" s="28"/>
      <c r="E63" s="22" t="str">
        <f t="shared" si="0"/>
        <v>030700:TV시리즈_코미디_</v>
      </c>
    </row>
    <row r="64" spans="1:6" ht="17.25" thickBot="1">
      <c r="A64" s="29" t="s">
        <v>1917</v>
      </c>
      <c r="B64" s="28" t="s">
        <v>1886</v>
      </c>
      <c r="C64" s="28" t="s">
        <v>1869</v>
      </c>
      <c r="D64" s="28"/>
      <c r="E64" s="22" t="str">
        <f t="shared" si="0"/>
        <v>030800:TV시리즈_공포/스릴러_</v>
      </c>
    </row>
    <row r="65" spans="1:6" ht="17.25" thickBot="1">
      <c r="A65" s="29" t="s">
        <v>1916</v>
      </c>
      <c r="B65" s="28" t="s">
        <v>1886</v>
      </c>
      <c r="C65" s="28" t="s">
        <v>1867</v>
      </c>
      <c r="D65" s="28"/>
      <c r="E65" s="22" t="str">
        <f t="shared" si="0"/>
        <v>030900:TV시리즈_무협_</v>
      </c>
    </row>
    <row r="66" spans="1:6" ht="17.25" thickBot="1">
      <c r="A66" s="29" t="s">
        <v>1915</v>
      </c>
      <c r="B66" s="28" t="s">
        <v>1886</v>
      </c>
      <c r="C66" s="28" t="s">
        <v>1865</v>
      </c>
      <c r="D66" s="28"/>
      <c r="E66" s="22" t="str">
        <f t="shared" ref="E66:E129" si="1">CONCATENATE(A66, ":", B66, "_", C66, "_", D66)</f>
        <v>031000:TV시리즈_범죄/추리_</v>
      </c>
    </row>
    <row r="67" spans="1:6" ht="17.25" thickBot="1">
      <c r="A67" s="29" t="s">
        <v>1914</v>
      </c>
      <c r="B67" s="28" t="s">
        <v>1886</v>
      </c>
      <c r="C67" s="28" t="s">
        <v>1863</v>
      </c>
      <c r="D67" s="28"/>
      <c r="E67" s="22" t="str">
        <f t="shared" si="1"/>
        <v>031100:TV시리즈_사극_</v>
      </c>
    </row>
    <row r="68" spans="1:6" ht="17.25" thickBot="1">
      <c r="A68" s="29" t="s">
        <v>1913</v>
      </c>
      <c r="B68" s="28" t="s">
        <v>1886</v>
      </c>
      <c r="C68" s="28" t="s">
        <v>1861</v>
      </c>
      <c r="D68" s="28"/>
      <c r="E68" s="22" t="str">
        <f t="shared" si="1"/>
        <v>031200:TV시리즈_역사_</v>
      </c>
    </row>
    <row r="69" spans="1:6" ht="17.25" thickBot="1">
      <c r="A69" s="29" t="s">
        <v>1912</v>
      </c>
      <c r="B69" s="28" t="s">
        <v>1886</v>
      </c>
      <c r="C69" s="28" t="s">
        <v>1859</v>
      </c>
      <c r="D69" s="28"/>
      <c r="E69" s="22" t="str">
        <f t="shared" si="1"/>
        <v>031300:TV시리즈_모험_</v>
      </c>
    </row>
    <row r="70" spans="1:6" ht="17.25" thickBot="1">
      <c r="A70" s="29" t="s">
        <v>1911</v>
      </c>
      <c r="B70" s="28" t="s">
        <v>1886</v>
      </c>
      <c r="C70" s="28" t="s">
        <v>1857</v>
      </c>
      <c r="D70" s="28"/>
      <c r="E70" s="22" t="str">
        <f t="shared" si="1"/>
        <v>031400:TV시리즈_다큐_</v>
      </c>
    </row>
    <row r="71" spans="1:6" ht="17.25" thickBot="1">
      <c r="A71" s="29" t="s">
        <v>1910</v>
      </c>
      <c r="B71" s="28" t="s">
        <v>1886</v>
      </c>
      <c r="C71" s="28" t="s">
        <v>1855</v>
      </c>
      <c r="D71" s="28"/>
      <c r="E71" s="22" t="str">
        <f t="shared" si="1"/>
        <v>031500:TV시리즈_학원/순정_</v>
      </c>
    </row>
    <row r="72" spans="1:6" ht="17.25" thickBot="1">
      <c r="A72" s="29" t="s">
        <v>1909</v>
      </c>
      <c r="B72" s="28" t="s">
        <v>1886</v>
      </c>
      <c r="C72" s="28" t="s">
        <v>1829</v>
      </c>
      <c r="D72" s="28"/>
      <c r="E72" s="22" t="str">
        <f t="shared" si="1"/>
        <v>031600:TV시리즈_유아/어린이_</v>
      </c>
      <c r="F72" s="44"/>
    </row>
    <row r="73" spans="1:6" ht="17.25" thickBot="1">
      <c r="A73" s="36" t="s">
        <v>1908</v>
      </c>
      <c r="B73" s="35" t="s">
        <v>1886</v>
      </c>
      <c r="C73" s="35" t="s">
        <v>1829</v>
      </c>
      <c r="D73" s="35" t="s">
        <v>1852</v>
      </c>
      <c r="E73" s="22" t="str">
        <f t="shared" si="1"/>
        <v>031601:TV시리즈_유아/어린이_동요</v>
      </c>
    </row>
    <row r="74" spans="1:6" ht="17.25" thickBot="1">
      <c r="A74" s="36" t="s">
        <v>1907</v>
      </c>
      <c r="B74" s="35" t="s">
        <v>1886</v>
      </c>
      <c r="C74" s="35" t="s">
        <v>1829</v>
      </c>
      <c r="D74" s="35" t="s">
        <v>1850</v>
      </c>
      <c r="E74" s="22" t="str">
        <f t="shared" si="1"/>
        <v>031602:TV시리즈_유아/어린이_동화</v>
      </c>
    </row>
    <row r="75" spans="1:6" ht="17.25" thickBot="1">
      <c r="A75" s="36" t="s">
        <v>1906</v>
      </c>
      <c r="B75" s="35" t="s">
        <v>1886</v>
      </c>
      <c r="C75" s="35" t="s">
        <v>1829</v>
      </c>
      <c r="D75" s="35" t="s">
        <v>1848</v>
      </c>
      <c r="E75" s="22" t="str">
        <f t="shared" si="1"/>
        <v>031603:TV시리즈_유아/어린이_한글/한자</v>
      </c>
    </row>
    <row r="76" spans="1:6" ht="17.25" thickBot="1">
      <c r="A76" s="36" t="s">
        <v>1905</v>
      </c>
      <c r="B76" s="35" t="s">
        <v>1886</v>
      </c>
      <c r="C76" s="35" t="s">
        <v>1829</v>
      </c>
      <c r="D76" s="35" t="s">
        <v>1846</v>
      </c>
      <c r="E76" s="22" t="str">
        <f t="shared" si="1"/>
        <v>031604:TV시리즈_유아/어린이_외국어학습</v>
      </c>
    </row>
    <row r="77" spans="1:6" ht="17.25" thickBot="1">
      <c r="A77" s="36" t="s">
        <v>1904</v>
      </c>
      <c r="B77" s="35" t="s">
        <v>1886</v>
      </c>
      <c r="C77" s="35" t="s">
        <v>1829</v>
      </c>
      <c r="D77" s="35" t="s">
        <v>1844</v>
      </c>
      <c r="E77" s="22" t="str">
        <f t="shared" si="1"/>
        <v>031605:TV시리즈_유아/어린이_과학/수학학습</v>
      </c>
    </row>
    <row r="78" spans="1:6" ht="17.25" thickBot="1">
      <c r="A78" s="36" t="s">
        <v>1903</v>
      </c>
      <c r="B78" s="35" t="s">
        <v>1886</v>
      </c>
      <c r="C78" s="35" t="s">
        <v>1829</v>
      </c>
      <c r="D78" s="35" t="s">
        <v>1842</v>
      </c>
      <c r="E78" s="22" t="str">
        <f t="shared" si="1"/>
        <v>031606:TV시리즈_유아/어린이_음악학습</v>
      </c>
    </row>
    <row r="79" spans="1:6" ht="17.25" thickBot="1">
      <c r="A79" s="36" t="s">
        <v>1902</v>
      </c>
      <c r="B79" s="35" t="s">
        <v>1886</v>
      </c>
      <c r="C79" s="35" t="s">
        <v>1829</v>
      </c>
      <c r="D79" s="35" t="s">
        <v>1840</v>
      </c>
      <c r="E79" s="22" t="str">
        <f t="shared" si="1"/>
        <v>031607:TV시리즈_유아/어린이_미술학습</v>
      </c>
    </row>
    <row r="80" spans="1:6" ht="17.25" thickBot="1">
      <c r="A80" s="36" t="s">
        <v>1901</v>
      </c>
      <c r="B80" s="35" t="s">
        <v>1886</v>
      </c>
      <c r="C80" s="35" t="s">
        <v>1829</v>
      </c>
      <c r="D80" s="35" t="s">
        <v>1838</v>
      </c>
      <c r="E80" s="22" t="str">
        <f t="shared" si="1"/>
        <v>031608:TV시리즈_유아/어린이_신체놀이</v>
      </c>
    </row>
    <row r="81" spans="1:5" ht="17.25" thickBot="1">
      <c r="A81" s="36" t="s">
        <v>1900</v>
      </c>
      <c r="B81" s="35" t="s">
        <v>1886</v>
      </c>
      <c r="C81" s="35" t="s">
        <v>1829</v>
      </c>
      <c r="D81" s="35" t="s">
        <v>1836</v>
      </c>
      <c r="E81" s="22" t="str">
        <f t="shared" si="1"/>
        <v>031609:TV시리즈_유아/어린이_창의/인지</v>
      </c>
    </row>
    <row r="82" spans="1:5" ht="17.25" thickBot="1">
      <c r="A82" s="36" t="s">
        <v>1899</v>
      </c>
      <c r="B82" s="35" t="s">
        <v>1886</v>
      </c>
      <c r="C82" s="35" t="s">
        <v>1829</v>
      </c>
      <c r="D82" s="35" t="s">
        <v>1834</v>
      </c>
      <c r="E82" s="22" t="str">
        <f t="shared" si="1"/>
        <v>031610:TV시리즈_유아/어린이_기초생활학습</v>
      </c>
    </row>
    <row r="83" spans="1:5" ht="17.25" thickBot="1">
      <c r="A83" s="36" t="s">
        <v>1898</v>
      </c>
      <c r="B83" s="35" t="s">
        <v>1886</v>
      </c>
      <c r="C83" s="35" t="s">
        <v>1829</v>
      </c>
      <c r="D83" s="35" t="s">
        <v>1650</v>
      </c>
      <c r="E83" s="22" t="str">
        <f t="shared" si="1"/>
        <v>031611:TV시리즈_유아/어린이_기타</v>
      </c>
    </row>
    <row r="84" spans="1:5" ht="17.25" thickBot="1">
      <c r="A84" s="36" t="s">
        <v>1897</v>
      </c>
      <c r="B84" s="35" t="s">
        <v>1886</v>
      </c>
      <c r="C84" s="35" t="s">
        <v>1829</v>
      </c>
      <c r="D84" s="35" t="s">
        <v>1831</v>
      </c>
      <c r="E84" s="22" t="str">
        <f t="shared" si="1"/>
        <v>031612:TV시리즈_유아/어린이_자연/동물</v>
      </c>
    </row>
    <row r="85" spans="1:5" ht="17.25" thickBot="1">
      <c r="A85" s="36" t="s">
        <v>1896</v>
      </c>
      <c r="B85" s="35" t="s">
        <v>1886</v>
      </c>
      <c r="C85" s="35" t="s">
        <v>1829</v>
      </c>
      <c r="D85" s="35" t="s">
        <v>1828</v>
      </c>
      <c r="E85" s="22" t="str">
        <f t="shared" si="1"/>
        <v>031613:TV시리즈_유아/어린이_사회/정서</v>
      </c>
    </row>
    <row r="86" spans="1:5" ht="17.25" thickBot="1">
      <c r="A86" s="29" t="s">
        <v>1895</v>
      </c>
      <c r="B86" s="35" t="s">
        <v>1886</v>
      </c>
      <c r="C86" s="28" t="s">
        <v>1826</v>
      </c>
      <c r="D86" s="28"/>
      <c r="E86" s="22" t="str">
        <f t="shared" si="1"/>
        <v>031700:TV시리즈_전쟁_</v>
      </c>
    </row>
    <row r="87" spans="1:5" ht="17.25" thickBot="1">
      <c r="A87" s="29" t="s">
        <v>1894</v>
      </c>
      <c r="B87" s="35" t="s">
        <v>1886</v>
      </c>
      <c r="C87" s="28" t="s">
        <v>1824</v>
      </c>
      <c r="D87" s="28"/>
      <c r="E87" s="22" t="str">
        <f t="shared" si="1"/>
        <v>031800:TV시리즈_메디컬_</v>
      </c>
    </row>
    <row r="88" spans="1:5" ht="17.25" thickBot="1">
      <c r="A88" s="29" t="s">
        <v>1893</v>
      </c>
      <c r="B88" s="35" t="s">
        <v>1886</v>
      </c>
      <c r="C88" s="28" t="s">
        <v>1822</v>
      </c>
      <c r="D88" s="28"/>
      <c r="E88" s="22" t="str">
        <f t="shared" si="1"/>
        <v>031900:TV시리즈_교육_</v>
      </c>
    </row>
    <row r="89" spans="1:5" ht="17.25" thickBot="1">
      <c r="A89" s="29" t="s">
        <v>1892</v>
      </c>
      <c r="B89" s="35" t="s">
        <v>1886</v>
      </c>
      <c r="C89" s="28" t="s">
        <v>1820</v>
      </c>
      <c r="D89" s="28"/>
      <c r="E89" s="22" t="str">
        <f t="shared" si="1"/>
        <v>032000:TV시리즈_교양_</v>
      </c>
    </row>
    <row r="90" spans="1:5" ht="17.25" thickBot="1">
      <c r="A90" s="29" t="s">
        <v>1891</v>
      </c>
      <c r="B90" s="35" t="s">
        <v>1886</v>
      </c>
      <c r="C90" s="28" t="s">
        <v>1818</v>
      </c>
      <c r="D90" s="28"/>
      <c r="E90" s="22" t="str">
        <f t="shared" si="1"/>
        <v>032100:TV시리즈_스포츠_</v>
      </c>
    </row>
    <row r="91" spans="1:5" ht="17.25" thickBot="1">
      <c r="A91" s="29" t="s">
        <v>1890</v>
      </c>
      <c r="B91" s="35" t="s">
        <v>1886</v>
      </c>
      <c r="C91" s="28" t="s">
        <v>1738</v>
      </c>
      <c r="D91" s="28"/>
      <c r="E91" s="22" t="str">
        <f t="shared" si="1"/>
        <v>032200:TV시리즈_미스터리_</v>
      </c>
    </row>
    <row r="92" spans="1:5" ht="17.25" thickBot="1">
      <c r="A92" s="29" t="s">
        <v>1889</v>
      </c>
      <c r="B92" s="35" t="s">
        <v>1886</v>
      </c>
      <c r="C92" s="28" t="s">
        <v>1815</v>
      </c>
      <c r="D92" s="28"/>
      <c r="E92" s="22" t="str">
        <f t="shared" si="1"/>
        <v>032300:TV시리즈_뮤지컬_</v>
      </c>
    </row>
    <row r="93" spans="1:5" ht="17.25" thickBot="1">
      <c r="A93" s="29" t="s">
        <v>1888</v>
      </c>
      <c r="B93" s="35" t="s">
        <v>1886</v>
      </c>
      <c r="C93" s="28" t="s">
        <v>1813</v>
      </c>
      <c r="D93" s="28"/>
      <c r="E93" s="22" t="str">
        <f t="shared" si="1"/>
        <v>032400:TV시리즈_서부_</v>
      </c>
    </row>
    <row r="94" spans="1:5" ht="17.25" thickBot="1">
      <c r="A94" s="29" t="s">
        <v>1887</v>
      </c>
      <c r="B94" s="35" t="s">
        <v>1886</v>
      </c>
      <c r="C94" s="28" t="s">
        <v>1659</v>
      </c>
      <c r="D94" s="28"/>
      <c r="E94" s="22" t="str">
        <f t="shared" si="1"/>
        <v>032500:TV시리즈_성인_</v>
      </c>
    </row>
    <row r="95" spans="1:5" ht="17.25" thickBot="1">
      <c r="A95" s="34" t="s">
        <v>1885</v>
      </c>
      <c r="B95" s="33" t="s">
        <v>1811</v>
      </c>
      <c r="C95" s="33"/>
      <c r="D95" s="33"/>
      <c r="E95" s="22" t="str">
        <f t="shared" si="1"/>
        <v>040000:애니시리즈__</v>
      </c>
    </row>
    <row r="96" spans="1:5" ht="17.25" thickBot="1">
      <c r="A96" s="29" t="s">
        <v>1884</v>
      </c>
      <c r="B96" s="28" t="s">
        <v>1811</v>
      </c>
      <c r="C96" s="28" t="s">
        <v>1883</v>
      </c>
      <c r="D96" s="28"/>
      <c r="E96" s="22" t="str">
        <f t="shared" si="1"/>
        <v>040100:애니시리즈_액션_</v>
      </c>
    </row>
    <row r="97" spans="1:6" ht="17.25" thickBot="1">
      <c r="A97" s="29" t="s">
        <v>1882</v>
      </c>
      <c r="B97" s="28" t="s">
        <v>1811</v>
      </c>
      <c r="C97" s="28" t="s">
        <v>1881</v>
      </c>
      <c r="D97" s="28"/>
      <c r="E97" s="22" t="str">
        <f t="shared" si="1"/>
        <v>040200:애니시리즈_SF_</v>
      </c>
    </row>
    <row r="98" spans="1:6" ht="17.25" thickBot="1">
      <c r="A98" s="29" t="s">
        <v>1880</v>
      </c>
      <c r="B98" s="28" t="s">
        <v>1811</v>
      </c>
      <c r="C98" s="28" t="s">
        <v>1879</v>
      </c>
      <c r="D98" s="28"/>
      <c r="E98" s="22" t="str">
        <f t="shared" si="1"/>
        <v>040300:애니시리즈_판타지_</v>
      </c>
    </row>
    <row r="99" spans="1:6" ht="17.25" thickBot="1">
      <c r="A99" s="29" t="s">
        <v>1878</v>
      </c>
      <c r="B99" s="28" t="s">
        <v>1811</v>
      </c>
      <c r="C99" s="28" t="s">
        <v>1877</v>
      </c>
      <c r="D99" s="28"/>
      <c r="E99" s="22" t="str">
        <f t="shared" si="1"/>
        <v>040400:애니시리즈_휴먼/가족_</v>
      </c>
    </row>
    <row r="100" spans="1:6" ht="17.25" thickBot="1">
      <c r="A100" s="29" t="s">
        <v>1876</v>
      </c>
      <c r="B100" s="28" t="s">
        <v>1811</v>
      </c>
      <c r="C100" s="28" t="s">
        <v>1875</v>
      </c>
      <c r="D100" s="28"/>
      <c r="E100" s="22" t="str">
        <f t="shared" si="1"/>
        <v>040500:애니시리즈_드라마_</v>
      </c>
    </row>
    <row r="101" spans="1:6" ht="17.25" thickBot="1">
      <c r="A101" s="29" t="s">
        <v>1874</v>
      </c>
      <c r="B101" s="28" t="s">
        <v>1811</v>
      </c>
      <c r="C101" s="28" t="s">
        <v>1873</v>
      </c>
      <c r="D101" s="28"/>
      <c r="E101" s="22" t="str">
        <f t="shared" si="1"/>
        <v>040600:애니시리즈_로맨스_</v>
      </c>
    </row>
    <row r="102" spans="1:6" ht="17.25" thickBot="1">
      <c r="A102" s="29" t="s">
        <v>1872</v>
      </c>
      <c r="B102" s="28" t="s">
        <v>1811</v>
      </c>
      <c r="C102" s="28" t="s">
        <v>1871</v>
      </c>
      <c r="D102" s="28"/>
      <c r="E102" s="22" t="str">
        <f t="shared" si="1"/>
        <v>040700:애니시리즈_코미디_</v>
      </c>
    </row>
    <row r="103" spans="1:6" ht="17.25" thickBot="1">
      <c r="A103" s="29" t="s">
        <v>1870</v>
      </c>
      <c r="B103" s="28" t="s">
        <v>1811</v>
      </c>
      <c r="C103" s="28" t="s">
        <v>1869</v>
      </c>
      <c r="D103" s="28"/>
      <c r="E103" s="22" t="str">
        <f t="shared" si="1"/>
        <v>040800:애니시리즈_공포/스릴러_</v>
      </c>
    </row>
    <row r="104" spans="1:6" ht="17.25" thickBot="1">
      <c r="A104" s="29" t="s">
        <v>1868</v>
      </c>
      <c r="B104" s="28" t="s">
        <v>1811</v>
      </c>
      <c r="C104" s="28" t="s">
        <v>1867</v>
      </c>
      <c r="D104" s="28"/>
      <c r="E104" s="22" t="str">
        <f t="shared" si="1"/>
        <v>040900:애니시리즈_무협_</v>
      </c>
    </row>
    <row r="105" spans="1:6" ht="17.25" thickBot="1">
      <c r="A105" s="29" t="s">
        <v>1866</v>
      </c>
      <c r="B105" s="28" t="s">
        <v>1811</v>
      </c>
      <c r="C105" s="28" t="s">
        <v>1865</v>
      </c>
      <c r="D105" s="28"/>
      <c r="E105" s="22" t="str">
        <f t="shared" si="1"/>
        <v>041000:애니시리즈_범죄/추리_</v>
      </c>
    </row>
    <row r="106" spans="1:6" ht="17.25" thickBot="1">
      <c r="A106" s="29" t="s">
        <v>1864</v>
      </c>
      <c r="B106" s="28" t="s">
        <v>1811</v>
      </c>
      <c r="C106" s="28" t="s">
        <v>1863</v>
      </c>
      <c r="D106" s="28"/>
      <c r="E106" s="22" t="str">
        <f t="shared" si="1"/>
        <v>041100:애니시리즈_사극_</v>
      </c>
    </row>
    <row r="107" spans="1:6" ht="17.25" thickBot="1">
      <c r="A107" s="29" t="s">
        <v>1862</v>
      </c>
      <c r="B107" s="28" t="s">
        <v>1811</v>
      </c>
      <c r="C107" s="28" t="s">
        <v>1861</v>
      </c>
      <c r="D107" s="28"/>
      <c r="E107" s="22" t="str">
        <f t="shared" si="1"/>
        <v>041200:애니시리즈_역사_</v>
      </c>
    </row>
    <row r="108" spans="1:6" ht="17.25" thickBot="1">
      <c r="A108" s="29" t="s">
        <v>1860</v>
      </c>
      <c r="B108" s="28" t="s">
        <v>1811</v>
      </c>
      <c r="C108" s="28" t="s">
        <v>1859</v>
      </c>
      <c r="D108" s="28"/>
      <c r="E108" s="22" t="str">
        <f t="shared" si="1"/>
        <v>041300:애니시리즈_모험_</v>
      </c>
    </row>
    <row r="109" spans="1:6" ht="17.25" thickBot="1">
      <c r="A109" s="29" t="s">
        <v>1858</v>
      </c>
      <c r="B109" s="28" t="s">
        <v>1811</v>
      </c>
      <c r="C109" s="28" t="s">
        <v>1857</v>
      </c>
      <c r="D109" s="28"/>
      <c r="E109" s="22" t="str">
        <f t="shared" si="1"/>
        <v>041400:애니시리즈_다큐_</v>
      </c>
    </row>
    <row r="110" spans="1:6" ht="17.25" thickBot="1">
      <c r="A110" s="29" t="s">
        <v>1856</v>
      </c>
      <c r="B110" s="28" t="s">
        <v>1811</v>
      </c>
      <c r="C110" s="28" t="s">
        <v>1855</v>
      </c>
      <c r="D110" s="28"/>
      <c r="E110" s="22" t="str">
        <f t="shared" si="1"/>
        <v>041500:애니시리즈_학원/순정_</v>
      </c>
    </row>
    <row r="111" spans="1:6" ht="17.25" thickBot="1">
      <c r="A111" s="29" t="s">
        <v>1854</v>
      </c>
      <c r="B111" s="28" t="s">
        <v>1811</v>
      </c>
      <c r="C111" s="28" t="s">
        <v>1829</v>
      </c>
      <c r="D111" s="28"/>
      <c r="E111" s="22" t="str">
        <f t="shared" si="1"/>
        <v>041600:애니시리즈_유아/어린이_</v>
      </c>
      <c r="F111" s="44"/>
    </row>
    <row r="112" spans="1:6" ht="17.25" thickBot="1">
      <c r="A112" s="36" t="s">
        <v>1853</v>
      </c>
      <c r="B112" s="35" t="s">
        <v>1811</v>
      </c>
      <c r="C112" s="35" t="s">
        <v>1829</v>
      </c>
      <c r="D112" s="35" t="s">
        <v>1852</v>
      </c>
      <c r="E112" s="22" t="str">
        <f t="shared" si="1"/>
        <v>041601:애니시리즈_유아/어린이_동요</v>
      </c>
    </row>
    <row r="113" spans="1:5" ht="17.25" thickBot="1">
      <c r="A113" s="36" t="s">
        <v>1851</v>
      </c>
      <c r="B113" s="35" t="s">
        <v>1811</v>
      </c>
      <c r="C113" s="35" t="s">
        <v>1829</v>
      </c>
      <c r="D113" s="35" t="s">
        <v>1850</v>
      </c>
      <c r="E113" s="22" t="str">
        <f t="shared" si="1"/>
        <v>041602:애니시리즈_유아/어린이_동화</v>
      </c>
    </row>
    <row r="114" spans="1:5" ht="17.25" thickBot="1">
      <c r="A114" s="36" t="s">
        <v>1849</v>
      </c>
      <c r="B114" s="35" t="s">
        <v>1811</v>
      </c>
      <c r="C114" s="35" t="s">
        <v>1829</v>
      </c>
      <c r="D114" s="35" t="s">
        <v>1848</v>
      </c>
      <c r="E114" s="22" t="str">
        <f t="shared" si="1"/>
        <v>041603:애니시리즈_유아/어린이_한글/한자</v>
      </c>
    </row>
    <row r="115" spans="1:5" ht="17.25" thickBot="1">
      <c r="A115" s="36" t="s">
        <v>1847</v>
      </c>
      <c r="B115" s="35" t="s">
        <v>1811</v>
      </c>
      <c r="C115" s="35" t="s">
        <v>1829</v>
      </c>
      <c r="D115" s="35" t="s">
        <v>1846</v>
      </c>
      <c r="E115" s="22" t="str">
        <f t="shared" si="1"/>
        <v>041604:애니시리즈_유아/어린이_외국어학습</v>
      </c>
    </row>
    <row r="116" spans="1:5" ht="17.25" thickBot="1">
      <c r="A116" s="36" t="s">
        <v>1845</v>
      </c>
      <c r="B116" s="35" t="s">
        <v>1811</v>
      </c>
      <c r="C116" s="35" t="s">
        <v>1829</v>
      </c>
      <c r="D116" s="35" t="s">
        <v>1844</v>
      </c>
      <c r="E116" s="22" t="str">
        <f t="shared" si="1"/>
        <v>041605:애니시리즈_유아/어린이_과학/수학학습</v>
      </c>
    </row>
    <row r="117" spans="1:5" ht="17.25" thickBot="1">
      <c r="A117" s="36" t="s">
        <v>1843</v>
      </c>
      <c r="B117" s="35" t="s">
        <v>1811</v>
      </c>
      <c r="C117" s="35" t="s">
        <v>1829</v>
      </c>
      <c r="D117" s="35" t="s">
        <v>1842</v>
      </c>
      <c r="E117" s="22" t="str">
        <f t="shared" si="1"/>
        <v>041606:애니시리즈_유아/어린이_음악학습</v>
      </c>
    </row>
    <row r="118" spans="1:5" ht="17.25" thickBot="1">
      <c r="A118" s="36" t="s">
        <v>1841</v>
      </c>
      <c r="B118" s="35" t="s">
        <v>1811</v>
      </c>
      <c r="C118" s="35" t="s">
        <v>1829</v>
      </c>
      <c r="D118" s="35" t="s">
        <v>1840</v>
      </c>
      <c r="E118" s="22" t="str">
        <f t="shared" si="1"/>
        <v>041607:애니시리즈_유아/어린이_미술학습</v>
      </c>
    </row>
    <row r="119" spans="1:5" ht="17.25" thickBot="1">
      <c r="A119" s="36" t="s">
        <v>1839</v>
      </c>
      <c r="B119" s="35" t="s">
        <v>1811</v>
      </c>
      <c r="C119" s="35" t="s">
        <v>1829</v>
      </c>
      <c r="D119" s="35" t="s">
        <v>1838</v>
      </c>
      <c r="E119" s="22" t="str">
        <f t="shared" si="1"/>
        <v>041608:애니시리즈_유아/어린이_신체놀이</v>
      </c>
    </row>
    <row r="120" spans="1:5" ht="17.25" thickBot="1">
      <c r="A120" s="36" t="s">
        <v>1837</v>
      </c>
      <c r="B120" s="35" t="s">
        <v>1811</v>
      </c>
      <c r="C120" s="35" t="s">
        <v>1829</v>
      </c>
      <c r="D120" s="35" t="s">
        <v>1836</v>
      </c>
      <c r="E120" s="22" t="str">
        <f t="shared" si="1"/>
        <v>041609:애니시리즈_유아/어린이_창의/인지</v>
      </c>
    </row>
    <row r="121" spans="1:5" ht="17.25" thickBot="1">
      <c r="A121" s="36" t="s">
        <v>1835</v>
      </c>
      <c r="B121" s="35" t="s">
        <v>1811</v>
      </c>
      <c r="C121" s="35" t="s">
        <v>1829</v>
      </c>
      <c r="D121" s="35" t="s">
        <v>1834</v>
      </c>
      <c r="E121" s="22" t="str">
        <f t="shared" si="1"/>
        <v>041610:애니시리즈_유아/어린이_기초생활학습</v>
      </c>
    </row>
    <row r="122" spans="1:5" ht="17.25" thickBot="1">
      <c r="A122" s="36" t="s">
        <v>1833</v>
      </c>
      <c r="B122" s="35" t="s">
        <v>1811</v>
      </c>
      <c r="C122" s="35" t="s">
        <v>1829</v>
      </c>
      <c r="D122" s="35" t="s">
        <v>1650</v>
      </c>
      <c r="E122" s="22" t="str">
        <f t="shared" si="1"/>
        <v>041611:애니시리즈_유아/어린이_기타</v>
      </c>
    </row>
    <row r="123" spans="1:5" ht="17.25" thickBot="1">
      <c r="A123" s="36" t="s">
        <v>1832</v>
      </c>
      <c r="B123" s="35" t="s">
        <v>1811</v>
      </c>
      <c r="C123" s="35" t="s">
        <v>1829</v>
      </c>
      <c r="D123" s="35" t="s">
        <v>1831</v>
      </c>
      <c r="E123" s="22" t="str">
        <f t="shared" si="1"/>
        <v>041612:애니시리즈_유아/어린이_자연/동물</v>
      </c>
    </row>
    <row r="124" spans="1:5" ht="17.25" thickBot="1">
      <c r="A124" s="36" t="s">
        <v>1830</v>
      </c>
      <c r="B124" s="35" t="s">
        <v>1811</v>
      </c>
      <c r="C124" s="35" t="s">
        <v>1829</v>
      </c>
      <c r="D124" s="35" t="s">
        <v>1828</v>
      </c>
      <c r="E124" s="22" t="str">
        <f t="shared" si="1"/>
        <v>041613:애니시리즈_유아/어린이_사회/정서</v>
      </c>
    </row>
    <row r="125" spans="1:5" ht="17.25" thickBot="1">
      <c r="A125" s="29" t="s">
        <v>1827</v>
      </c>
      <c r="B125" s="35" t="s">
        <v>1811</v>
      </c>
      <c r="C125" s="28" t="s">
        <v>1826</v>
      </c>
      <c r="D125" s="28"/>
      <c r="E125" s="22" t="str">
        <f t="shared" si="1"/>
        <v>041700:애니시리즈_전쟁_</v>
      </c>
    </row>
    <row r="126" spans="1:5" ht="17.25" thickBot="1">
      <c r="A126" s="29" t="s">
        <v>1825</v>
      </c>
      <c r="B126" s="35" t="s">
        <v>1811</v>
      </c>
      <c r="C126" s="28" t="s">
        <v>1824</v>
      </c>
      <c r="D126" s="28"/>
      <c r="E126" s="22" t="str">
        <f t="shared" si="1"/>
        <v>041800:애니시리즈_메디컬_</v>
      </c>
    </row>
    <row r="127" spans="1:5" ht="17.25" thickBot="1">
      <c r="A127" s="29" t="s">
        <v>1823</v>
      </c>
      <c r="B127" s="35" t="s">
        <v>1811</v>
      </c>
      <c r="C127" s="28" t="s">
        <v>1822</v>
      </c>
      <c r="D127" s="28"/>
      <c r="E127" s="22" t="str">
        <f t="shared" si="1"/>
        <v>041900:애니시리즈_교육_</v>
      </c>
    </row>
    <row r="128" spans="1:5" ht="17.25" thickBot="1">
      <c r="A128" s="29" t="s">
        <v>1821</v>
      </c>
      <c r="B128" s="35" t="s">
        <v>1811</v>
      </c>
      <c r="C128" s="28" t="s">
        <v>1820</v>
      </c>
      <c r="D128" s="28"/>
      <c r="E128" s="22" t="str">
        <f t="shared" si="1"/>
        <v>042000:애니시리즈_교양_</v>
      </c>
    </row>
    <row r="129" spans="1:7" ht="17.25" thickBot="1">
      <c r="A129" s="29" t="s">
        <v>1819</v>
      </c>
      <c r="B129" s="35" t="s">
        <v>1811</v>
      </c>
      <c r="C129" s="28" t="s">
        <v>1818</v>
      </c>
      <c r="D129" s="28"/>
      <c r="E129" s="22" t="str">
        <f t="shared" si="1"/>
        <v>042100:애니시리즈_스포츠_</v>
      </c>
    </row>
    <row r="130" spans="1:7" ht="17.25" thickBot="1">
      <c r="A130" s="29" t="s">
        <v>1817</v>
      </c>
      <c r="B130" s="35" t="s">
        <v>1811</v>
      </c>
      <c r="C130" s="28" t="s">
        <v>1738</v>
      </c>
      <c r="D130" s="28"/>
      <c r="E130" s="22" t="str">
        <f t="shared" ref="E130:E193" si="2">CONCATENATE(A130, ":", B130, "_", C130, "_", D130)</f>
        <v>042200:애니시리즈_미스터리_</v>
      </c>
    </row>
    <row r="131" spans="1:7" ht="17.25" thickBot="1">
      <c r="A131" s="29" t="s">
        <v>1816</v>
      </c>
      <c r="B131" s="35" t="s">
        <v>1811</v>
      </c>
      <c r="C131" s="28" t="s">
        <v>1815</v>
      </c>
      <c r="D131" s="28"/>
      <c r="E131" s="22" t="str">
        <f t="shared" si="2"/>
        <v>042300:애니시리즈_뮤지컬_</v>
      </c>
    </row>
    <row r="132" spans="1:7" ht="17.25" thickBot="1">
      <c r="A132" s="29" t="s">
        <v>1814</v>
      </c>
      <c r="B132" s="35" t="s">
        <v>1811</v>
      </c>
      <c r="C132" s="28" t="s">
        <v>1813</v>
      </c>
      <c r="D132" s="28"/>
      <c r="E132" s="22" t="str">
        <f t="shared" si="2"/>
        <v>042400:애니시리즈_서부_</v>
      </c>
    </row>
    <row r="133" spans="1:7" ht="17.25" thickBot="1">
      <c r="A133" s="29" t="s">
        <v>1812</v>
      </c>
      <c r="B133" s="35" t="s">
        <v>1811</v>
      </c>
      <c r="C133" s="28" t="s">
        <v>1659</v>
      </c>
      <c r="D133" s="28"/>
      <c r="E133" s="22" t="str">
        <f t="shared" si="2"/>
        <v>042500:애니시리즈_성인_</v>
      </c>
    </row>
    <row r="134" spans="1:7" ht="17.25" thickBot="1">
      <c r="A134" s="34" t="s">
        <v>1810</v>
      </c>
      <c r="B134" s="33" t="s">
        <v>1792</v>
      </c>
      <c r="C134" s="33"/>
      <c r="D134" s="33"/>
      <c r="E134" s="22" t="str">
        <f t="shared" si="2"/>
        <v>050000:TV연예/오락__</v>
      </c>
      <c r="F134" s="43"/>
    </row>
    <row r="135" spans="1:7" ht="17.25" thickBot="1">
      <c r="A135" s="29" t="s">
        <v>1809</v>
      </c>
      <c r="B135" s="28" t="s">
        <v>1792</v>
      </c>
      <c r="C135" s="28" t="s">
        <v>1808</v>
      </c>
      <c r="D135" s="28"/>
      <c r="E135" s="22" t="str">
        <f t="shared" si="2"/>
        <v>050100:TV연예/오락_예능_</v>
      </c>
    </row>
    <row r="136" spans="1:7" ht="17.25" thickBot="1">
      <c r="A136" s="29" t="s">
        <v>1807</v>
      </c>
      <c r="B136" s="28" t="s">
        <v>1792</v>
      </c>
      <c r="C136" s="28" t="s">
        <v>1806</v>
      </c>
      <c r="D136" s="28"/>
      <c r="E136" s="22" t="str">
        <f t="shared" si="2"/>
        <v>050200:TV연예/오락_연예뉴스_</v>
      </c>
    </row>
    <row r="137" spans="1:7" ht="17.25" thickBot="1">
      <c r="A137" s="29" t="s">
        <v>1805</v>
      </c>
      <c r="B137" s="28" t="s">
        <v>1792</v>
      </c>
      <c r="C137" s="28" t="s">
        <v>1804</v>
      </c>
      <c r="D137" s="28"/>
      <c r="E137" s="22" t="str">
        <f t="shared" si="2"/>
        <v>050300:TV연예/오락_인터뷰/토크쇼_</v>
      </c>
    </row>
    <row r="138" spans="1:7" ht="17.25" thickBot="1">
      <c r="A138" s="29" t="s">
        <v>1803</v>
      </c>
      <c r="B138" s="28" t="s">
        <v>1792</v>
      </c>
      <c r="C138" s="28" t="s">
        <v>1802</v>
      </c>
      <c r="D138" s="28"/>
      <c r="E138" s="22" t="str">
        <f t="shared" si="2"/>
        <v>050400:TV연예/오락_개그/코미디쇼_</v>
      </c>
    </row>
    <row r="139" spans="1:7" ht="17.25" thickBot="1">
      <c r="A139" s="29" t="s">
        <v>1801</v>
      </c>
      <c r="B139" s="28" t="s">
        <v>1792</v>
      </c>
      <c r="C139" s="28" t="s">
        <v>1800</v>
      </c>
      <c r="D139" s="28"/>
      <c r="E139" s="22" t="str">
        <f t="shared" si="2"/>
        <v>050500:TV연예/오락_퀴즈쇼_</v>
      </c>
    </row>
    <row r="140" spans="1:7" ht="17.25" thickBot="1">
      <c r="A140" s="29" t="s">
        <v>1799</v>
      </c>
      <c r="B140" s="28" t="s">
        <v>1792</v>
      </c>
      <c r="C140" s="28" t="s">
        <v>1798</v>
      </c>
      <c r="D140" s="28"/>
      <c r="E140" s="22" t="str">
        <f t="shared" si="2"/>
        <v>050600:TV연예/오락_오디션_</v>
      </c>
    </row>
    <row r="141" spans="1:7" ht="17.25" thickBot="1">
      <c r="A141" s="29" t="s">
        <v>1797</v>
      </c>
      <c r="B141" s="28" t="s">
        <v>1792</v>
      </c>
      <c r="C141" s="28" t="s">
        <v>1796</v>
      </c>
      <c r="D141" s="28"/>
      <c r="E141" s="22" t="str">
        <f t="shared" si="2"/>
        <v>050700:TV연예/오락_시트콤_</v>
      </c>
    </row>
    <row r="142" spans="1:7" ht="17.25" thickBot="1">
      <c r="A142" s="29" t="s">
        <v>1795</v>
      </c>
      <c r="B142" s="28" t="s">
        <v>1792</v>
      </c>
      <c r="C142" s="28" t="s">
        <v>1794</v>
      </c>
      <c r="D142" s="28"/>
      <c r="E142" s="22" t="str">
        <f t="shared" si="2"/>
        <v>050800:TV연예/오락_시상식_</v>
      </c>
    </row>
    <row r="143" spans="1:7" ht="17.25" thickBot="1">
      <c r="A143" s="29" t="s">
        <v>1793</v>
      </c>
      <c r="B143" s="28" t="s">
        <v>1792</v>
      </c>
      <c r="C143" s="28" t="s">
        <v>1791</v>
      </c>
      <c r="D143" s="28"/>
      <c r="E143" s="22" t="str">
        <f t="shared" si="2"/>
        <v>050900:TV연예/오락_리얼리티_</v>
      </c>
    </row>
    <row r="144" spans="1:7" ht="17.25" thickBot="1">
      <c r="A144" s="34" t="s">
        <v>1790</v>
      </c>
      <c r="B144" s="33" t="s">
        <v>1777</v>
      </c>
      <c r="C144" s="33"/>
      <c r="D144" s="33"/>
      <c r="E144" s="22" t="str">
        <f t="shared" si="2"/>
        <v>060000:시사교양__</v>
      </c>
      <c r="F144" s="43"/>
      <c r="G144" s="31"/>
    </row>
    <row r="145" spans="1:5" ht="17.25" thickBot="1">
      <c r="A145" s="29" t="s">
        <v>1789</v>
      </c>
      <c r="B145" s="28" t="s">
        <v>1777</v>
      </c>
      <c r="C145" s="28" t="s">
        <v>1788</v>
      </c>
      <c r="D145" s="28"/>
      <c r="E145" s="22" t="str">
        <f t="shared" si="2"/>
        <v>060100:시사교양_뉴스보도_</v>
      </c>
    </row>
    <row r="146" spans="1:5" ht="17.25" thickBot="1">
      <c r="A146" s="29" t="s">
        <v>1787</v>
      </c>
      <c r="B146" s="28" t="s">
        <v>1777</v>
      </c>
      <c r="C146" s="28" t="s">
        <v>1786</v>
      </c>
      <c r="D146" s="28"/>
      <c r="E146" s="22" t="str">
        <f t="shared" si="2"/>
        <v>060200:시사교양_기획취재_</v>
      </c>
    </row>
    <row r="147" spans="1:5" ht="17.25" thickBot="1">
      <c r="A147" s="29" t="s">
        <v>1785</v>
      </c>
      <c r="B147" s="28" t="s">
        <v>1777</v>
      </c>
      <c r="C147" s="28" t="s">
        <v>1784</v>
      </c>
      <c r="D147" s="28"/>
      <c r="E147" s="22" t="str">
        <f t="shared" si="2"/>
        <v>060300:시사교양_미디어비평_</v>
      </c>
    </row>
    <row r="148" spans="1:5" ht="17.25" thickBot="1">
      <c r="A148" s="29" t="s">
        <v>1783</v>
      </c>
      <c r="B148" s="28" t="s">
        <v>1777</v>
      </c>
      <c r="C148" s="28" t="s">
        <v>1782</v>
      </c>
      <c r="D148" s="28"/>
      <c r="E148" s="22" t="str">
        <f t="shared" si="2"/>
        <v>060400:시사교양_토론_</v>
      </c>
    </row>
    <row r="149" spans="1:5" ht="17.25" thickBot="1">
      <c r="A149" s="29" t="s">
        <v>1781</v>
      </c>
      <c r="B149" s="28" t="s">
        <v>1777</v>
      </c>
      <c r="C149" s="28" t="s">
        <v>1780</v>
      </c>
      <c r="D149" s="28"/>
      <c r="E149" s="22" t="str">
        <f t="shared" si="2"/>
        <v>060500:시사교양_대담_</v>
      </c>
    </row>
    <row r="150" spans="1:5" ht="17.25" thickBot="1">
      <c r="A150" s="29" t="s">
        <v>1779</v>
      </c>
      <c r="B150" s="28" t="s">
        <v>1777</v>
      </c>
      <c r="C150" s="28" t="s">
        <v>1698</v>
      </c>
      <c r="D150" s="28"/>
      <c r="E150" s="22" t="str">
        <f t="shared" si="2"/>
        <v>060600:시사교양_특강_</v>
      </c>
    </row>
    <row r="151" spans="1:5" ht="17.25" thickBot="1">
      <c r="A151" s="29" t="s">
        <v>1778</v>
      </c>
      <c r="B151" s="28" t="s">
        <v>1777</v>
      </c>
      <c r="C151" s="28" t="s">
        <v>1776</v>
      </c>
      <c r="D151" s="28"/>
      <c r="E151" s="22" t="str">
        <f t="shared" si="2"/>
        <v>060700:시사교양_교양/상식_</v>
      </c>
    </row>
    <row r="152" spans="1:5" ht="17.25" thickBot="1">
      <c r="A152" s="34" t="s">
        <v>1775</v>
      </c>
      <c r="B152" s="33" t="s">
        <v>1756</v>
      </c>
      <c r="C152" s="33"/>
      <c r="D152" s="33"/>
      <c r="E152" s="22" t="str">
        <f t="shared" si="2"/>
        <v>070000:라이프스타일__</v>
      </c>
    </row>
    <row r="153" spans="1:5" ht="17.25" thickBot="1">
      <c r="A153" s="29" t="s">
        <v>1774</v>
      </c>
      <c r="B153" s="28" t="s">
        <v>1756</v>
      </c>
      <c r="C153" s="28" t="s">
        <v>1773</v>
      </c>
      <c r="D153" s="28"/>
      <c r="E153" s="22" t="str">
        <f t="shared" si="2"/>
        <v>070100:라이프스타일_취미_</v>
      </c>
    </row>
    <row r="154" spans="1:5" ht="17.25" thickBot="1">
      <c r="A154" s="29" t="s">
        <v>1772</v>
      </c>
      <c r="B154" s="28" t="s">
        <v>1756</v>
      </c>
      <c r="C154" s="28" t="s">
        <v>1771</v>
      </c>
      <c r="D154" s="28"/>
      <c r="E154" s="22" t="str">
        <f t="shared" si="2"/>
        <v>070200:라이프스타일_레저_</v>
      </c>
    </row>
    <row r="155" spans="1:5" ht="17.25" thickBot="1">
      <c r="A155" s="29" t="s">
        <v>1770</v>
      </c>
      <c r="B155" s="28" t="s">
        <v>1756</v>
      </c>
      <c r="C155" s="28" t="s">
        <v>1769</v>
      </c>
      <c r="D155" s="28"/>
      <c r="E155" s="22" t="str">
        <f t="shared" si="2"/>
        <v>070300:라이프스타일_건강_</v>
      </c>
    </row>
    <row r="156" spans="1:5" ht="17.25" thickBot="1">
      <c r="A156" s="29" t="s">
        <v>1768</v>
      </c>
      <c r="B156" s="28" t="s">
        <v>1756</v>
      </c>
      <c r="C156" s="28" t="s">
        <v>1767</v>
      </c>
      <c r="D156" s="28"/>
      <c r="E156" s="22" t="str">
        <f t="shared" si="2"/>
        <v>070400:라이프스타일_다이어트_</v>
      </c>
    </row>
    <row r="157" spans="1:5" ht="17.25" thickBot="1">
      <c r="A157" s="29" t="s">
        <v>1766</v>
      </c>
      <c r="B157" s="28" t="s">
        <v>1756</v>
      </c>
      <c r="C157" s="28" t="s">
        <v>1765</v>
      </c>
      <c r="D157" s="28"/>
      <c r="E157" s="22" t="str">
        <f t="shared" si="2"/>
        <v>070500:라이프스타일_패션_</v>
      </c>
    </row>
    <row r="158" spans="1:5" ht="17.25" thickBot="1">
      <c r="A158" s="29" t="s">
        <v>1764</v>
      </c>
      <c r="B158" s="28" t="s">
        <v>1756</v>
      </c>
      <c r="C158" s="28" t="s">
        <v>1763</v>
      </c>
      <c r="D158" s="28"/>
      <c r="E158" s="22" t="str">
        <f t="shared" si="2"/>
        <v>070600:라이프스타일_뷰티/헤어_</v>
      </c>
    </row>
    <row r="159" spans="1:5" ht="17.25" thickBot="1">
      <c r="A159" s="29" t="s">
        <v>1762</v>
      </c>
      <c r="B159" s="28" t="s">
        <v>1756</v>
      </c>
      <c r="C159" s="28" t="s">
        <v>1761</v>
      </c>
      <c r="D159" s="28"/>
      <c r="E159" s="22" t="str">
        <f t="shared" si="2"/>
        <v>070700:라이프스타일_금융경제_</v>
      </c>
    </row>
    <row r="160" spans="1:5" ht="17.25" thickBot="1">
      <c r="A160" s="29" t="s">
        <v>1760</v>
      </c>
      <c r="B160" s="28" t="s">
        <v>1756</v>
      </c>
      <c r="C160" s="28" t="s">
        <v>1749</v>
      </c>
      <c r="D160" s="28"/>
      <c r="E160" s="22" t="str">
        <f t="shared" si="2"/>
        <v>070800:라이프스타일_문화예술_</v>
      </c>
    </row>
    <row r="161" spans="1:7" ht="17.25" thickBot="1">
      <c r="A161" s="29" t="s">
        <v>1759</v>
      </c>
      <c r="B161" s="28" t="s">
        <v>1756</v>
      </c>
      <c r="C161" s="28" t="s">
        <v>1758</v>
      </c>
      <c r="D161" s="28"/>
      <c r="E161" s="22" t="str">
        <f t="shared" si="2"/>
        <v>070900:라이프스타일_생활정보_</v>
      </c>
    </row>
    <row r="162" spans="1:7" ht="17.25" thickBot="1">
      <c r="A162" s="29" t="s">
        <v>1757</v>
      </c>
      <c r="B162" s="28" t="s">
        <v>1756</v>
      </c>
      <c r="C162" s="28" t="s">
        <v>1740</v>
      </c>
      <c r="D162" s="28"/>
      <c r="E162" s="22" t="str">
        <f t="shared" si="2"/>
        <v>071000:라이프스타일_여행_</v>
      </c>
    </row>
    <row r="163" spans="1:7" ht="17.25" thickBot="1">
      <c r="A163" s="34" t="s">
        <v>1755</v>
      </c>
      <c r="B163" s="33" t="s">
        <v>1735</v>
      </c>
      <c r="C163" s="33"/>
      <c r="D163" s="33"/>
      <c r="E163" s="22" t="str">
        <f t="shared" si="2"/>
        <v>080000:다큐멘터리__</v>
      </c>
    </row>
    <row r="164" spans="1:7" ht="17.25" thickBot="1">
      <c r="A164" s="29" t="s">
        <v>1754</v>
      </c>
      <c r="B164" s="28" t="s">
        <v>1735</v>
      </c>
      <c r="C164" s="28" t="s">
        <v>1753</v>
      </c>
      <c r="D164" s="28"/>
      <c r="E164" s="22" t="str">
        <f t="shared" si="2"/>
        <v>080100:다큐멘터리_자연환경_</v>
      </c>
    </row>
    <row r="165" spans="1:7" ht="17.25" thickBot="1">
      <c r="A165" s="29" t="s">
        <v>1752</v>
      </c>
      <c r="B165" s="28" t="s">
        <v>1735</v>
      </c>
      <c r="C165" s="28" t="s">
        <v>1751</v>
      </c>
      <c r="D165" s="28"/>
      <c r="E165" s="22" t="str">
        <f t="shared" si="2"/>
        <v>080200:다큐멘터리_휴먼감동_</v>
      </c>
    </row>
    <row r="166" spans="1:7" ht="17.25" thickBot="1">
      <c r="A166" s="29" t="s">
        <v>1750</v>
      </c>
      <c r="B166" s="28" t="s">
        <v>1735</v>
      </c>
      <c r="C166" s="28" t="s">
        <v>1749</v>
      </c>
      <c r="D166" s="28"/>
      <c r="E166" s="22" t="str">
        <f t="shared" si="2"/>
        <v>080300:다큐멘터리_문화예술_</v>
      </c>
    </row>
    <row r="167" spans="1:7" ht="17.25" thickBot="1">
      <c r="A167" s="29" t="s">
        <v>1748</v>
      </c>
      <c r="B167" s="28" t="s">
        <v>1735</v>
      </c>
      <c r="C167" s="28" t="s">
        <v>1703</v>
      </c>
      <c r="D167" s="28"/>
      <c r="E167" s="22" t="str">
        <f t="shared" si="2"/>
        <v>080400:다큐멘터리_사회_</v>
      </c>
    </row>
    <row r="168" spans="1:7" ht="17.25" thickBot="1">
      <c r="A168" s="29" t="s">
        <v>1747</v>
      </c>
      <c r="B168" s="28" t="s">
        <v>1735</v>
      </c>
      <c r="C168" s="28" t="s">
        <v>1746</v>
      </c>
      <c r="D168" s="28"/>
      <c r="E168" s="22" t="str">
        <f t="shared" si="2"/>
        <v>080500:다큐멘터리_우주_</v>
      </c>
    </row>
    <row r="169" spans="1:7" ht="17.25" thickBot="1">
      <c r="A169" s="29" t="s">
        <v>1745</v>
      </c>
      <c r="B169" s="28" t="s">
        <v>1735</v>
      </c>
      <c r="C169" s="28" t="s">
        <v>1744</v>
      </c>
      <c r="D169" s="28"/>
      <c r="E169" s="22" t="str">
        <f t="shared" si="2"/>
        <v>080600:다큐멘터리_과학기술_</v>
      </c>
    </row>
    <row r="170" spans="1:7" ht="17.25" thickBot="1">
      <c r="A170" s="29" t="s">
        <v>1743</v>
      </c>
      <c r="B170" s="28" t="s">
        <v>1735</v>
      </c>
      <c r="C170" s="28" t="s">
        <v>1742</v>
      </c>
      <c r="D170" s="28"/>
      <c r="E170" s="22" t="str">
        <f t="shared" si="2"/>
        <v>080700:다큐멘터리_역사/전쟁_</v>
      </c>
    </row>
    <row r="171" spans="1:7" ht="17.25" thickBot="1">
      <c r="A171" s="29" t="s">
        <v>1741</v>
      </c>
      <c r="B171" s="28" t="s">
        <v>1735</v>
      </c>
      <c r="C171" s="28" t="s">
        <v>1740</v>
      </c>
      <c r="D171" s="28"/>
      <c r="E171" s="22" t="str">
        <f t="shared" si="2"/>
        <v>080800:다큐멘터리_여행_</v>
      </c>
    </row>
    <row r="172" spans="1:7" ht="17.25" thickBot="1">
      <c r="A172" s="29" t="s">
        <v>1739</v>
      </c>
      <c r="B172" s="28" t="s">
        <v>1735</v>
      </c>
      <c r="C172" s="28" t="s">
        <v>1738</v>
      </c>
      <c r="D172" s="28"/>
      <c r="E172" s="22" t="str">
        <f t="shared" si="2"/>
        <v>080900:다큐멘터리_미스터리_</v>
      </c>
    </row>
    <row r="173" spans="1:7" ht="17.25" thickBot="1">
      <c r="A173" s="29" t="s">
        <v>1737</v>
      </c>
      <c r="B173" s="28" t="s">
        <v>1735</v>
      </c>
      <c r="C173" s="28" t="s">
        <v>1692</v>
      </c>
      <c r="D173" s="28"/>
      <c r="E173" s="22" t="str">
        <f t="shared" si="2"/>
        <v>081000:다큐멘터리_교육_</v>
      </c>
    </row>
    <row r="174" spans="1:7" ht="17.25" thickBot="1">
      <c r="A174" s="29" t="s">
        <v>1736</v>
      </c>
      <c r="B174" s="28" t="s">
        <v>1735</v>
      </c>
      <c r="C174" s="28" t="s">
        <v>1734</v>
      </c>
      <c r="D174" s="28"/>
      <c r="E174" s="22" t="str">
        <f t="shared" si="2"/>
        <v>081100:다큐멘터리_시사_</v>
      </c>
    </row>
    <row r="175" spans="1:7" ht="17.25" thickBot="1">
      <c r="A175" s="34" t="s">
        <v>1733</v>
      </c>
      <c r="B175" s="33" t="s">
        <v>1710</v>
      </c>
      <c r="C175" s="33"/>
      <c r="D175" s="33"/>
      <c r="E175" s="22" t="str">
        <f t="shared" si="2"/>
        <v>090000:스포츠__</v>
      </c>
      <c r="F175" s="38"/>
      <c r="G175" s="31"/>
    </row>
    <row r="176" spans="1:7" ht="17.25" thickBot="1">
      <c r="A176" s="29" t="s">
        <v>1732</v>
      </c>
      <c r="B176" s="28" t="s">
        <v>1710</v>
      </c>
      <c r="C176" s="28" t="s">
        <v>1731</v>
      </c>
      <c r="D176" s="28"/>
      <c r="E176" s="22" t="str">
        <f t="shared" si="2"/>
        <v>090100:스포츠_e스포츠_</v>
      </c>
    </row>
    <row r="177" spans="1:8" ht="17.25" thickBot="1">
      <c r="A177" s="29" t="s">
        <v>1730</v>
      </c>
      <c r="B177" s="28" t="s">
        <v>1710</v>
      </c>
      <c r="C177" s="28" t="s">
        <v>1729</v>
      </c>
      <c r="D177" s="28"/>
      <c r="E177" s="22" t="str">
        <f t="shared" si="2"/>
        <v>090200:스포츠_격투기_</v>
      </c>
    </row>
    <row r="178" spans="1:8" ht="17.25" thickBot="1">
      <c r="A178" s="29" t="s">
        <v>1728</v>
      </c>
      <c r="B178" s="28" t="s">
        <v>1710</v>
      </c>
      <c r="C178" s="28" t="s">
        <v>181</v>
      </c>
      <c r="D178" s="28"/>
      <c r="E178" s="22" t="str">
        <f t="shared" si="2"/>
        <v>090300:스포츠_축구_</v>
      </c>
    </row>
    <row r="179" spans="1:8" ht="17.25" thickBot="1">
      <c r="A179" s="29" t="s">
        <v>1727</v>
      </c>
      <c r="B179" s="28" t="s">
        <v>1710</v>
      </c>
      <c r="C179" s="28" t="s">
        <v>178</v>
      </c>
      <c r="D179" s="28"/>
      <c r="E179" s="22" t="str">
        <f t="shared" si="2"/>
        <v>090400:스포츠_배구_</v>
      </c>
    </row>
    <row r="180" spans="1:8" ht="17.25" thickBot="1">
      <c r="A180" s="29" t="s">
        <v>1726</v>
      </c>
      <c r="B180" s="28" t="s">
        <v>1710</v>
      </c>
      <c r="C180" s="28" t="s">
        <v>179</v>
      </c>
      <c r="D180" s="28"/>
      <c r="E180" s="22" t="str">
        <f t="shared" si="2"/>
        <v>090500:스포츠_농구_</v>
      </c>
    </row>
    <row r="181" spans="1:8" ht="17.25" thickBot="1">
      <c r="A181" s="29" t="s">
        <v>1725</v>
      </c>
      <c r="B181" s="28" t="s">
        <v>1710</v>
      </c>
      <c r="C181" s="28" t="s">
        <v>180</v>
      </c>
      <c r="D181" s="28"/>
      <c r="E181" s="22" t="str">
        <f t="shared" si="2"/>
        <v>090600:스포츠_야구_</v>
      </c>
    </row>
    <row r="182" spans="1:8" ht="17.25" thickBot="1">
      <c r="A182" s="29" t="s">
        <v>1724</v>
      </c>
      <c r="B182" s="28" t="s">
        <v>1710</v>
      </c>
      <c r="C182" s="28" t="s">
        <v>177</v>
      </c>
      <c r="D182" s="28"/>
      <c r="E182" s="22" t="str">
        <f t="shared" si="2"/>
        <v>090700:스포츠_골프_</v>
      </c>
    </row>
    <row r="183" spans="1:8" ht="17.25" thickBot="1">
      <c r="A183" s="29" t="s">
        <v>1723</v>
      </c>
      <c r="B183" s="28" t="s">
        <v>1710</v>
      </c>
      <c r="C183" s="28" t="s">
        <v>1722</v>
      </c>
      <c r="D183" s="28"/>
      <c r="E183" s="22" t="str">
        <f t="shared" si="2"/>
        <v>090800:스포츠_피겨_</v>
      </c>
    </row>
    <row r="184" spans="1:8" ht="17.25" thickBot="1">
      <c r="A184" s="29" t="s">
        <v>1721</v>
      </c>
      <c r="B184" s="28" t="s">
        <v>1710</v>
      </c>
      <c r="C184" s="28" t="s">
        <v>1720</v>
      </c>
      <c r="D184" s="28"/>
      <c r="E184" s="22" t="str">
        <f t="shared" si="2"/>
        <v>090900:스포츠_국제종합경기_</v>
      </c>
      <c r="F184" s="37"/>
      <c r="G184" s="42"/>
      <c r="H184" s="42"/>
    </row>
    <row r="185" spans="1:8" ht="17.25" thickBot="1">
      <c r="A185" s="29" t="s">
        <v>1719</v>
      </c>
      <c r="B185" s="28" t="s">
        <v>1710</v>
      </c>
      <c r="C185" s="28" t="s">
        <v>1650</v>
      </c>
      <c r="D185" s="28"/>
      <c r="E185" s="22" t="str">
        <f t="shared" si="2"/>
        <v>091000:스포츠_기타_</v>
      </c>
    </row>
    <row r="186" spans="1:8" ht="17.25" thickBot="1">
      <c r="A186" s="29" t="s">
        <v>1718</v>
      </c>
      <c r="B186" s="28" t="s">
        <v>1710</v>
      </c>
      <c r="C186" s="28" t="s">
        <v>1717</v>
      </c>
      <c r="D186" s="28"/>
      <c r="E186" s="22" t="str">
        <f t="shared" si="2"/>
        <v>091100:스포츠_체조_</v>
      </c>
    </row>
    <row r="187" spans="1:8" ht="17.25" thickBot="1">
      <c r="A187" s="29" t="s">
        <v>1716</v>
      </c>
      <c r="B187" s="28" t="s">
        <v>1710</v>
      </c>
      <c r="C187" s="28" t="s">
        <v>1715</v>
      </c>
      <c r="D187" s="28"/>
      <c r="E187" s="22" t="str">
        <f t="shared" si="2"/>
        <v>091200:스포츠_익스트림 스포츠_</v>
      </c>
    </row>
    <row r="188" spans="1:8" ht="17.25" thickBot="1">
      <c r="A188" s="29" t="s">
        <v>1714</v>
      </c>
      <c r="B188" s="28" t="s">
        <v>1710</v>
      </c>
      <c r="C188" s="28" t="s">
        <v>170</v>
      </c>
      <c r="D188" s="28"/>
      <c r="E188" s="22" t="str">
        <f t="shared" si="2"/>
        <v>091300:스포츠_당구_</v>
      </c>
    </row>
    <row r="189" spans="1:8" ht="17.25" thickBot="1">
      <c r="A189" s="29" t="s">
        <v>1713</v>
      </c>
      <c r="B189" s="28" t="s">
        <v>1710</v>
      </c>
      <c r="C189" s="28" t="s">
        <v>1712</v>
      </c>
      <c r="D189" s="28"/>
      <c r="E189" s="22" t="str">
        <f t="shared" si="2"/>
        <v>091400:스포츠_바둑_</v>
      </c>
    </row>
    <row r="190" spans="1:8" ht="17.25" thickBot="1">
      <c r="A190" s="29" t="s">
        <v>1711</v>
      </c>
      <c r="B190" s="28" t="s">
        <v>1710</v>
      </c>
      <c r="C190" s="28" t="s">
        <v>1709</v>
      </c>
      <c r="D190" s="28"/>
      <c r="E190" s="22" t="str">
        <f t="shared" si="2"/>
        <v>091500:스포츠_낚시_</v>
      </c>
    </row>
    <row r="191" spans="1:8" ht="17.25" thickBot="1">
      <c r="A191" s="34">
        <v>100000</v>
      </c>
      <c r="B191" s="33" t="s">
        <v>1692</v>
      </c>
      <c r="C191" s="33"/>
      <c r="D191" s="33"/>
      <c r="E191" s="22" t="str">
        <f t="shared" si="2"/>
        <v>100000:교육__</v>
      </c>
      <c r="F191" s="41"/>
    </row>
    <row r="192" spans="1:8" ht="17.25" thickBot="1">
      <c r="A192" s="29">
        <v>100100</v>
      </c>
      <c r="B192" s="28" t="s">
        <v>1692</v>
      </c>
      <c r="C192" s="28" t="s">
        <v>1707</v>
      </c>
      <c r="D192" s="28"/>
      <c r="E192" s="22" t="str">
        <f t="shared" si="2"/>
        <v>100100:교육_교육정보_</v>
      </c>
    </row>
    <row r="193" spans="1:7" ht="17.25" thickBot="1">
      <c r="A193" s="36">
        <v>100101</v>
      </c>
      <c r="B193" s="35" t="s">
        <v>1692</v>
      </c>
      <c r="C193" s="35" t="s">
        <v>1707</v>
      </c>
      <c r="D193" s="35" t="s">
        <v>1708</v>
      </c>
      <c r="E193" s="22" t="str">
        <f t="shared" si="2"/>
        <v>100101:교육_교육정보_수능/입시전략</v>
      </c>
    </row>
    <row r="194" spans="1:7" ht="17.25" thickBot="1">
      <c r="A194" s="36">
        <v>100102</v>
      </c>
      <c r="B194" s="35" t="s">
        <v>1692</v>
      </c>
      <c r="C194" s="35" t="s">
        <v>1707</v>
      </c>
      <c r="D194" s="35" t="s">
        <v>1706</v>
      </c>
      <c r="E194" s="22" t="str">
        <f t="shared" ref="E194:E257" si="3">CONCATENATE(A194, ":", B194, "_", C194, "_", D194)</f>
        <v>100102:교육_교육정보_유학정보</v>
      </c>
    </row>
    <row r="195" spans="1:7" ht="17.25" thickBot="1">
      <c r="A195" s="29">
        <v>100200</v>
      </c>
      <c r="B195" s="28" t="s">
        <v>1692</v>
      </c>
      <c r="C195" s="28" t="s">
        <v>1701</v>
      </c>
      <c r="D195" s="28"/>
      <c r="E195" s="22" t="str">
        <f t="shared" si="3"/>
        <v>100200:교육_교과내신_</v>
      </c>
      <c r="F195" s="40"/>
      <c r="G195" s="31"/>
    </row>
    <row r="196" spans="1:7" ht="17.25" thickBot="1">
      <c r="A196" s="36">
        <v>100201</v>
      </c>
      <c r="B196" s="35" t="s">
        <v>1692</v>
      </c>
      <c r="C196" s="35" t="s">
        <v>1701</v>
      </c>
      <c r="D196" s="35" t="s">
        <v>1705</v>
      </c>
      <c r="E196" s="22" t="str">
        <f t="shared" si="3"/>
        <v>100201:교육_교과내신_국어</v>
      </c>
      <c r="F196" s="39"/>
    </row>
    <row r="197" spans="1:7" ht="17.25" thickBot="1">
      <c r="A197" s="36">
        <v>100202</v>
      </c>
      <c r="B197" s="35" t="s">
        <v>1692</v>
      </c>
      <c r="C197" s="35" t="s">
        <v>1701</v>
      </c>
      <c r="D197" s="35" t="s">
        <v>1645</v>
      </c>
      <c r="E197" s="22" t="str">
        <f t="shared" si="3"/>
        <v>100202:교육_교과내신_영어</v>
      </c>
      <c r="F197" s="39"/>
    </row>
    <row r="198" spans="1:7" ht="17.25" thickBot="1">
      <c r="A198" s="36">
        <v>100203</v>
      </c>
      <c r="B198" s="35" t="s">
        <v>1692</v>
      </c>
      <c r="C198" s="35" t="s">
        <v>1701</v>
      </c>
      <c r="D198" s="35" t="s">
        <v>1704</v>
      </c>
      <c r="E198" s="22" t="str">
        <f t="shared" si="3"/>
        <v>100203:교육_교과내신_수학</v>
      </c>
      <c r="F198" s="39"/>
    </row>
    <row r="199" spans="1:7" ht="17.25" thickBot="1">
      <c r="A199" s="36">
        <v>100204</v>
      </c>
      <c r="B199" s="35" t="s">
        <v>1692</v>
      </c>
      <c r="C199" s="35" t="s">
        <v>1701</v>
      </c>
      <c r="D199" s="35" t="s">
        <v>1703</v>
      </c>
      <c r="E199" s="22" t="str">
        <f t="shared" si="3"/>
        <v>100204:교육_교과내신_사회</v>
      </c>
      <c r="F199" s="39"/>
    </row>
    <row r="200" spans="1:7" ht="17.25" thickBot="1">
      <c r="A200" s="36">
        <v>100205</v>
      </c>
      <c r="B200" s="35" t="s">
        <v>1692</v>
      </c>
      <c r="C200" s="35" t="s">
        <v>1701</v>
      </c>
      <c r="D200" s="35" t="s">
        <v>1702</v>
      </c>
      <c r="E200" s="22" t="str">
        <f t="shared" si="3"/>
        <v>100205:교육_교과내신_과학</v>
      </c>
      <c r="F200" s="39"/>
    </row>
    <row r="201" spans="1:7" ht="17.25" thickBot="1">
      <c r="A201" s="36">
        <v>100206</v>
      </c>
      <c r="B201" s="35" t="s">
        <v>1692</v>
      </c>
      <c r="C201" s="35" t="s">
        <v>1701</v>
      </c>
      <c r="D201" s="35" t="s">
        <v>1650</v>
      </c>
      <c r="E201" s="22" t="str">
        <f t="shared" si="3"/>
        <v>100206:교육_교과내신_기타</v>
      </c>
      <c r="F201" s="39"/>
    </row>
    <row r="202" spans="1:7" ht="17.25" thickBot="1">
      <c r="A202" s="29">
        <v>100300</v>
      </c>
      <c r="B202" s="28" t="s">
        <v>1692</v>
      </c>
      <c r="C202" s="28" t="s">
        <v>1698</v>
      </c>
      <c r="D202" s="28"/>
      <c r="E202" s="22" t="str">
        <f t="shared" si="3"/>
        <v>100300:교육_특강_</v>
      </c>
      <c r="F202" s="39"/>
    </row>
    <row r="203" spans="1:7" ht="17.25" thickBot="1">
      <c r="A203" s="36">
        <v>100301</v>
      </c>
      <c r="B203" s="35" t="s">
        <v>1692</v>
      </c>
      <c r="C203" s="35" t="s">
        <v>1698</v>
      </c>
      <c r="D203" s="35" t="s">
        <v>1700</v>
      </c>
      <c r="E203" s="22" t="str">
        <f t="shared" si="3"/>
        <v>100301:교육_특강_시험특강</v>
      </c>
      <c r="F203" s="39"/>
    </row>
    <row r="204" spans="1:7" ht="17.25" thickBot="1">
      <c r="A204" s="36">
        <v>100302</v>
      </c>
      <c r="B204" s="35" t="s">
        <v>1692</v>
      </c>
      <c r="C204" s="35" t="s">
        <v>1698</v>
      </c>
      <c r="D204" s="35" t="s">
        <v>1699</v>
      </c>
      <c r="E204" s="22" t="str">
        <f t="shared" si="3"/>
        <v>100302:교육_특강_방학특강</v>
      </c>
      <c r="F204" s="39"/>
    </row>
    <row r="205" spans="1:7" ht="17.25" thickBot="1">
      <c r="A205" s="36">
        <v>100303</v>
      </c>
      <c r="B205" s="35" t="s">
        <v>1692</v>
      </c>
      <c r="C205" s="35" t="s">
        <v>1698</v>
      </c>
      <c r="D205" s="35" t="s">
        <v>1697</v>
      </c>
      <c r="E205" s="22" t="str">
        <f t="shared" si="3"/>
        <v>100303:교육_특강_선행학습</v>
      </c>
      <c r="F205" s="39"/>
    </row>
    <row r="206" spans="1:7" ht="17.25" thickBot="1">
      <c r="A206" s="29">
        <v>100400</v>
      </c>
      <c r="B206" s="28" t="s">
        <v>1692</v>
      </c>
      <c r="C206" s="28" t="s">
        <v>1696</v>
      </c>
      <c r="D206" s="28"/>
      <c r="E206" s="22" t="str">
        <f t="shared" si="3"/>
        <v>100400:교육_방과후학습_</v>
      </c>
    </row>
    <row r="207" spans="1:7" ht="17.25" thickBot="1">
      <c r="A207" s="29">
        <v>100500</v>
      </c>
      <c r="B207" s="28" t="s">
        <v>1692</v>
      </c>
      <c r="C207" s="28" t="s">
        <v>1695</v>
      </c>
      <c r="D207" s="28"/>
      <c r="E207" s="22" t="str">
        <f t="shared" si="3"/>
        <v>100500:교육_외국어_</v>
      </c>
    </row>
    <row r="208" spans="1:7" ht="17.25" thickBot="1">
      <c r="A208" s="36">
        <v>100501</v>
      </c>
      <c r="B208" s="35" t="s">
        <v>1692</v>
      </c>
      <c r="C208" s="35" t="s">
        <v>1695</v>
      </c>
      <c r="D208" s="35" t="s">
        <v>1645</v>
      </c>
      <c r="E208" s="22" t="str">
        <f t="shared" si="3"/>
        <v>100501:교육_외국어_영어</v>
      </c>
    </row>
    <row r="209" spans="1:7" ht="17.25" thickBot="1">
      <c r="A209" s="36">
        <v>100502</v>
      </c>
      <c r="B209" s="35" t="s">
        <v>1692</v>
      </c>
      <c r="C209" s="35" t="s">
        <v>1695</v>
      </c>
      <c r="D209" s="35" t="s">
        <v>1644</v>
      </c>
      <c r="E209" s="22" t="str">
        <f t="shared" si="3"/>
        <v>100502:교육_외국어_일본어</v>
      </c>
    </row>
    <row r="210" spans="1:7" ht="17.25" thickBot="1">
      <c r="A210" s="36">
        <v>100503</v>
      </c>
      <c r="B210" s="35" t="s">
        <v>1692</v>
      </c>
      <c r="C210" s="35" t="s">
        <v>1695</v>
      </c>
      <c r="D210" s="35" t="s">
        <v>753</v>
      </c>
      <c r="E210" s="22" t="str">
        <f t="shared" si="3"/>
        <v>100503:교육_외국어_중국어</v>
      </c>
    </row>
    <row r="211" spans="1:7" ht="17.25" thickBot="1">
      <c r="A211" s="36">
        <v>100504</v>
      </c>
      <c r="B211" s="35" t="s">
        <v>1692</v>
      </c>
      <c r="C211" s="35" t="s">
        <v>1695</v>
      </c>
      <c r="D211" s="35" t="s">
        <v>1650</v>
      </c>
      <c r="E211" s="22" t="str">
        <f t="shared" si="3"/>
        <v>100504:교육_외국어_기타</v>
      </c>
    </row>
    <row r="212" spans="1:7" ht="17.25" thickBot="1">
      <c r="A212" s="29">
        <v>100600</v>
      </c>
      <c r="B212" s="28" t="s">
        <v>1692</v>
      </c>
      <c r="C212" s="28" t="s">
        <v>1694</v>
      </c>
      <c r="D212" s="28"/>
      <c r="E212" s="22" t="str">
        <f t="shared" si="3"/>
        <v>100600:교육_자격증/직업_</v>
      </c>
    </row>
    <row r="213" spans="1:7" ht="17.25" thickBot="1">
      <c r="A213" s="29">
        <v>100700</v>
      </c>
      <c r="B213" s="28" t="s">
        <v>1692</v>
      </c>
      <c r="C213" s="28" t="s">
        <v>1693</v>
      </c>
      <c r="D213" s="28"/>
      <c r="E213" s="22" t="str">
        <f t="shared" si="3"/>
        <v>100700:교육_경제/경영_</v>
      </c>
    </row>
    <row r="214" spans="1:7" ht="17.25" thickBot="1">
      <c r="A214" s="29">
        <v>100800</v>
      </c>
      <c r="B214" s="28" t="s">
        <v>1692</v>
      </c>
      <c r="C214" s="28" t="s">
        <v>1691</v>
      </c>
      <c r="D214" s="28"/>
      <c r="E214" s="22" t="str">
        <f t="shared" si="3"/>
        <v>100800:교육_교양_</v>
      </c>
    </row>
    <row r="215" spans="1:7" ht="17.25" thickBot="1">
      <c r="A215" s="34">
        <v>110000</v>
      </c>
      <c r="B215" s="33" t="s">
        <v>1665</v>
      </c>
      <c r="C215" s="33"/>
      <c r="D215" s="33"/>
      <c r="E215" s="22" t="str">
        <f t="shared" si="3"/>
        <v>110000:음악__</v>
      </c>
      <c r="F215" s="38"/>
      <c r="G215" s="31"/>
    </row>
    <row r="216" spans="1:7" ht="17.25" thickBot="1">
      <c r="A216" s="29">
        <v>110100</v>
      </c>
      <c r="B216" s="28" t="s">
        <v>1665</v>
      </c>
      <c r="C216" s="28" t="s">
        <v>1682</v>
      </c>
      <c r="D216" s="28"/>
      <c r="E216" s="22" t="str">
        <f t="shared" si="3"/>
        <v>110100:음악_뮤직비디오_</v>
      </c>
    </row>
    <row r="217" spans="1:7" ht="17.25" thickBot="1">
      <c r="A217" s="36">
        <v>110101</v>
      </c>
      <c r="B217" s="35" t="s">
        <v>1665</v>
      </c>
      <c r="C217" s="35" t="s">
        <v>1682</v>
      </c>
      <c r="D217" s="35" t="s">
        <v>1690</v>
      </c>
      <c r="E217" s="22" t="str">
        <f t="shared" si="3"/>
        <v>110101:음악_뮤직비디오_팝/발라드</v>
      </c>
    </row>
    <row r="218" spans="1:7" ht="17.25" thickBot="1">
      <c r="A218" s="36">
        <v>110102</v>
      </c>
      <c r="B218" s="35" t="s">
        <v>1665</v>
      </c>
      <c r="C218" s="35" t="s">
        <v>1682</v>
      </c>
      <c r="D218" s="35" t="s">
        <v>1689</v>
      </c>
      <c r="E218" s="22" t="str">
        <f t="shared" si="3"/>
        <v>110102:음악_뮤직비디오_댄스/일렉</v>
      </c>
    </row>
    <row r="219" spans="1:7" ht="17.25" thickBot="1">
      <c r="A219" s="36">
        <v>110103</v>
      </c>
      <c r="B219" s="35" t="s">
        <v>1665</v>
      </c>
      <c r="C219" s="35" t="s">
        <v>1682</v>
      </c>
      <c r="D219" s="35" t="s">
        <v>1688</v>
      </c>
      <c r="E219" s="22" t="str">
        <f t="shared" si="3"/>
        <v>110103:음악_뮤직비디오_R&amp;B/소울</v>
      </c>
    </row>
    <row r="220" spans="1:7" ht="17.25" thickBot="1">
      <c r="A220" s="36">
        <v>110104</v>
      </c>
      <c r="B220" s="35" t="s">
        <v>1665</v>
      </c>
      <c r="C220" s="35" t="s">
        <v>1682</v>
      </c>
      <c r="D220" s="35" t="s">
        <v>1687</v>
      </c>
      <c r="E220" s="22" t="str">
        <f t="shared" si="3"/>
        <v>110104:음악_뮤직비디오_랩/힙합</v>
      </c>
    </row>
    <row r="221" spans="1:7" ht="17.25" thickBot="1">
      <c r="A221" s="36">
        <v>110105</v>
      </c>
      <c r="B221" s="35" t="s">
        <v>1665</v>
      </c>
      <c r="C221" s="35" t="s">
        <v>1682</v>
      </c>
      <c r="D221" s="35" t="s">
        <v>1686</v>
      </c>
      <c r="E221" s="22" t="str">
        <f t="shared" si="3"/>
        <v>110105:음악_뮤직비디오_록/메탈</v>
      </c>
    </row>
    <row r="222" spans="1:7" ht="17.25" thickBot="1">
      <c r="A222" s="36">
        <v>110106</v>
      </c>
      <c r="B222" s="35" t="s">
        <v>1665</v>
      </c>
      <c r="C222" s="35" t="s">
        <v>1682</v>
      </c>
      <c r="D222" s="35" t="s">
        <v>1685</v>
      </c>
      <c r="E222" s="22" t="str">
        <f t="shared" si="3"/>
        <v>110106:음악_뮤직비디오_재즈/블루스</v>
      </c>
    </row>
    <row r="223" spans="1:7" ht="17.25" thickBot="1">
      <c r="A223" s="36">
        <v>110107</v>
      </c>
      <c r="B223" s="35" t="s">
        <v>1665</v>
      </c>
      <c r="C223" s="35" t="s">
        <v>1682</v>
      </c>
      <c r="D223" s="35" t="s">
        <v>1684</v>
      </c>
      <c r="E223" s="22" t="str">
        <f t="shared" si="3"/>
        <v>110107:음악_뮤직비디오_트로트</v>
      </c>
    </row>
    <row r="224" spans="1:7" ht="17.25" thickBot="1">
      <c r="A224" s="36">
        <v>110108</v>
      </c>
      <c r="B224" s="35" t="s">
        <v>1665</v>
      </c>
      <c r="C224" s="35" t="s">
        <v>1682</v>
      </c>
      <c r="D224" s="35" t="s">
        <v>1683</v>
      </c>
      <c r="E224" s="22" t="str">
        <f t="shared" si="3"/>
        <v>110108:음악_뮤직비디오_OST</v>
      </c>
    </row>
    <row r="225" spans="1:6" ht="17.25" thickBot="1">
      <c r="A225" s="36">
        <v>110109</v>
      </c>
      <c r="B225" s="35" t="s">
        <v>1665</v>
      </c>
      <c r="C225" s="35" t="s">
        <v>1682</v>
      </c>
      <c r="D225" s="35" t="s">
        <v>1650</v>
      </c>
      <c r="E225" s="22" t="str">
        <f t="shared" si="3"/>
        <v>110109:음악_뮤직비디오_기타</v>
      </c>
    </row>
    <row r="226" spans="1:6" ht="17.25" thickBot="1">
      <c r="A226" s="29">
        <v>110200</v>
      </c>
      <c r="B226" s="28" t="s">
        <v>1665</v>
      </c>
      <c r="C226" s="28" t="s">
        <v>1680</v>
      </c>
      <c r="D226" s="28"/>
      <c r="E226" s="22" t="str">
        <f t="shared" si="3"/>
        <v>110200:음악_라이브 공연_</v>
      </c>
    </row>
    <row r="227" spans="1:6" ht="17.25" thickBot="1">
      <c r="A227" s="36">
        <v>110201</v>
      </c>
      <c r="B227" s="35" t="s">
        <v>1665</v>
      </c>
      <c r="C227" s="35" t="s">
        <v>1680</v>
      </c>
      <c r="D227" s="35" t="s">
        <v>1681</v>
      </c>
      <c r="E227" s="22" t="str">
        <f t="shared" si="3"/>
        <v>110201:음악_라이브 공연_라이브 실황</v>
      </c>
    </row>
    <row r="228" spans="1:6" ht="17.25" thickBot="1">
      <c r="A228" s="36">
        <v>110202</v>
      </c>
      <c r="B228" s="35" t="s">
        <v>1665</v>
      </c>
      <c r="C228" s="35" t="s">
        <v>1680</v>
      </c>
      <c r="D228" s="35" t="s">
        <v>1679</v>
      </c>
      <c r="E228" s="22" t="str">
        <f t="shared" si="3"/>
        <v>110202:음악_라이브 공연_라이브 클립</v>
      </c>
    </row>
    <row r="229" spans="1:6" ht="17.25" thickBot="1">
      <c r="A229" s="29">
        <v>110300</v>
      </c>
      <c r="B229" s="28" t="s">
        <v>1665</v>
      </c>
      <c r="C229" s="28" t="s">
        <v>1676</v>
      </c>
      <c r="D229" s="28"/>
      <c r="E229" s="22" t="str">
        <f t="shared" si="3"/>
        <v>110300:음악_TV쇼_</v>
      </c>
    </row>
    <row r="230" spans="1:6" ht="17.25" thickBot="1">
      <c r="A230" s="36">
        <v>110301</v>
      </c>
      <c r="B230" s="35" t="s">
        <v>1665</v>
      </c>
      <c r="C230" s="35" t="s">
        <v>1676</v>
      </c>
      <c r="D230" s="35" t="s">
        <v>1678</v>
      </c>
      <c r="E230" s="22" t="str">
        <f t="shared" si="3"/>
        <v>110301:음악_TV쇼_콘서트</v>
      </c>
    </row>
    <row r="231" spans="1:6" ht="17.25" thickBot="1">
      <c r="A231" s="36">
        <v>110302</v>
      </c>
      <c r="B231" s="35" t="s">
        <v>1665</v>
      </c>
      <c r="C231" s="35" t="s">
        <v>1676</v>
      </c>
      <c r="D231" s="35" t="s">
        <v>1677</v>
      </c>
      <c r="E231" s="22" t="str">
        <f t="shared" si="3"/>
        <v>110302:음악_TV쇼_인기순위</v>
      </c>
    </row>
    <row r="232" spans="1:6" ht="17.25" thickBot="1">
      <c r="A232" s="36">
        <v>110303</v>
      </c>
      <c r="B232" s="35" t="s">
        <v>1665</v>
      </c>
      <c r="C232" s="35" t="s">
        <v>1676</v>
      </c>
      <c r="D232" s="35" t="s">
        <v>1675</v>
      </c>
      <c r="E232" s="22" t="str">
        <f t="shared" si="3"/>
        <v>110303:음악_TV쇼_토크음악</v>
      </c>
    </row>
    <row r="233" spans="1:6" ht="17.25" thickBot="1">
      <c r="A233" s="29">
        <v>110400</v>
      </c>
      <c r="B233" s="28" t="s">
        <v>1665</v>
      </c>
      <c r="C233" s="28" t="s">
        <v>1664</v>
      </c>
      <c r="D233" s="28"/>
      <c r="E233" s="22" t="str">
        <f t="shared" si="3"/>
        <v>110400:음악_클래식_</v>
      </c>
      <c r="F233" s="37"/>
    </row>
    <row r="234" spans="1:6" ht="17.25" thickBot="1">
      <c r="A234" s="36">
        <v>110401</v>
      </c>
      <c r="B234" s="35" t="s">
        <v>1665</v>
      </c>
      <c r="C234" s="35" t="s">
        <v>1664</v>
      </c>
      <c r="D234" s="35" t="s">
        <v>1674</v>
      </c>
      <c r="E234" s="22" t="str">
        <f t="shared" si="3"/>
        <v>110401:음악_클래식_관현악</v>
      </c>
    </row>
    <row r="235" spans="1:6" ht="17.25" thickBot="1">
      <c r="A235" s="36">
        <v>110402</v>
      </c>
      <c r="B235" s="35" t="s">
        <v>1665</v>
      </c>
      <c r="C235" s="35" t="s">
        <v>1664</v>
      </c>
      <c r="D235" s="35" t="s">
        <v>1673</v>
      </c>
      <c r="E235" s="22" t="str">
        <f t="shared" si="3"/>
        <v>110402:음악_클래식_교향곡</v>
      </c>
    </row>
    <row r="236" spans="1:6" ht="17.25" thickBot="1">
      <c r="A236" s="36">
        <v>110403</v>
      </c>
      <c r="B236" s="35" t="s">
        <v>1665</v>
      </c>
      <c r="C236" s="35" t="s">
        <v>1664</v>
      </c>
      <c r="D236" s="35" t="s">
        <v>1672</v>
      </c>
      <c r="E236" s="22" t="str">
        <f t="shared" si="3"/>
        <v>110403:음악_클래식_협주곡</v>
      </c>
    </row>
    <row r="237" spans="1:6" ht="17.25" thickBot="1">
      <c r="A237" s="36">
        <v>110404</v>
      </c>
      <c r="B237" s="35" t="s">
        <v>1665</v>
      </c>
      <c r="C237" s="35" t="s">
        <v>1664</v>
      </c>
      <c r="D237" s="35" t="s">
        <v>1671</v>
      </c>
      <c r="E237" s="22" t="str">
        <f t="shared" si="3"/>
        <v>110404:음악_클래식_실내악</v>
      </c>
    </row>
    <row r="238" spans="1:6" ht="17.25" thickBot="1">
      <c r="A238" s="36">
        <v>110405</v>
      </c>
      <c r="B238" s="35" t="s">
        <v>1665</v>
      </c>
      <c r="C238" s="35" t="s">
        <v>1664</v>
      </c>
      <c r="D238" s="35" t="s">
        <v>1670</v>
      </c>
      <c r="E238" s="22" t="str">
        <f t="shared" si="3"/>
        <v>110405:음악_클래식_독주곡</v>
      </c>
    </row>
    <row r="239" spans="1:6" ht="17.25" thickBot="1">
      <c r="A239" s="36">
        <v>110406</v>
      </c>
      <c r="B239" s="35" t="s">
        <v>1665</v>
      </c>
      <c r="C239" s="35" t="s">
        <v>1664</v>
      </c>
      <c r="D239" s="35" t="s">
        <v>1669</v>
      </c>
      <c r="E239" s="22" t="str">
        <f t="shared" si="3"/>
        <v>110406:음악_클래식_오페라</v>
      </c>
    </row>
    <row r="240" spans="1:6" ht="17.25" thickBot="1">
      <c r="A240" s="36">
        <v>110407</v>
      </c>
      <c r="B240" s="35" t="s">
        <v>1665</v>
      </c>
      <c r="C240" s="35" t="s">
        <v>1664</v>
      </c>
      <c r="D240" s="35" t="s">
        <v>1668</v>
      </c>
      <c r="E240" s="22" t="str">
        <f t="shared" si="3"/>
        <v>110407:음악_클래식_성악/합창</v>
      </c>
    </row>
    <row r="241" spans="1:7" ht="17.25" thickBot="1">
      <c r="A241" s="36">
        <v>110408</v>
      </c>
      <c r="B241" s="35" t="s">
        <v>1665</v>
      </c>
      <c r="C241" s="35" t="s">
        <v>1664</v>
      </c>
      <c r="D241" s="35" t="s">
        <v>1667</v>
      </c>
      <c r="E241" s="22" t="str">
        <f t="shared" si="3"/>
        <v>110408:음악_클래식_크로스오버</v>
      </c>
    </row>
    <row r="242" spans="1:7" ht="17.25" thickBot="1">
      <c r="A242" s="36">
        <v>110409</v>
      </c>
      <c r="B242" s="35" t="s">
        <v>1665</v>
      </c>
      <c r="C242" s="35" t="s">
        <v>1664</v>
      </c>
      <c r="D242" s="35" t="s">
        <v>1666</v>
      </c>
      <c r="E242" s="22" t="str">
        <f t="shared" si="3"/>
        <v>110409:음악_클래식_국악</v>
      </c>
    </row>
    <row r="243" spans="1:7" ht="17.25" thickBot="1">
      <c r="A243" s="36">
        <v>110410</v>
      </c>
      <c r="B243" s="35" t="s">
        <v>1665</v>
      </c>
      <c r="C243" s="35" t="s">
        <v>1664</v>
      </c>
      <c r="D243" s="35" t="s">
        <v>1650</v>
      </c>
      <c r="E243" s="22" t="str">
        <f t="shared" si="3"/>
        <v>110410:음악_클래식_기타</v>
      </c>
    </row>
    <row r="244" spans="1:7" ht="17.25" thickBot="1">
      <c r="A244" s="34">
        <v>120000</v>
      </c>
      <c r="B244" s="33" t="s">
        <v>1659</v>
      </c>
      <c r="C244" s="33"/>
      <c r="D244" s="33"/>
      <c r="E244" s="22" t="str">
        <f t="shared" si="3"/>
        <v>120000:성인__</v>
      </c>
    </row>
    <row r="245" spans="1:7" ht="17.25" thickBot="1">
      <c r="A245" s="29">
        <v>120100</v>
      </c>
      <c r="B245" s="28" t="s">
        <v>1659</v>
      </c>
      <c r="C245" s="28" t="s">
        <v>1663</v>
      </c>
      <c r="D245" s="28"/>
      <c r="E245" s="22" t="str">
        <f t="shared" si="3"/>
        <v>120100:성인_AV_</v>
      </c>
    </row>
    <row r="246" spans="1:7" ht="17.25" thickBot="1">
      <c r="A246" s="29">
        <v>120200</v>
      </c>
      <c r="B246" s="28" t="s">
        <v>1659</v>
      </c>
      <c r="C246" s="28" t="s">
        <v>1662</v>
      </c>
      <c r="D246" s="28"/>
      <c r="E246" s="22" t="str">
        <f t="shared" si="3"/>
        <v>120200:성인_성인영화_</v>
      </c>
    </row>
    <row r="247" spans="1:7" ht="17.25" thickBot="1">
      <c r="A247" s="29">
        <v>120300</v>
      </c>
      <c r="B247" s="28" t="s">
        <v>1659</v>
      </c>
      <c r="C247" s="28" t="s">
        <v>1661</v>
      </c>
      <c r="D247" s="28"/>
      <c r="E247" s="22" t="str">
        <f t="shared" si="3"/>
        <v>120300:성인_성인애니_</v>
      </c>
    </row>
    <row r="248" spans="1:7" ht="17.25" thickBot="1">
      <c r="A248" s="29">
        <v>120400</v>
      </c>
      <c r="B248" s="28" t="s">
        <v>1659</v>
      </c>
      <c r="C248" s="28" t="s">
        <v>1660</v>
      </c>
      <c r="D248" s="28"/>
      <c r="E248" s="22" t="str">
        <f t="shared" si="3"/>
        <v>120400:성인_화보영상_</v>
      </c>
    </row>
    <row r="249" spans="1:7" ht="17.25" thickBot="1">
      <c r="A249" s="29">
        <v>120500</v>
      </c>
      <c r="B249" s="28" t="s">
        <v>1659</v>
      </c>
      <c r="C249" s="28" t="s">
        <v>1650</v>
      </c>
      <c r="D249" s="28"/>
      <c r="E249" s="22" t="str">
        <f t="shared" si="3"/>
        <v>120500:성인_기타_</v>
      </c>
    </row>
    <row r="250" spans="1:7" ht="17.25" thickBot="1">
      <c r="A250" s="34">
        <v>130000</v>
      </c>
      <c r="B250" s="33" t="s">
        <v>1657</v>
      </c>
      <c r="C250" s="33"/>
      <c r="D250" s="33"/>
      <c r="E250" s="22" t="str">
        <f t="shared" si="3"/>
        <v>130000:광고__</v>
      </c>
    </row>
    <row r="251" spans="1:7" ht="17.25" thickBot="1">
      <c r="A251" s="29">
        <v>130100</v>
      </c>
      <c r="B251" s="28" t="s">
        <v>1657</v>
      </c>
      <c r="C251" s="28" t="s">
        <v>1658</v>
      </c>
      <c r="D251" s="28"/>
      <c r="E251" s="22" t="str">
        <f t="shared" si="3"/>
        <v>130100:광고_OAP_</v>
      </c>
    </row>
    <row r="252" spans="1:7" ht="17.25" thickBot="1">
      <c r="A252" s="29">
        <v>130200</v>
      </c>
      <c r="B252" s="28" t="s">
        <v>1657</v>
      </c>
      <c r="C252" s="28" t="s">
        <v>1656</v>
      </c>
      <c r="D252" s="28"/>
      <c r="E252" s="22" t="str">
        <f t="shared" si="3"/>
        <v>130200:광고_상업광고_</v>
      </c>
    </row>
    <row r="253" spans="1:7" ht="17.25" thickBot="1">
      <c r="A253" s="34">
        <v>140000</v>
      </c>
      <c r="B253" s="33" t="s">
        <v>1650</v>
      </c>
      <c r="C253" s="33"/>
      <c r="D253" s="33"/>
      <c r="E253" s="22" t="str">
        <f t="shared" si="3"/>
        <v>140000:기타__</v>
      </c>
      <c r="F253" s="32"/>
      <c r="G253" s="31"/>
    </row>
    <row r="254" spans="1:7" ht="17.25" thickBot="1">
      <c r="A254" s="29">
        <v>140100</v>
      </c>
      <c r="B254" s="28" t="s">
        <v>1650</v>
      </c>
      <c r="C254" s="28" t="s">
        <v>1655</v>
      </c>
      <c r="D254" s="28"/>
      <c r="E254" s="22" t="str">
        <f t="shared" si="3"/>
        <v>140100:기타_다문화사회_</v>
      </c>
    </row>
    <row r="255" spans="1:7" ht="17.25" thickBot="1">
      <c r="A255" s="29">
        <v>140200</v>
      </c>
      <c r="B255" s="28" t="s">
        <v>1650</v>
      </c>
      <c r="C255" s="28" t="s">
        <v>1654</v>
      </c>
      <c r="D255" s="28"/>
      <c r="E255" s="22" t="str">
        <f t="shared" si="3"/>
        <v>140200:기타_공공/공익_</v>
      </c>
    </row>
    <row r="256" spans="1:7" ht="17.25" thickBot="1">
      <c r="A256" s="29">
        <v>140300</v>
      </c>
      <c r="B256" s="28" t="s">
        <v>1650</v>
      </c>
      <c r="C256" s="28" t="s">
        <v>1653</v>
      </c>
      <c r="D256" s="28"/>
      <c r="E256" s="22" t="str">
        <f t="shared" si="3"/>
        <v>140300:기타_UCC_</v>
      </c>
    </row>
    <row r="257" spans="1:6" ht="17.25" thickBot="1">
      <c r="A257" s="29">
        <v>140400</v>
      </c>
      <c r="B257" s="28" t="s">
        <v>1650</v>
      </c>
      <c r="C257" s="28" t="s">
        <v>1649</v>
      </c>
      <c r="D257" s="28"/>
      <c r="E257" s="22" t="str">
        <f t="shared" si="3"/>
        <v>140400:기타_종교_</v>
      </c>
      <c r="F257" s="30"/>
    </row>
    <row r="258" spans="1:6" ht="17.25" thickBot="1">
      <c r="A258" s="29">
        <v>140401</v>
      </c>
      <c r="B258" s="28" t="s">
        <v>1650</v>
      </c>
      <c r="C258" s="28" t="s">
        <v>1649</v>
      </c>
      <c r="D258" s="28" t="s">
        <v>1652</v>
      </c>
      <c r="E258" s="22" t="str">
        <f t="shared" ref="E258:E260" si="4">CONCATENATE(A258, ":", B258, "_", C258, "_", D258)</f>
        <v>140401:기타_종교_기독교</v>
      </c>
    </row>
    <row r="259" spans="1:6" ht="17.25" thickBot="1">
      <c r="A259" s="29">
        <v>140402</v>
      </c>
      <c r="B259" s="28" t="s">
        <v>1650</v>
      </c>
      <c r="C259" s="28" t="s">
        <v>1649</v>
      </c>
      <c r="D259" s="28" t="s">
        <v>1651</v>
      </c>
      <c r="E259" s="22" t="str">
        <f t="shared" si="4"/>
        <v>140402:기타_종교_천주교</v>
      </c>
    </row>
    <row r="260" spans="1:6" ht="17.25" thickBot="1">
      <c r="A260" s="29">
        <v>140403</v>
      </c>
      <c r="B260" s="28" t="s">
        <v>1650</v>
      </c>
      <c r="C260" s="28" t="s">
        <v>1649</v>
      </c>
      <c r="D260" s="28" t="s">
        <v>1648</v>
      </c>
      <c r="E260" s="22" t="str">
        <f t="shared" si="4"/>
        <v>140403:기타_종교_불교</v>
      </c>
    </row>
  </sheetData>
  <sheetProtection password="DCE4" sheet="1" objects="1" scenarios="1"/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32</vt:i4>
      </vt:variant>
    </vt:vector>
  </HeadingPairs>
  <TitlesOfParts>
    <vt:vector size="37" baseType="lpstr">
      <vt:lpstr>콘텐츠메타_클레버TV</vt:lpstr>
      <vt:lpstr>공통코드</vt:lpstr>
      <vt:lpstr>국가</vt:lpstr>
      <vt:lpstr>언어</vt:lpstr>
      <vt:lpstr>장르</vt:lpstr>
      <vt:lpstr>VR콘텐츠종류</vt:lpstr>
      <vt:lpstr>VR콘텐츠종류2</vt:lpstr>
      <vt:lpstr>과목명</vt:lpstr>
      <vt:lpstr>공통코드!관람등급</vt:lpstr>
      <vt:lpstr>관람등급</vt:lpstr>
      <vt:lpstr>국가코드</vt:lpstr>
      <vt:lpstr>단체분류</vt:lpstr>
      <vt:lpstr>방송요일</vt:lpstr>
      <vt:lpstr>방송채널</vt:lpstr>
      <vt:lpstr>서비스영상유형</vt:lpstr>
      <vt:lpstr>수준분류</vt:lpstr>
      <vt:lpstr>스포츠경기명</vt:lpstr>
      <vt:lpstr>스포츠방송유형</vt:lpstr>
      <vt:lpstr>시청등급</vt:lpstr>
      <vt:lpstr>언어코드</vt:lpstr>
      <vt:lpstr>여부</vt:lpstr>
      <vt:lpstr>영등위시청등급</vt:lpstr>
      <vt:lpstr>영등위심의내용</vt:lpstr>
      <vt:lpstr>영상구분</vt:lpstr>
      <vt:lpstr>영상유형</vt:lpstr>
      <vt:lpstr>완결여부</vt:lpstr>
      <vt:lpstr>입고유형</vt:lpstr>
      <vt:lpstr>자막더빙여부</vt:lpstr>
      <vt:lpstr>장르</vt:lpstr>
      <vt:lpstr>공통코드!장르CCCCC</vt:lpstr>
      <vt:lpstr>종교명</vt:lpstr>
      <vt:lpstr>추천연령</vt:lpstr>
      <vt:lpstr>학기</vt:lpstr>
      <vt:lpstr>학년</vt:lpstr>
      <vt:lpstr>학생분류</vt:lpstr>
      <vt:lpstr>화면비</vt:lpstr>
      <vt:lpstr>화질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Choimiran</dc:creator>
  <cp:lastModifiedBy>얼리버드</cp:lastModifiedBy>
  <cp:lastPrinted>2015-05-15T07:06:12Z</cp:lastPrinted>
  <dcterms:created xsi:type="dcterms:W3CDTF">2012-06-29T07:10:41Z</dcterms:created>
  <dcterms:modified xsi:type="dcterms:W3CDTF">2025-07-17T11:29:43Z</dcterms:modified>
</cp:coreProperties>
</file>