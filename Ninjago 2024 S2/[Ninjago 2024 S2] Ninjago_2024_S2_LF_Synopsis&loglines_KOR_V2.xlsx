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0"/>
  <workbookPr defaultThemeVersion="166925"/>
  <mc:AlternateContent xmlns:mc="http://schemas.openxmlformats.org/markup-compatibility/2006">
    <mc:Choice Requires="x15">
      <x15ac:absPath xmlns:x15ac="http://schemas.microsoft.com/office/spreadsheetml/2010/11/ac" url="https://sdimedia.sharepoint.com/sites/IPlusMediaOnly/Shared Documents/LEGO Ninjago Dragon Rising S2/납품 문서/"/>
    </mc:Choice>
  </mc:AlternateContent>
  <xr:revisionPtr revIDLastSave="33" documentId="13_ncr:1_{9DCF5201-7B1A-4EEA-BD4B-45DFFA5A537F}" xr6:coauthVersionLast="47" xr6:coauthVersionMax="47" xr10:uidLastSave="{03DEFB1B-2CDE-4406-933C-DE7348ED6EF3}"/>
  <bookViews>
    <workbookView xWindow="28680" yWindow="-120" windowWidth="29040" windowHeight="15840" xr2:uid="{F5E23858-A345-4324-A8D6-CB145C7A8BCC}"/>
  </bookViews>
  <sheets>
    <sheet name="TITLES, LOGLINES &amp; SYNOPSES" sheetId="3"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3" l="1"/>
  <c r="K44" i="3"/>
  <c r="I44" i="3"/>
  <c r="G44" i="3"/>
  <c r="E44" i="3"/>
  <c r="B44" i="3"/>
  <c r="A44" i="3"/>
  <c r="K43" i="3"/>
  <c r="I43" i="3"/>
  <c r="G43" i="3"/>
  <c r="E43" i="3"/>
  <c r="B43" i="3"/>
  <c r="A43" i="3"/>
  <c r="K42" i="3"/>
  <c r="I42" i="3"/>
  <c r="G42" i="3"/>
  <c r="E42" i="3"/>
  <c r="B42" i="3"/>
  <c r="A42" i="3"/>
  <c r="K41" i="3"/>
  <c r="I41" i="3"/>
  <c r="G41" i="3"/>
  <c r="E41" i="3"/>
  <c r="B41" i="3"/>
  <c r="A41" i="3"/>
  <c r="K40" i="3"/>
  <c r="I40" i="3"/>
  <c r="G40" i="3"/>
  <c r="E40" i="3"/>
  <c r="B40" i="3"/>
  <c r="A40" i="3"/>
  <c r="K39" i="3"/>
  <c r="I39" i="3"/>
  <c r="G39" i="3"/>
  <c r="E39" i="3"/>
  <c r="B39" i="3"/>
  <c r="A39" i="3"/>
  <c r="K38" i="3"/>
  <c r="I38" i="3"/>
  <c r="G38" i="3"/>
  <c r="E38" i="3"/>
  <c r="B38" i="3"/>
  <c r="A38" i="3"/>
  <c r="K37" i="3"/>
  <c r="I37" i="3"/>
  <c r="G37" i="3"/>
  <c r="E37" i="3"/>
  <c r="B37" i="3"/>
  <c r="A37" i="3"/>
  <c r="K36" i="3"/>
  <c r="I36" i="3"/>
  <c r="G36" i="3"/>
  <c r="E36" i="3"/>
  <c r="B36" i="3"/>
  <c r="A36" i="3"/>
  <c r="K35" i="3"/>
  <c r="I35" i="3"/>
  <c r="G35" i="3"/>
  <c r="E35" i="3"/>
  <c r="B35" i="3"/>
  <c r="A35" i="3"/>
  <c r="K34" i="3"/>
  <c r="I34" i="3"/>
  <c r="G34" i="3"/>
  <c r="E34" i="3"/>
  <c r="B34" i="3"/>
  <c r="A34" i="3"/>
  <c r="K33" i="3"/>
  <c r="I33" i="3"/>
  <c r="G33" i="3"/>
  <c r="E33" i="3"/>
  <c r="B33" i="3"/>
  <c r="A33" i="3"/>
  <c r="K32" i="3"/>
  <c r="I32" i="3"/>
  <c r="G32" i="3"/>
  <c r="E32" i="3"/>
  <c r="B32" i="3"/>
  <c r="A32" i="3"/>
  <c r="K31" i="3"/>
  <c r="I31" i="3"/>
  <c r="G31" i="3"/>
  <c r="E31" i="3"/>
  <c r="B31" i="3"/>
  <c r="A31" i="3"/>
  <c r="K30" i="3"/>
  <c r="I30" i="3"/>
  <c r="G30" i="3"/>
  <c r="E30" i="3"/>
  <c r="B30" i="3"/>
  <c r="A30" i="3"/>
  <c r="K29" i="3"/>
  <c r="I29" i="3"/>
  <c r="G29" i="3"/>
  <c r="E29" i="3"/>
  <c r="B29" i="3"/>
  <c r="A29" i="3"/>
  <c r="K28" i="3"/>
  <c r="I28" i="3"/>
  <c r="G28" i="3"/>
  <c r="E28" i="3"/>
  <c r="B28" i="3"/>
  <c r="A28" i="3"/>
  <c r="K27" i="3"/>
  <c r="I27" i="3"/>
  <c r="G27" i="3"/>
  <c r="E27" i="3"/>
  <c r="B27" i="3"/>
  <c r="A27" i="3"/>
  <c r="K26" i="3"/>
  <c r="I26" i="3"/>
  <c r="G26" i="3"/>
  <c r="E26" i="3"/>
  <c r="B26" i="3"/>
  <c r="A26" i="3"/>
  <c r="K25" i="3"/>
  <c r="I25" i="3"/>
  <c r="G25" i="3"/>
  <c r="E25" i="3"/>
  <c r="B25" i="3"/>
  <c r="A25" i="3"/>
  <c r="K24" i="3"/>
  <c r="I24" i="3"/>
  <c r="G24" i="3"/>
  <c r="E24" i="3"/>
  <c r="B24" i="3"/>
  <c r="A24" i="3"/>
  <c r="K23" i="3"/>
  <c r="I23" i="3"/>
  <c r="G23" i="3"/>
  <c r="E23" i="3"/>
  <c r="B23" i="3"/>
  <c r="A23" i="3"/>
  <c r="K22" i="3"/>
  <c r="I22" i="3"/>
  <c r="G22" i="3"/>
  <c r="E22" i="3"/>
  <c r="B22" i="3"/>
  <c r="A22" i="3"/>
  <c r="K21" i="3"/>
  <c r="I21" i="3"/>
  <c r="G21" i="3"/>
  <c r="E21" i="3"/>
  <c r="B21" i="3"/>
  <c r="A21" i="3"/>
  <c r="K20" i="3"/>
  <c r="I20" i="3"/>
  <c r="G20" i="3"/>
  <c r="E20" i="3"/>
  <c r="B20" i="3"/>
  <c r="A20" i="3"/>
  <c r="K19" i="3"/>
  <c r="I19" i="3"/>
  <c r="G19" i="3"/>
  <c r="E19" i="3"/>
  <c r="B19" i="3"/>
  <c r="A19" i="3"/>
  <c r="K18" i="3"/>
  <c r="I18" i="3"/>
  <c r="G18" i="3"/>
  <c r="E18" i="3"/>
  <c r="B18" i="3"/>
  <c r="A18" i="3"/>
  <c r="K17" i="3"/>
  <c r="I17" i="3"/>
  <c r="G17" i="3"/>
  <c r="E17" i="3"/>
  <c r="B17" i="3"/>
  <c r="A17" i="3"/>
  <c r="K16" i="3"/>
  <c r="I16" i="3"/>
  <c r="G16" i="3"/>
  <c r="E16" i="3"/>
  <c r="B16" i="3"/>
  <c r="A16" i="3"/>
  <c r="K15" i="3"/>
  <c r="I15" i="3"/>
  <c r="G15" i="3"/>
  <c r="E15" i="3"/>
  <c r="B15" i="3"/>
  <c r="A15" i="3"/>
  <c r="K14" i="3"/>
  <c r="I14" i="3"/>
  <c r="G14" i="3"/>
  <c r="E14" i="3"/>
  <c r="B14" i="3"/>
  <c r="A14" i="3"/>
  <c r="K13" i="3"/>
  <c r="I13" i="3"/>
  <c r="G13" i="3"/>
  <c r="E13" i="3"/>
  <c r="B13" i="3"/>
  <c r="A13" i="3"/>
  <c r="K12" i="3"/>
  <c r="I12" i="3"/>
  <c r="G12" i="3"/>
  <c r="E12" i="3"/>
  <c r="B12" i="3"/>
  <c r="A12" i="3"/>
  <c r="K11" i="3"/>
  <c r="I11" i="3"/>
  <c r="G11" i="3"/>
  <c r="E11" i="3"/>
  <c r="B11" i="3"/>
  <c r="A11" i="3"/>
  <c r="K10" i="3"/>
  <c r="I10" i="3"/>
  <c r="G10" i="3"/>
  <c r="E10" i="3"/>
  <c r="B10" i="3"/>
  <c r="A10" i="3"/>
  <c r="K9" i="3"/>
  <c r="I9" i="3"/>
  <c r="G9" i="3"/>
  <c r="E9" i="3"/>
  <c r="B9" i="3"/>
  <c r="A9" i="3"/>
  <c r="K8" i="3"/>
  <c r="I8" i="3"/>
  <c r="G8" i="3"/>
  <c r="E8" i="3"/>
  <c r="B8" i="3"/>
  <c r="A8" i="3"/>
  <c r="K7" i="3"/>
  <c r="I7" i="3"/>
  <c r="G7" i="3"/>
  <c r="E7" i="3"/>
  <c r="B7" i="3"/>
  <c r="A7" i="3"/>
  <c r="K6" i="3"/>
  <c r="I6" i="3"/>
  <c r="G6" i="3"/>
  <c r="E6" i="3"/>
  <c r="B6" i="3"/>
  <c r="A6" i="3"/>
  <c r="K5" i="3"/>
  <c r="I5" i="3"/>
  <c r="E5" i="3"/>
  <c r="B5" i="3"/>
  <c r="A5" i="3"/>
  <c r="K4" i="3"/>
  <c r="I4" i="3"/>
  <c r="G4" i="3"/>
  <c r="E4" i="3"/>
  <c r="B4" i="3"/>
  <c r="A4" i="3"/>
  <c r="K3" i="3"/>
  <c r="I3" i="3"/>
  <c r="G3" i="3"/>
  <c r="E3" i="3"/>
  <c r="B3" i="3"/>
  <c r="A1" i="3"/>
</calcChain>
</file>

<file path=xl/sharedStrings.xml><?xml version="1.0" encoding="utf-8"?>
<sst xmlns="http://schemas.openxmlformats.org/spreadsheetml/2006/main" count="43" uniqueCount="43">
  <si>
    <t>#</t>
  </si>
  <si>
    <t>ORG TITLES</t>
  </si>
  <si>
    <r>
      <rPr>
        <b/>
        <sz val="12"/>
        <color indexed="8"/>
        <rFont val="Calibri (Body)_x0000_"/>
      </rPr>
      <t>FLV</t>
    </r>
    <r>
      <rPr>
        <b/>
        <sz val="12"/>
        <color indexed="8"/>
        <rFont val="Calibri"/>
        <family val="2"/>
      </rPr>
      <t xml:space="preserve"> TITLES</t>
    </r>
  </si>
  <si>
    <t>ORG LOGLINES</t>
  </si>
  <si>
    <r>
      <rPr>
        <b/>
        <sz val="12"/>
        <color indexed="8"/>
        <rFont val="Calibri (Body)_x0000_"/>
      </rPr>
      <t>FLV</t>
    </r>
    <r>
      <rPr>
        <b/>
        <sz val="12"/>
        <color indexed="8"/>
        <rFont val="Calibri"/>
        <family val="2"/>
      </rPr>
      <t xml:space="preserve"> LOGLINES</t>
    </r>
  </si>
  <si>
    <t>Max.
150</t>
  </si>
  <si>
    <t>ORG SYNOPSES</t>
  </si>
  <si>
    <r>
      <rPr>
        <b/>
        <sz val="12"/>
        <color indexed="8"/>
        <rFont val="Calibri (Body)_x0000_"/>
      </rPr>
      <t>FLV</t>
    </r>
    <r>
      <rPr>
        <b/>
        <sz val="12"/>
        <color indexed="8"/>
        <rFont val="Calibri"/>
        <family val="2"/>
      </rPr>
      <t xml:space="preserve"> SYNOPSES</t>
    </r>
  </si>
  <si>
    <t>Max. 400</t>
  </si>
  <si>
    <t>SERIES</t>
  </si>
  <si>
    <t>닌자고 드래곤 라이징</t>
  </si>
  <si>
    <t xml:space="preserve">금지된 다섯'이라고 알려진 사악한 고대 원소 마스터들이 돌아오고, 닌자들은 이들을 막기 위해 새로운 힘을 배우고 소스 토터먼트에 참가해야 한다. </t>
  </si>
  <si>
    <t xml:space="preserve">섀터스핀'이라는 사악한 형태의 스핀짓주를 꺾기 위해, 닌자들은 숨어 지내는 드래곤 마스터들을 찾아가서 라이징 드래곤으로 알려진 반대 기술을 전수받으려고 한다. 로이드가 본 환영에 따라, 닌자들은 자신감을 되찾고 우정을 시험당한다. 라스 대장은 블러드문이 떠오를 때 금지된 다섯이라고 알려진 고대 원소 마스터들을 풀어주려 하지만, 그러려면 본즐이 의식을 마무리해야 한다. </t>
  </si>
  <si>
    <t>블러드문</t>
  </si>
  <si>
    <t>닌자들이 날마다 위기가 찾아오는 닌자고 시티를 지키는 동안,  새로운 원소 마스터가 닌자들의 숙적과 등장한다.</t>
  </si>
  <si>
    <t>일상으로 돌아간 닌자들은, 새로운 멤버인 아린, 소라, 와일드파이어, 그리고 성장한 리유와 함께 닌자고 시티와 크로스로드를 매일 벌어지는 위기에서 지키며 지내고 있다. 그런데 새로 등장한 원소 마스터, 신더와 늑대 가면을 쓴 사악한 군대가 등장한다. 로이드는 환영에서 블러드문을 보고 두려운 미래가 다가옴을 느낀다. 한편, 라스와 조다나는 병합된 영역에 새로운 위협이 될 사악한 비밀을 풀어버린다.</t>
  </si>
  <si>
    <t>산산이 부서진 꿈</t>
  </si>
  <si>
    <t>닌자는 라스로부터 클라우드 킹덤을 지키다가 라스의 새로운 무기, 파쇄의 징이 얼마나 강력한 건지를 직접 겪게 된다.</t>
  </si>
  <si>
    <t>신더와 마주친 이후, 닌자들은 도둑맞은 망치에 대한 정보를 쫓는다. 마침, 부상을 입은 유프라시아가 사원에 도움을 청하러 오고, 닌자들은 바람의 원소 마스터, 유프라시아와 함께 클라우드 킹덤으로 돌아가서 라스와 새로운 늑대 가면 군대를 막기로 한다. 라스는 파쇄의 징을 이용해서 늑대 가면들과 신더에게 더 강력한 힘을 넣어주고, 어둠의 기운에 밀린 닌자들은 일단 후퇴한다.</t>
  </si>
  <si>
    <t>판타즘 동굴을 넘어서</t>
  </si>
  <si>
    <t>신더에게 당한 패배로 충격받은 로이드는 닌자들을 이끌고 섀터스핀에 맞설 수 있는 기술을 가르쳐줄 새로운 마스터를 찾아 나선다.</t>
  </si>
  <si>
    <t>클라우드 킹덤에서의 패배로 충격받은 로이드는 소스 드래곤과 만나서 환영을 보고, 숨어 지내는 마스터를 찾아 사악한 스핀짓주 기술인 섀터스핀에 맞설 기술을 배우기 위해 닌자들과 길을 떠난다. 한편, 라스는 클라우드 킹덤을 자신의 새로운 본거지로 삼고 금지된 다섯을 풀어주기 위한 의식을 위해 마지막으로 필요한 요소를 찾아 나선다.</t>
  </si>
  <si>
    <t>동방에서 온 힘</t>
  </si>
  <si>
    <t>섀터스핀 기술을 이길 기술을 찾기 위해 떠난 닌자들은 새로운 마스터들을 만나고, 집으로 돌아온 콜은 공격을 받고 있는 발견자들을 보게 된다.</t>
  </si>
  <si>
    <t>닌자들은 마지막 테스트를 거쳐 섀터스핀을 이길 수 있는 은둔의 마스터들을 만나게 되는데, 마스터들의 정체는 두 명의 드래곤 전사들이었다. 드래곤 마스터들은 내켜하지 않으면서도 닌자들을 가르쳐주기로 한다. 한편, 라스와 늑대 가면 군대는 잃어버린 것들의 땅에서 사는 발견자들을 공격한다. 그러나 때마침 돌아온 콜이 라스로부터 본즐과 어린 발견자들을 구해낸다.</t>
  </si>
  <si>
    <t>폭포에서 만난 마법</t>
  </si>
  <si>
    <t>다른 닌자들은 드래곤 마스터 밑에서 훈련을 받고, 콜과 잔은 본즐의 진짜 정체를 알고 라스로부터 본즐을 지킬 계획을 고심한다.</t>
  </si>
  <si>
    <t>﻿로이드, 아린, 카이, 니야는 에갈트 밑에서 라이징 드래곤 기술을 배우고, 소라와 리유는 론투에게 스핀짓주를 배운다. 부상당한 와일드파이어는 옆에서 지켜보기로 한다. 콜과 발견자들은 사원에 도착하고, 쟌의 도움을 받아 늑대 가면 군사들과 싸운다. 그들은 본즐의 비밀을 알게 되고, 본즐을 이용해 금지된 다섯을 풀어주려는 라스에게서 본즐을 지킬 방법을 찾는다.</t>
  </si>
  <si>
    <t>미스테리움으로!</t>
  </si>
  <si>
    <t xml:space="preserve">콜, 쟌, 본즐은 미스테리움으로 향하는 험난한 여정을 시작하고, 한편, 아린은 좌절감 때문에 훈련을 받아도 실력이 늘지 않는다. </t>
  </si>
  <si>
    <r>
      <t>﻿</t>
    </r>
    <r>
      <rPr>
        <sz val="12"/>
        <color rgb="FF000000"/>
        <rFont val="맑은 고딕"/>
        <family val="3"/>
        <charset val="129"/>
      </rPr>
      <t>발견자들을</t>
    </r>
    <r>
      <rPr>
        <sz val="12"/>
        <color rgb="FF000000"/>
        <rFont val="Calibri"/>
        <family val="2"/>
      </rPr>
      <t xml:space="preserve"> </t>
    </r>
    <r>
      <rPr>
        <sz val="12"/>
        <color rgb="FF000000"/>
        <rFont val="맑은 고딕"/>
        <family val="3"/>
        <charset val="129"/>
      </rPr>
      <t>뒤로하고</t>
    </r>
    <r>
      <rPr>
        <sz val="12"/>
        <color rgb="FF000000"/>
        <rFont val="Calibri"/>
        <family val="2"/>
      </rPr>
      <t xml:space="preserve">, </t>
    </r>
    <r>
      <rPr>
        <sz val="12"/>
        <color rgb="FF000000"/>
        <rFont val="맑은 고딕"/>
        <family val="3"/>
        <charset val="129"/>
      </rPr>
      <t>콜은</t>
    </r>
    <r>
      <rPr>
        <sz val="12"/>
        <color rgb="FF000000"/>
        <rFont val="Calibri"/>
        <family val="2"/>
      </rPr>
      <t xml:space="preserve"> </t>
    </r>
    <r>
      <rPr>
        <sz val="12"/>
        <color rgb="FF000000"/>
        <rFont val="맑은 고딕"/>
        <family val="3"/>
        <charset val="129"/>
      </rPr>
      <t>쟌과</t>
    </r>
    <r>
      <rPr>
        <sz val="12"/>
        <color rgb="FF000000"/>
        <rFont val="Calibri"/>
        <family val="2"/>
      </rPr>
      <t xml:space="preserve"> </t>
    </r>
    <r>
      <rPr>
        <sz val="12"/>
        <color rgb="FF000000"/>
        <rFont val="맑은 고딕"/>
        <family val="3"/>
        <charset val="129"/>
      </rPr>
      <t>본즐과</t>
    </r>
    <r>
      <rPr>
        <sz val="12"/>
        <color rgb="FF000000"/>
        <rFont val="Calibri"/>
        <family val="2"/>
      </rPr>
      <t xml:space="preserve"> </t>
    </r>
    <r>
      <rPr>
        <sz val="12"/>
        <color rgb="FF000000"/>
        <rFont val="맑은 고딕"/>
        <family val="3"/>
        <charset val="129"/>
      </rPr>
      <t>함께</t>
    </r>
    <r>
      <rPr>
        <sz val="12"/>
        <color rgb="FF000000"/>
        <rFont val="Calibri"/>
        <family val="2"/>
      </rPr>
      <t xml:space="preserve"> </t>
    </r>
    <r>
      <rPr>
        <sz val="12"/>
        <color rgb="FF000000"/>
        <rFont val="맑은 고딕"/>
        <family val="3"/>
        <charset val="129"/>
      </rPr>
      <t>과거</t>
    </r>
    <r>
      <rPr>
        <sz val="12"/>
        <color rgb="FF000000"/>
        <rFont val="Calibri"/>
        <family val="2"/>
      </rPr>
      <t xml:space="preserve"> </t>
    </r>
    <r>
      <rPr>
        <sz val="12"/>
        <color rgb="FF000000"/>
        <rFont val="맑은 고딕"/>
        <family val="3"/>
        <charset val="129"/>
      </rPr>
      <t>마법의</t>
    </r>
    <r>
      <rPr>
        <sz val="12"/>
        <color rgb="FF000000"/>
        <rFont val="Calibri"/>
        <family val="2"/>
      </rPr>
      <t xml:space="preserve"> </t>
    </r>
    <r>
      <rPr>
        <sz val="12"/>
        <color rgb="FF000000"/>
        <rFont val="맑은 고딕"/>
        <family val="3"/>
        <charset val="129"/>
      </rPr>
      <t>영역이자</t>
    </r>
    <r>
      <rPr>
        <sz val="12"/>
        <color rgb="FF000000"/>
        <rFont val="Calibri"/>
        <family val="2"/>
      </rPr>
      <t xml:space="preserve"> </t>
    </r>
    <r>
      <rPr>
        <sz val="12"/>
        <color rgb="FF000000"/>
        <rFont val="맑은 고딕"/>
        <family val="3"/>
        <charset val="129"/>
      </rPr>
      <t>본즐의</t>
    </r>
    <r>
      <rPr>
        <sz val="12"/>
        <color rgb="FF000000"/>
        <rFont val="Calibri"/>
        <family val="2"/>
      </rPr>
      <t xml:space="preserve"> </t>
    </r>
    <r>
      <rPr>
        <sz val="12"/>
        <color rgb="FF000000"/>
        <rFont val="맑은 고딕"/>
        <family val="3"/>
        <charset val="129"/>
      </rPr>
      <t>고향인</t>
    </r>
    <r>
      <rPr>
        <sz val="12"/>
        <color rgb="FF000000"/>
        <rFont val="Calibri"/>
        <family val="2"/>
      </rPr>
      <t xml:space="preserve"> </t>
    </r>
    <r>
      <rPr>
        <sz val="12"/>
        <color rgb="FF000000"/>
        <rFont val="맑은 고딕"/>
        <family val="3"/>
        <charset val="129"/>
      </rPr>
      <t>미스테리움으로</t>
    </r>
    <r>
      <rPr>
        <sz val="12"/>
        <color rgb="FF000000"/>
        <rFont val="Calibri"/>
        <family val="2"/>
      </rPr>
      <t xml:space="preserve"> </t>
    </r>
    <r>
      <rPr>
        <sz val="12"/>
        <color rgb="FF000000"/>
        <rFont val="맑은 고딕"/>
        <family val="3"/>
        <charset val="129"/>
      </rPr>
      <t>떠난다</t>
    </r>
    <r>
      <rPr>
        <sz val="12"/>
        <color rgb="FF000000"/>
        <rFont val="Calibri"/>
        <family val="2"/>
      </rPr>
      <t xml:space="preserve">. </t>
    </r>
    <r>
      <rPr>
        <sz val="12"/>
        <color rgb="FF000000"/>
        <rFont val="맑은 고딕"/>
        <family val="3"/>
        <charset val="129"/>
      </rPr>
      <t>셋은</t>
    </r>
    <r>
      <rPr>
        <sz val="12"/>
        <color rgb="FF000000"/>
        <rFont val="Calibri"/>
        <family val="2"/>
      </rPr>
      <t xml:space="preserve"> </t>
    </r>
    <r>
      <rPr>
        <sz val="12"/>
        <color rgb="FF000000"/>
        <rFont val="맑은 고딕"/>
        <family val="3"/>
        <charset val="129"/>
      </rPr>
      <t>많은</t>
    </r>
    <r>
      <rPr>
        <sz val="12"/>
        <color rgb="FF000000"/>
        <rFont val="Calibri"/>
        <family val="2"/>
      </rPr>
      <t xml:space="preserve"> </t>
    </r>
    <r>
      <rPr>
        <sz val="12"/>
        <color rgb="FF000000"/>
        <rFont val="맑은 고딕"/>
        <family val="3"/>
        <charset val="129"/>
      </rPr>
      <t>위기를</t>
    </r>
    <r>
      <rPr>
        <sz val="12"/>
        <color rgb="FF000000"/>
        <rFont val="Calibri"/>
        <family val="2"/>
      </rPr>
      <t xml:space="preserve"> </t>
    </r>
    <r>
      <rPr>
        <sz val="12"/>
        <color rgb="FF000000"/>
        <rFont val="맑은 고딕"/>
        <family val="3"/>
        <charset val="129"/>
      </rPr>
      <t>겨우</t>
    </r>
    <r>
      <rPr>
        <sz val="12"/>
        <color rgb="FF000000"/>
        <rFont val="Calibri"/>
        <family val="2"/>
      </rPr>
      <t xml:space="preserve"> </t>
    </r>
    <r>
      <rPr>
        <sz val="12"/>
        <color rgb="FF000000"/>
        <rFont val="맑은 고딕"/>
        <family val="3"/>
        <charset val="129"/>
      </rPr>
      <t>통과했지만</t>
    </r>
    <r>
      <rPr>
        <sz val="12"/>
        <color rgb="FF000000"/>
        <rFont val="Calibri"/>
        <family val="2"/>
      </rPr>
      <t xml:space="preserve"> </t>
    </r>
    <r>
      <rPr>
        <sz val="12"/>
        <color rgb="FF000000"/>
        <rFont val="맑은 고딕"/>
        <family val="3"/>
        <charset val="129"/>
      </rPr>
      <t>결국</t>
    </r>
    <r>
      <rPr>
        <sz val="12"/>
        <color rgb="FF000000"/>
        <rFont val="Calibri"/>
        <family val="2"/>
      </rPr>
      <t xml:space="preserve"> </t>
    </r>
    <r>
      <rPr>
        <sz val="12"/>
        <color rgb="FF000000"/>
        <rFont val="맑은 고딕"/>
        <family val="3"/>
        <charset val="129"/>
      </rPr>
      <t>숙적의</t>
    </r>
    <r>
      <rPr>
        <sz val="12"/>
        <color rgb="FF000000"/>
        <rFont val="Calibri"/>
        <family val="2"/>
      </rPr>
      <t xml:space="preserve"> </t>
    </r>
    <r>
      <rPr>
        <sz val="12"/>
        <color rgb="FF000000"/>
        <rFont val="맑은 고딕"/>
        <family val="3"/>
        <charset val="129"/>
      </rPr>
      <t>함정에</t>
    </r>
    <r>
      <rPr>
        <sz val="12"/>
        <color rgb="FF000000"/>
        <rFont val="Calibri"/>
        <family val="2"/>
      </rPr>
      <t xml:space="preserve"> </t>
    </r>
    <r>
      <rPr>
        <sz val="12"/>
        <color rgb="FF000000"/>
        <rFont val="맑은 고딕"/>
        <family val="3"/>
        <charset val="129"/>
      </rPr>
      <t>빠지고</t>
    </r>
    <r>
      <rPr>
        <sz val="12"/>
        <color rgb="FF000000"/>
        <rFont val="Calibri"/>
        <family val="2"/>
      </rPr>
      <t xml:space="preserve"> </t>
    </r>
    <r>
      <rPr>
        <sz val="12"/>
        <color rgb="FF000000"/>
        <rFont val="맑은 고딕"/>
        <family val="3"/>
        <charset val="129"/>
      </rPr>
      <t>만다</t>
    </r>
    <r>
      <rPr>
        <sz val="12"/>
        <color rgb="FF000000"/>
        <rFont val="Calibri"/>
        <family val="2"/>
      </rPr>
      <t xml:space="preserve">. </t>
    </r>
    <r>
      <rPr>
        <sz val="12"/>
        <color rgb="FF000000"/>
        <rFont val="맑은 고딕"/>
        <family val="3"/>
        <charset val="129"/>
      </rPr>
      <t>한편</t>
    </r>
    <r>
      <rPr>
        <sz val="12"/>
        <color rgb="FF000000"/>
        <rFont val="Calibri"/>
        <family val="2"/>
      </rPr>
      <t xml:space="preserve">, </t>
    </r>
    <r>
      <rPr>
        <sz val="12"/>
        <color rgb="FF000000"/>
        <rFont val="맑은 고딕"/>
        <family val="3"/>
        <charset val="129"/>
      </rPr>
      <t>다른</t>
    </r>
    <r>
      <rPr>
        <sz val="12"/>
        <color rgb="FF000000"/>
        <rFont val="Calibri"/>
        <family val="2"/>
      </rPr>
      <t xml:space="preserve"> </t>
    </r>
    <r>
      <rPr>
        <sz val="12"/>
        <color rgb="FF000000"/>
        <rFont val="맑은 고딕"/>
        <family val="3"/>
        <charset val="129"/>
      </rPr>
      <t>닌자들은</t>
    </r>
    <r>
      <rPr>
        <sz val="12"/>
        <color rgb="FF000000"/>
        <rFont val="Calibri"/>
        <family val="2"/>
      </rPr>
      <t xml:space="preserve"> </t>
    </r>
    <r>
      <rPr>
        <sz val="12"/>
        <color rgb="FF000000"/>
        <rFont val="맑은 고딕"/>
        <family val="3"/>
        <charset val="129"/>
      </rPr>
      <t>라이징</t>
    </r>
    <r>
      <rPr>
        <sz val="12"/>
        <color rgb="FF000000"/>
        <rFont val="Calibri"/>
        <family val="2"/>
      </rPr>
      <t xml:space="preserve"> </t>
    </r>
    <r>
      <rPr>
        <sz val="12"/>
        <color rgb="FF000000"/>
        <rFont val="맑은 고딕"/>
        <family val="3"/>
        <charset val="129"/>
      </rPr>
      <t>드래곤</t>
    </r>
    <r>
      <rPr>
        <sz val="12"/>
        <color rgb="FF000000"/>
        <rFont val="Calibri"/>
        <family val="2"/>
      </rPr>
      <t xml:space="preserve"> </t>
    </r>
    <r>
      <rPr>
        <sz val="12"/>
        <color rgb="FF000000"/>
        <rFont val="맑은 고딕"/>
        <family val="3"/>
        <charset val="129"/>
      </rPr>
      <t>기술을</t>
    </r>
    <r>
      <rPr>
        <sz val="12"/>
        <color rgb="FF000000"/>
        <rFont val="Calibri"/>
        <family val="2"/>
      </rPr>
      <t xml:space="preserve"> </t>
    </r>
    <r>
      <rPr>
        <sz val="12"/>
        <color rgb="FF000000"/>
        <rFont val="맑은 고딕"/>
        <family val="3"/>
        <charset val="129"/>
      </rPr>
      <t>배우기</t>
    </r>
    <r>
      <rPr>
        <sz val="12"/>
        <color rgb="FF000000"/>
        <rFont val="Calibri"/>
        <family val="2"/>
      </rPr>
      <t xml:space="preserve"> </t>
    </r>
    <r>
      <rPr>
        <sz val="12"/>
        <color rgb="FF000000"/>
        <rFont val="맑은 고딕"/>
        <family val="3"/>
        <charset val="129"/>
      </rPr>
      <t>위해</t>
    </r>
    <r>
      <rPr>
        <sz val="12"/>
        <color rgb="FF000000"/>
        <rFont val="Calibri"/>
        <family val="2"/>
      </rPr>
      <t xml:space="preserve"> </t>
    </r>
    <r>
      <rPr>
        <sz val="12"/>
        <color rgb="FF000000"/>
        <rFont val="맑은 고딕"/>
        <family val="3"/>
        <charset val="129"/>
      </rPr>
      <t>힘든</t>
    </r>
    <r>
      <rPr>
        <sz val="12"/>
        <color rgb="FF000000"/>
        <rFont val="Calibri"/>
        <family val="2"/>
      </rPr>
      <t xml:space="preserve"> </t>
    </r>
    <r>
      <rPr>
        <sz val="12"/>
        <color rgb="FF000000"/>
        <rFont val="맑은 고딕"/>
        <family val="3"/>
        <charset val="129"/>
      </rPr>
      <t>훈련</t>
    </r>
    <r>
      <rPr>
        <sz val="12"/>
        <color rgb="FF000000"/>
        <rFont val="Calibri"/>
        <family val="2"/>
      </rPr>
      <t xml:space="preserve"> </t>
    </r>
    <r>
      <rPr>
        <sz val="12"/>
        <color rgb="FF000000"/>
        <rFont val="맑은 고딕"/>
        <family val="3"/>
        <charset val="129"/>
      </rPr>
      <t>중이다</t>
    </r>
    <r>
      <rPr>
        <sz val="12"/>
        <color rgb="FF000000"/>
        <rFont val="Calibri"/>
        <family val="2"/>
      </rPr>
      <t xml:space="preserve">. </t>
    </r>
    <r>
      <rPr>
        <sz val="12"/>
        <color rgb="FF000000"/>
        <rFont val="맑은 고딕"/>
        <family val="3"/>
        <charset val="129"/>
      </rPr>
      <t>론투는</t>
    </r>
    <r>
      <rPr>
        <sz val="12"/>
        <color rgb="FF000000"/>
        <rFont val="Calibri"/>
        <family val="2"/>
      </rPr>
      <t xml:space="preserve"> </t>
    </r>
    <r>
      <rPr>
        <sz val="12"/>
        <color rgb="FF000000"/>
        <rFont val="맑은 고딕"/>
        <family val="3"/>
        <charset val="129"/>
      </rPr>
      <t>소라와</t>
    </r>
    <r>
      <rPr>
        <sz val="12"/>
        <color rgb="FF000000"/>
        <rFont val="Calibri"/>
        <family val="2"/>
      </rPr>
      <t xml:space="preserve"> </t>
    </r>
    <r>
      <rPr>
        <sz val="12"/>
        <color rgb="FF000000"/>
        <rFont val="맑은 고딕"/>
        <family val="3"/>
        <charset val="129"/>
      </rPr>
      <t>리유한테서</t>
    </r>
    <r>
      <rPr>
        <sz val="12"/>
        <color rgb="FF000000"/>
        <rFont val="Calibri"/>
        <family val="2"/>
      </rPr>
      <t xml:space="preserve"> </t>
    </r>
    <r>
      <rPr>
        <sz val="12"/>
        <color rgb="FF000000"/>
        <rFont val="맑은 고딕"/>
        <family val="3"/>
        <charset val="129"/>
      </rPr>
      <t>가능성을</t>
    </r>
    <r>
      <rPr>
        <sz val="12"/>
        <color rgb="FF000000"/>
        <rFont val="Calibri"/>
        <family val="2"/>
      </rPr>
      <t xml:space="preserve"> </t>
    </r>
    <r>
      <rPr>
        <sz val="12"/>
        <color rgb="FF000000"/>
        <rFont val="맑은 고딕"/>
        <family val="3"/>
        <charset val="129"/>
      </rPr>
      <t>발견하지만</t>
    </r>
    <r>
      <rPr>
        <sz val="12"/>
        <color rgb="FF000000"/>
        <rFont val="Calibri"/>
        <family val="2"/>
      </rPr>
      <t xml:space="preserve">, </t>
    </r>
    <r>
      <rPr>
        <sz val="12"/>
        <color rgb="FF000000"/>
        <rFont val="맑은 고딕"/>
        <family val="3"/>
        <charset val="129"/>
      </rPr>
      <t>반면</t>
    </r>
    <r>
      <rPr>
        <sz val="12"/>
        <color rgb="FF000000"/>
        <rFont val="Calibri"/>
        <family val="2"/>
      </rPr>
      <t xml:space="preserve"> </t>
    </r>
    <r>
      <rPr>
        <sz val="12"/>
        <color rgb="FF000000"/>
        <rFont val="맑은 고딕"/>
        <family val="3"/>
        <charset val="129"/>
      </rPr>
      <t>아린은</t>
    </r>
    <r>
      <rPr>
        <sz val="12"/>
        <color rgb="FF000000"/>
        <rFont val="Calibri"/>
        <family val="2"/>
      </rPr>
      <t xml:space="preserve"> </t>
    </r>
    <r>
      <rPr>
        <sz val="12"/>
        <color rgb="FF000000"/>
        <rFont val="맑은 고딕"/>
        <family val="3"/>
        <charset val="129"/>
      </rPr>
      <t>좌절감</t>
    </r>
    <r>
      <rPr>
        <sz val="12"/>
        <color rgb="FF000000"/>
        <rFont val="Calibri"/>
        <family val="2"/>
      </rPr>
      <t xml:space="preserve"> </t>
    </r>
    <r>
      <rPr>
        <sz val="12"/>
        <color rgb="FF000000"/>
        <rFont val="맑은 고딕"/>
        <family val="3"/>
        <charset val="129"/>
      </rPr>
      <t>때문에</t>
    </r>
    <r>
      <rPr>
        <sz val="12"/>
        <color rgb="FF000000"/>
        <rFont val="Calibri"/>
        <family val="2"/>
      </rPr>
      <t xml:space="preserve"> </t>
    </r>
    <r>
      <rPr>
        <sz val="12"/>
        <color rgb="FF000000"/>
        <rFont val="맑은 고딕"/>
        <family val="3"/>
        <charset val="129"/>
      </rPr>
      <t>훈련이</t>
    </r>
    <r>
      <rPr>
        <sz val="12"/>
        <color rgb="FF000000"/>
        <rFont val="Calibri"/>
        <family val="2"/>
      </rPr>
      <t xml:space="preserve"> </t>
    </r>
    <r>
      <rPr>
        <sz val="12"/>
        <color rgb="FF000000"/>
        <rFont val="맑은 고딕"/>
        <family val="3"/>
        <charset val="129"/>
      </rPr>
      <t>잘되지</t>
    </r>
    <r>
      <rPr>
        <sz val="12"/>
        <color rgb="FF000000"/>
        <rFont val="Calibri"/>
        <family val="2"/>
      </rPr>
      <t xml:space="preserve"> </t>
    </r>
    <r>
      <rPr>
        <sz val="12"/>
        <color rgb="FF000000"/>
        <rFont val="맑은 고딕"/>
        <family val="3"/>
        <charset val="129"/>
      </rPr>
      <t>않는다</t>
    </r>
    <r>
      <rPr>
        <sz val="12"/>
        <color rgb="FF000000"/>
        <rFont val="Calibri"/>
        <family val="2"/>
      </rPr>
      <t xml:space="preserve">.  </t>
    </r>
    <phoneticPr fontId="9" type="noConversion"/>
  </si>
  <si>
    <t>광기의 추격자들</t>
  </si>
  <si>
    <t>콜과 쟌은 미스테리움에 있는 본즐을 만든 소서러스에게 본즐을 데려다주지만, 자신들을 뒤쫓아 온 누군가가 있다는 걸 알게 된다. 드디어 블러드문이 떠오르고, 닌자의 훈련은 중단되고 만다.</t>
  </si>
  <si>
    <t xml:space="preserve">﻿본즐은 자신을 만들어준 소서러스와 스핀짓주 사원의 본뜬 장소에서 재회한다. 눈물겨운 만남의 순간은 관리부 요원들의 등장으로 방해받고 결국 쟌은 압수되고 기능이 정지될 위기에 처한다. 한편, 니야는 카이가 드래곤 기술을 완성하는 걸 도와주지만, 블러드문이 떠오르면서, 닌자들의 훈련도 끝이 난다.  </t>
  </si>
  <si>
    <t>와일드니스의 비밀</t>
  </si>
  <si>
    <t>콜, 쟌, 소서러스는 본즐을 안전하게 지키려고 나서고, 다른 닌자들은 드래곤 전함을 타고 와일드니스에 도착하지만, 이미 라스가 기다리고 있다는 걸 알게 된다.</t>
  </si>
  <si>
    <t xml:space="preserve">드래곤 마스터들이 돌로 변해버리고 훈련이 중단되어 버렸지만, 로이드는 환영에서 본 대로 닌자들과 와일드니스로  향한다. 한편, 콜과 쟌이 관리부와 맞서 싸우는 동안 본즐과 스프라이트는 제이 워커 요원이 된 제이를  따돌리고 무사히 몸을 피한다. 결국 와일드니스로 향한 소서러스 일행은 늑대 가면들을 피해 안전한 마법 창고로 향하고, 드래곤 전함을 탄 로이드의 일행은 난파하고 만다.  </t>
  </si>
  <si>
    <t>혼령들의 숲</t>
  </si>
  <si>
    <t>카이, 소라, 와일드파이어는 섀도우 도장에 잠입하고 라스는 블러드문 의식을 시작한다. 한편, 콜과 쟌은 소서러스의 마법 보관실을 빠져나오려고 한다.</t>
  </si>
  <si>
    <t>라스는 클라우드 킹덤을 파괴하라는 명령을 내리고 블러드문 의식을 준비한다. 카이, 와일드파이어, 소라는 늑대 가면 병사들을 무찌르고 섀도우 도장에 잠입한다. 콜, 쟌, 소서러스는 마법을 써서 마법 보관소를 빠져나와 본즐이 끌려간 걸로 보이는 클라우드 킹덤으로  서둘러 향한다. 아린과 리유는 조다나를 우연히 만나고, 더 강력한 적과 마주하게 된다.</t>
  </si>
  <si>
    <t>라이징 닌자</t>
  </si>
  <si>
    <t>모든 길은 제대로 준비되지 못한 닌자를 라스와 맞서게 이끌고, 라스는 블러드문 의식을 거행하며 병합된 세상을 파괴하겠다고 위협한다.</t>
  </si>
  <si>
    <t>라스의 블러드문 의식을 막기 위해 섀도우 도장에 모여든 카이, 소라, 와일드파이어는 희생양들을 구해내고, 콜, 쟌, 소서러스는 유프라시아의 도움을 받아 클라우드 킹덤을 해방시킨다. 로이드, 니야, 리유, 아린은 조다나가 본즐을 이용해 금지된 다섯을 풀어주려는 순간에, 현장에 도착한다. 닌자는 라이징 드래곤  기술을  이용해 싸우며 큰 대가를 치르게 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</si>
</sst>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scheme val="minor"/>
    </font>
    <font>
      <sz val="12"/>
      <color indexed="8"/>
      <name val="Calibri"/>
      <family val="2"/>
    </font>
    <font>
      <b/>
      <u/>
      <sz val="24"/>
      <color indexed="8"/>
      <name val="Calibri"/>
      <family val="2"/>
    </font>
    <font>
      <b/>
      <sz val="12"/>
      <color indexed="8"/>
      <name val="Calibri"/>
      <family val="2"/>
    </font>
    <font>
      <b/>
      <sz val="12"/>
      <color indexed="8"/>
      <name val="Calibri (Body)_x0000_"/>
    </font>
    <font>
      <b/>
      <sz val="11"/>
      <color indexed="8"/>
      <name val="Calibri"/>
      <family val="2"/>
    </font>
    <font>
      <b/>
      <sz val="9"/>
      <color indexed="8"/>
      <name val="Calibri"/>
      <family val="2"/>
    </font>
    <font>
      <sz val="12"/>
      <color rgb="FF000000"/>
      <name val="Calibri"/>
      <family val="2"/>
    </font>
    <font>
      <b/>
      <sz val="11"/>
      <color rgb="FF000000"/>
      <name val="Calibri"/>
      <family val="2"/>
    </font>
    <font>
      <sz val="8"/>
      <name val="맑은 고딕"/>
      <family val="3"/>
      <charset val="129"/>
      <scheme val="minor"/>
    </font>
    <font>
      <sz val="12"/>
      <color rgb="FF000000"/>
      <name val="맑은 고딕"/>
      <family val="3"/>
      <charset val="129"/>
    </font>
    <font>
      <sz val="12"/>
      <color rgb="FF000000"/>
      <name val="Calibri"/>
    </font>
  </fonts>
  <fills count="5">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rgb="FFFFF2CC"/>
        <bgColor rgb="FF000000"/>
      </patternFill>
    </fill>
  </fills>
  <borders count="28">
    <border>
      <left/>
      <right/>
      <top/>
      <bottom/>
      <diagonal/>
    </border>
    <border>
      <left style="thin">
        <color indexed="14"/>
      </left>
      <right/>
      <top style="thin">
        <color indexed="14"/>
      </top>
      <bottom style="medium">
        <color indexed="8"/>
      </bottom>
      <diagonal/>
    </border>
    <border>
      <left/>
      <right/>
      <top style="thin">
        <color indexed="14"/>
      </top>
      <bottom style="medium">
        <color indexed="8"/>
      </bottom>
      <diagonal/>
    </border>
    <border>
      <left/>
      <right style="thin">
        <color indexed="14"/>
      </right>
      <top style="thin">
        <color indexed="14"/>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top style="medium">
        <color indexed="8"/>
      </top>
      <bottom style="medium">
        <color indexed="8"/>
      </bottom>
      <diagonal/>
    </border>
    <border>
      <left/>
      <right style="thin">
        <color indexed="8"/>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thin">
        <color indexed="8"/>
      </right>
      <top/>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14"/>
      </bottom>
      <diagonal/>
    </border>
    <border>
      <left style="thin">
        <color indexed="8"/>
      </left>
      <right style="thin">
        <color indexed="8"/>
      </right>
      <top style="medium">
        <color indexed="8"/>
      </top>
      <bottom style="thin">
        <color indexed="14"/>
      </bottom>
      <diagonal/>
    </border>
    <border>
      <left style="thin">
        <color indexed="8"/>
      </left>
      <right style="medium">
        <color indexed="8"/>
      </right>
      <top style="medium">
        <color indexed="8"/>
      </top>
      <bottom style="thin">
        <color indexed="14"/>
      </bottom>
      <diagonal/>
    </border>
    <border>
      <left style="medium">
        <color indexed="8"/>
      </left>
      <right style="thin">
        <color indexed="8"/>
      </right>
      <top style="thin">
        <color indexed="14"/>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14"/>
      </top>
      <bottom style="thin">
        <color indexed="14"/>
      </bottom>
      <diagonal/>
    </border>
    <border>
      <left style="medium">
        <color indexed="8"/>
      </left>
      <right style="thin">
        <color indexed="8"/>
      </right>
      <top style="thin">
        <color indexed="14"/>
      </top>
      <bottom style="medium">
        <color indexed="8"/>
      </bottom>
      <diagonal/>
    </border>
    <border>
      <left style="thin">
        <color indexed="8"/>
      </left>
      <right style="thin">
        <color indexed="8"/>
      </right>
      <top style="thin">
        <color indexed="14"/>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14"/>
      </top>
      <bottom style="medium">
        <color indexed="8"/>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Protection="0"/>
  </cellStyleXfs>
  <cellXfs count="43">
    <xf numFmtId="0" fontId="0" fillId="0" borderId="0" xfId="0"/>
    <xf numFmtId="49" fontId="2" fillId="0" borderId="1" xfId="1" applyNumberFormat="1" applyFont="1" applyFill="1" applyBorder="1" applyAlignment="1">
      <alignment horizontal="left" vertical="center"/>
    </xf>
    <xf numFmtId="0" fontId="1" fillId="0" borderId="2" xfId="1" applyFill="1" applyBorder="1" applyAlignment="1">
      <alignment vertical="center" wrapText="1"/>
    </xf>
    <xf numFmtId="0" fontId="1" fillId="0" borderId="3" xfId="1" applyFill="1" applyBorder="1" applyAlignment="1">
      <alignment vertical="center" wrapText="1"/>
    </xf>
    <xf numFmtId="0" fontId="1" fillId="0" borderId="0" xfId="1" applyNumberFormat="1" applyFill="1"/>
    <xf numFmtId="49" fontId="3" fillId="0" borderId="4" xfId="1" applyNumberFormat="1" applyFont="1" applyFill="1" applyBorder="1" applyAlignment="1">
      <alignment horizontal="center" vertical="center" wrapText="1"/>
    </xf>
    <xf numFmtId="49" fontId="3" fillId="0" borderId="5" xfId="1" applyNumberFormat="1" applyFont="1" applyFill="1" applyBorder="1" applyAlignment="1">
      <alignment vertical="center" wrapText="1"/>
    </xf>
    <xf numFmtId="0" fontId="5" fillId="0" borderId="10" xfId="1" applyFont="1" applyFill="1" applyBorder="1" applyAlignment="1">
      <alignment horizontal="center" vertical="center" wrapText="1"/>
    </xf>
    <xf numFmtId="49" fontId="3" fillId="0" borderId="5" xfId="1" applyNumberFormat="1" applyFont="1" applyFill="1" applyBorder="1" applyAlignment="1">
      <alignment horizontal="left" vertical="center" wrapText="1"/>
    </xf>
    <xf numFmtId="0" fontId="5" fillId="0" borderId="5" xfId="1" applyNumberFormat="1" applyFont="1" applyFill="1" applyBorder="1" applyAlignment="1">
      <alignment horizontal="center" vertical="center" wrapText="1"/>
    </xf>
    <xf numFmtId="0" fontId="5" fillId="0" borderId="11" xfId="1" applyNumberFormat="1" applyFont="1" applyFill="1" applyBorder="1" applyAlignment="1">
      <alignment horizontal="center" vertical="center" wrapText="1"/>
    </xf>
    <xf numFmtId="49" fontId="1" fillId="0" borderId="12" xfId="1" applyNumberFormat="1" applyFill="1" applyBorder="1" applyAlignment="1">
      <alignment vertical="center" wrapText="1"/>
    </xf>
    <xf numFmtId="49" fontId="1" fillId="0" borderId="13" xfId="1" applyNumberFormat="1" applyFill="1" applyBorder="1" applyAlignment="1">
      <alignment vertical="center" wrapText="1"/>
    </xf>
    <xf numFmtId="0" fontId="1" fillId="0" borderId="10" xfId="1" applyFill="1" applyBorder="1" applyAlignment="1">
      <alignment vertical="center" wrapText="1"/>
    </xf>
    <xf numFmtId="0" fontId="1" fillId="0" borderId="13" xfId="1" applyNumberFormat="1" applyFill="1" applyBorder="1" applyAlignment="1">
      <alignment vertical="center" wrapText="1"/>
    </xf>
    <xf numFmtId="0" fontId="1" fillId="0" borderId="14" xfId="1" applyNumberFormat="1" applyFill="1" applyBorder="1" applyAlignment="1">
      <alignment vertical="center" wrapText="1"/>
    </xf>
    <xf numFmtId="49" fontId="1" fillId="0" borderId="15" xfId="1" applyNumberFormat="1" applyFill="1" applyBorder="1" applyAlignment="1">
      <alignment vertical="center" wrapText="1"/>
    </xf>
    <xf numFmtId="49" fontId="1" fillId="0" borderId="16" xfId="1" applyNumberFormat="1" applyFill="1" applyBorder="1" applyAlignment="1">
      <alignment vertical="center" wrapText="1"/>
    </xf>
    <xf numFmtId="0" fontId="1" fillId="0" borderId="17" xfId="1" applyFill="1" applyBorder="1" applyAlignment="1">
      <alignment vertical="center" wrapText="1"/>
    </xf>
    <xf numFmtId="0" fontId="1" fillId="0" borderId="16" xfId="1" applyNumberFormat="1" applyFill="1" applyBorder="1" applyAlignment="1">
      <alignment vertical="center" wrapText="1"/>
    </xf>
    <xf numFmtId="0" fontId="1" fillId="0" borderId="18" xfId="1" applyNumberFormat="1" applyFill="1" applyBorder="1" applyAlignment="1">
      <alignment vertical="center" wrapText="1"/>
    </xf>
    <xf numFmtId="49" fontId="1" fillId="0" borderId="19" xfId="1" applyNumberFormat="1" applyFill="1" applyBorder="1" applyAlignment="1">
      <alignment vertical="center" wrapText="1"/>
    </xf>
    <xf numFmtId="49" fontId="1" fillId="0" borderId="20" xfId="1" applyNumberFormat="1" applyFill="1" applyBorder="1" applyAlignment="1">
      <alignment vertical="center" wrapText="1"/>
    </xf>
    <xf numFmtId="0" fontId="1" fillId="0" borderId="21" xfId="1" applyFill="1" applyBorder="1" applyAlignment="1">
      <alignment vertical="center" wrapText="1"/>
    </xf>
    <xf numFmtId="0" fontId="1" fillId="0" borderId="22" xfId="1" applyFill="1" applyBorder="1" applyAlignment="1">
      <alignment vertical="center" wrapText="1"/>
    </xf>
    <xf numFmtId="0" fontId="1" fillId="0" borderId="20" xfId="1" applyNumberFormat="1" applyFill="1" applyBorder="1" applyAlignment="1">
      <alignment vertical="center" wrapText="1"/>
    </xf>
    <xf numFmtId="0" fontId="1" fillId="0" borderId="23" xfId="1" applyNumberFormat="1" applyFill="1" applyBorder="1" applyAlignment="1">
      <alignment vertical="center" wrapText="1"/>
    </xf>
    <xf numFmtId="49" fontId="3" fillId="3" borderId="5" xfId="1" applyNumberFormat="1" applyFont="1" applyFill="1" applyBorder="1" applyAlignment="1">
      <alignment horizontal="center" vertical="center" wrapText="1"/>
    </xf>
    <xf numFmtId="0" fontId="5" fillId="3" borderId="6" xfId="1" applyFont="1" applyFill="1" applyBorder="1" applyAlignment="1">
      <alignment horizontal="center" vertical="center" wrapText="1"/>
    </xf>
    <xf numFmtId="49" fontId="3" fillId="3" borderId="7" xfId="1" applyNumberFormat="1" applyFont="1" applyFill="1" applyBorder="1" applyAlignment="1">
      <alignment horizontal="center" vertical="center" wrapText="1"/>
    </xf>
    <xf numFmtId="49" fontId="6" fillId="3" borderId="8" xfId="1" applyNumberFormat="1" applyFont="1" applyFill="1" applyBorder="1" applyAlignment="1">
      <alignment horizontal="center" vertical="center" wrapText="1"/>
    </xf>
    <xf numFmtId="49" fontId="6" fillId="3" borderId="9" xfId="1" applyNumberFormat="1" applyFont="1" applyFill="1" applyBorder="1" applyAlignment="1">
      <alignment horizontal="center" vertical="center" wrapText="1"/>
    </xf>
    <xf numFmtId="0" fontId="1" fillId="2" borderId="5" xfId="1" applyFill="1" applyBorder="1" applyAlignment="1">
      <alignment vertical="center" wrapText="1"/>
    </xf>
    <xf numFmtId="0" fontId="1" fillId="2" borderId="17" xfId="1" applyFill="1" applyBorder="1" applyAlignment="1">
      <alignment vertical="center" wrapText="1"/>
    </xf>
    <xf numFmtId="0" fontId="5" fillId="2" borderId="5" xfId="1" applyFont="1" applyFill="1" applyBorder="1" applyAlignment="1">
      <alignment horizontal="center" vertical="center" wrapText="1"/>
    </xf>
    <xf numFmtId="0" fontId="7" fillId="4" borderId="24" xfId="0" applyFont="1" applyFill="1" applyBorder="1" applyAlignment="1">
      <alignment wrapText="1"/>
    </xf>
    <xf numFmtId="0" fontId="7" fillId="4" borderId="25" xfId="0" applyFont="1" applyFill="1" applyBorder="1" applyAlignment="1">
      <alignment vertical="center" wrapText="1"/>
    </xf>
    <xf numFmtId="0" fontId="7" fillId="4" borderId="26" xfId="0" applyFont="1" applyFill="1" applyBorder="1" applyAlignment="1">
      <alignment vertical="center" wrapText="1"/>
    </xf>
    <xf numFmtId="0" fontId="7" fillId="4" borderId="24" xfId="0" applyFont="1" applyFill="1" applyBorder="1" applyAlignment="1">
      <alignment vertical="center" wrapText="1"/>
    </xf>
    <xf numFmtId="0" fontId="8" fillId="4" borderId="24" xfId="0" applyFont="1" applyFill="1" applyBorder="1" applyAlignment="1">
      <alignment horizontal="left" vertical="center" wrapText="1"/>
    </xf>
    <xf numFmtId="0" fontId="11" fillId="4" borderId="27" xfId="0" applyFont="1" applyFill="1" applyBorder="1" applyAlignment="1">
      <alignment horizontal="left" vertical="center" wrapText="1"/>
    </xf>
    <xf numFmtId="0" fontId="11" fillId="4" borderId="27" xfId="0" applyFont="1" applyFill="1" applyBorder="1" applyAlignment="1">
      <alignment vertical="center" wrapText="1"/>
    </xf>
    <xf numFmtId="0" fontId="11" fillId="4" borderId="26" xfId="0" applyFont="1" applyFill="1" applyBorder="1" applyAlignment="1">
      <alignment vertical="center" wrapText="1"/>
    </xf>
  </cellXfs>
  <cellStyles count="2">
    <cellStyle name="Normal 2" xfId="1" xr:uid="{52A9356D-D660-4E06-843E-E4BE1E82A0CB}"/>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legogroup-my.sharepoint.com/personal/adewunmi_salami_lego_com/Documents/Desktop/IYUNO/Work%20Orders/Ninjago/Dragons%20Rising/S2/Ninjago_Dragons_Rising_S2_2024_Dubbing_Production_Metadata_v3.xlsx" TargetMode="External"/><Relationship Id="rId1" Type="http://schemas.openxmlformats.org/officeDocument/2006/relationships/externalLinkPath" Target="https://legogroup-my.sharepoint.com/personal/adewunmi_salami_lego_com/Documents/Desktop/IYUNO/Work%20Orders/Ninjago/Dragons%20Rising/S2/Ninjago_Dragons_Rising_S2_2024_Dubbing_Production_Metadata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INFO - PLEASE READ"/>
      <sheetName val="GENERAL INFO"/>
      <sheetName val="SONG LIST"/>
      <sheetName val="KEY PHRASES, LOCATIONS, PROPS.."/>
      <sheetName val="LOGLINES &amp; SYNOPSES"/>
      <sheetName val="CHARACTER LIST"/>
      <sheetName val="DUBBING BIBLE"/>
      <sheetName val="TITLES, LOGLINES &amp; SYNOPSES"/>
      <sheetName val="TERMS LIST"/>
      <sheetName val="CREDITS"/>
    </sheetNames>
    <sheetDataSet>
      <sheetData sheetId="0"/>
      <sheetData sheetId="1">
        <row r="6">
          <cell r="C6" t="str">
            <v>LEGO®</v>
          </cell>
          <cell r="D6" t="str">
            <v>Ninjago</v>
          </cell>
          <cell r="E6" t="str">
            <v>Dragons Rising</v>
          </cell>
          <cell r="H6">
            <v>201</v>
          </cell>
          <cell r="I6" t="str">
            <v>The Blood Moon</v>
          </cell>
        </row>
        <row r="7">
          <cell r="H7">
            <v>202</v>
          </cell>
          <cell r="I7" t="str">
            <v>Shattered Dreams</v>
          </cell>
        </row>
        <row r="8">
          <cell r="C8">
            <v>2</v>
          </cell>
          <cell r="H8">
            <v>203</v>
          </cell>
          <cell r="I8" t="str">
            <v>Beyond the Phantasm Cave</v>
          </cell>
        </row>
        <row r="9">
          <cell r="C9" t="str">
            <v>N/A</v>
          </cell>
          <cell r="H9">
            <v>204</v>
          </cell>
          <cell r="I9" t="str">
            <v>Force From the East</v>
          </cell>
        </row>
        <row r="10">
          <cell r="C10">
            <v>2024</v>
          </cell>
          <cell r="H10">
            <v>205</v>
          </cell>
          <cell r="I10" t="str">
            <v>The Spell at the Waterfall</v>
          </cell>
        </row>
        <row r="11">
          <cell r="H11">
            <v>206</v>
          </cell>
          <cell r="I11" t="str">
            <v>To Mysterium</v>
          </cell>
        </row>
        <row r="12">
          <cell r="H12">
            <v>207</v>
          </cell>
          <cell r="I12" t="str">
            <v>Fugitives From Madness</v>
          </cell>
        </row>
        <row r="13">
          <cell r="H13">
            <v>208</v>
          </cell>
          <cell r="I13" t="str">
            <v>Secrets of the Wyldness</v>
          </cell>
        </row>
        <row r="14">
          <cell r="H14">
            <v>209</v>
          </cell>
          <cell r="I14" t="str">
            <v>The Forest of Spirits</v>
          </cell>
        </row>
        <row r="15">
          <cell r="H15">
            <v>210</v>
          </cell>
          <cell r="I15" t="str">
            <v>Rising Ninja</v>
          </cell>
        </row>
        <row r="16">
          <cell r="H16">
            <v>211</v>
          </cell>
          <cell r="I16" t="str">
            <v>The Shape of Motion</v>
          </cell>
        </row>
        <row r="17">
          <cell r="H17">
            <v>212</v>
          </cell>
          <cell r="I17" t="str">
            <v>Enter the City of Temples</v>
          </cell>
        </row>
        <row r="18">
          <cell r="H18">
            <v>213</v>
          </cell>
          <cell r="I18" t="str">
            <v>They Gather for the Feast</v>
          </cell>
        </row>
        <row r="19">
          <cell r="H19">
            <v>214</v>
          </cell>
          <cell r="I19" t="str">
            <v>Inside the Maze</v>
          </cell>
        </row>
        <row r="20">
          <cell r="H20">
            <v>215</v>
          </cell>
          <cell r="I20" t="str">
            <v>United We Fall</v>
          </cell>
        </row>
        <row r="21">
          <cell r="H21">
            <v>216</v>
          </cell>
          <cell r="I21" t="str">
            <v>Truth and Lies</v>
          </cell>
        </row>
        <row r="22">
          <cell r="H22">
            <v>217</v>
          </cell>
          <cell r="I22" t="str">
            <v>The Sword Shatters</v>
          </cell>
        </row>
        <row r="23">
          <cell r="H23">
            <v>218</v>
          </cell>
          <cell r="I23" t="str">
            <v>Clues and Suspects</v>
          </cell>
        </row>
        <row r="24">
          <cell r="H24">
            <v>219</v>
          </cell>
          <cell r="I24" t="str">
            <v>The Final Game</v>
          </cell>
        </row>
        <row r="25">
          <cell r="H25">
            <v>220</v>
          </cell>
          <cell r="I25" t="str">
            <v>Elements of Betrayal</v>
          </cell>
        </row>
      </sheetData>
      <sheetData sheetId="2"/>
      <sheetData sheetId="3"/>
      <sheetData sheetId="4">
        <row r="6">
          <cell r="D6" t="str">
            <v>To stop the return of ancient evil Elemental Masters known as the Forbidden Five, the Ninja must learn a new power and enter a Tournament of Sources.</v>
          </cell>
          <cell r="F6" t="str">
            <v>To combat an evil form of Spinjitzu, “Shatterspin,” the Ninja seek out hermit Dragon Masters to train them in a counter-technique known as Rising Dragon. Guided by Lloyd’s visions, they find their confidence and friendships tested. Lord Ras wants to free ancient Elemental Masters known as the Forbidden Five during the coming Blood Moon but needs Cole’s Finder, Bonzle, to complete the ritual.</v>
          </cell>
        </row>
        <row r="7">
          <cell r="D7" t="str">
            <v>While protecting Ninjago City from daily threats, the Ninja encounter a new Elemental Master in league with an old enemy.</v>
          </cell>
          <cell r="F7" t="str">
            <v>Back in the swing of things, the Ninja, including new members Arin, Sora, Wyldfyre, and a larger Riyu protect Ninjago City and the Crossroads from daily threats. A new Elemental Master named Cinder emerges alongside a villainous army in Wolf Masks. Lloyd's visions warn him of a Blood Moon and a dreaded future to come. Meanwhile, Ras and Jordana unlock a new threat to the Merged Lands. </v>
          </cell>
        </row>
        <row r="8">
          <cell r="D8" t="str">
            <v>The Ninja defend the Cloud Kingdom from Ras and see firsthand the power of his new weapon - the Gong of Shattering.</v>
          </cell>
          <cell r="F8" t="str">
            <v>Following their encounter with Cinder, the Ninja track down information on the stolen mallet. An injured Euphrasia comes to the Monastery for help, and the Ninja return with the Elemental Master of Wind to defend the Cloud Kingdom from Ras and his new Wolf Mask Army. Ras uses the Gong of Shattering to empower the Wolf Masks and Cinder, who unleashes a dark new technique to defeat the Ninja.</v>
          </cell>
        </row>
        <row r="9">
          <cell r="D9" t="str">
            <v>Reeling from their recent defeat, Lloyd leads the Ninja in a search for a new master who can combat the new threat of Shatterspin.</v>
          </cell>
          <cell r="F9" t="str">
            <v>Reeling from defeat in the Cloud Kingdom, Lloyd reaches out to the Source Dragons and receives a vision that sets the Ninja on a journey to find a hidden, hermit Master capable of combating this new, evil form of Spinjitzu, Shatterspin. Meanwhile, Ras turns the Cloud Kingdom into his new floating base and seeks out the final component in the ritual to free the Forbidden Five. </v>
          </cell>
        </row>
        <row r="10">
          <cell r="D10" t="str">
            <v>The Ninja’s search to defeat Shatterspin leads them to new masters while Cole returns home to find the Finders under attack.</v>
          </cell>
          <cell r="F10" t="str">
            <v>The Ninja undergo a final test in their search to find the hermit Master capable of fighting Shatterspin only to discover their new teachers are two dragon warriors. The Dragon Masters reluctantly agree to train the Ninja. Meanwhile, Ras and the Wolf Mask army attack the Finders in the Land of Lost Things. Cole returns in time to protect Bonzle from Ras and his evil plans for the young Finder.</v>
          </cell>
        </row>
        <row r="11">
          <cell r="D11" t="str">
            <v>While the Ninja train under the Dragon Masters, Cole and Zane learn Bonzle’s true nature and devise a plan to protect her from Ras.</v>
          </cell>
          <cell r="F11" t="str">
            <v>Lloyd, Arin, Kai, and Nya train under Egalt to learn Rising Dragon Technique while Sora and Riyu learn Spinjitzu from Rontu and an injured Wyldfyre watches from the sidelines. Cole and the Finders arrive at the Monastery and fight off the Wolf Masks with Zane’s help. They learn Bonzle’s secret origin and devise a way to protect her from Ras before he can use her to free the Forbidden Five. </v>
          </cell>
        </row>
        <row r="12">
          <cell r="D12" t="str">
            <v>Cole, Zane, and Bonzle chart a treacherous course to Mysterium while Arin gives into frustrations and delivers a setback to the Ninja’s training.</v>
          </cell>
          <cell r="F12" t="str">
            <v>Leaving the Finders behind, Cole joins Zane and Bonzle on a journey to Mysterium, the former realm of magic and Bonzle’s land of origin. They pass through many hazards only to fall into the trap of an old foe. Meanwhile, the Ninja struggle to learn the Rising Dragon Technique. Rontu sees potential in Sora and young Riyu, while Arin’s frustrations deliver a setback to his training. </v>
          </cell>
        </row>
        <row r="13">
          <cell r="D13" t="str">
            <v>Cole and Zane deliver Bonzle to her creator in Mysterium and discover they were followed, as the Blood Moon rises, cutting the Ninja’s training short.</v>
          </cell>
          <cell r="F13" t="str">
            <v>Bonzle reunites with her creator, the Sorceress, in a mysterious duplicate of the Monastery of Spinjitzu. Their tearful reunion is interrupted by the arrival of Agents of the Administration, there to confiscate and decommission Zane. Meanwhile, Nya helps Kai achieve Rising Dragon Technique just as the Blood Moon rises, cutting the Ninja’s training short. </v>
          </cell>
        </row>
        <row r="14">
          <cell r="D14" t="str">
            <v>Cole, Zane, and the Sorceress attempt to lead Bonzle to safety as the Ninja arrive in the Wyldness on the Bounty only to find Ras waiting for them.</v>
          </cell>
          <cell r="F14" t="str">
            <v>With the Dragon Masters turned to stone, Lloyd’s visions guide the Ninja to the Wyldness before their training is complete. Meanwhile, Cole and Zane fight the Administration, allowing Bonzle, Sprite and the Sorceress to escape past Agent Jay Walker – a former Ninja! They reunite in the Wyldness and sneak past Wolf Mask soldiers towards potential safety, just as the Bounty arrives – and crashes. </v>
          </cell>
        </row>
        <row r="15">
          <cell r="D15" t="str">
            <v>Kai, Sora, and Wyldfyre infiltrate the Shadow Dojo as Ras begins the Blood Moon Ritual while Cole and Zane try to escape the Sorceress’s spell vault.</v>
          </cell>
          <cell r="F15" t="str">
            <v>Ras orders the destruction of the Cloud Kingdom and prepares the Blood Moon ritual as Kai, Wyldfyre, and Sora defeat Wolf Mask soldiers and infiltrate the Shadow Dojo. Cole, Zane, and the Sorceress experiment with magic to escape the Spell Storehouse and rush to the Cloud Kingdom where they believe Bonzle was taken. Arin and Riyu cross paths with Jordana only to face a greater enemy. </v>
          </cell>
        </row>
        <row r="16">
          <cell r="D16" t="str">
            <v>All roads lead the ill-prepared Ninja to confront Ras as he enacts the Blood Moon Ritual and threatens to destroy the merged lands. </v>
          </cell>
          <cell r="F16" t="str">
            <v>Converging on the Shadow Dojo to stop Ras’s Blood Moon Ritual, Kai, Sora, and Wyldfyre rescue the sacrifices while Cole, Zane, and the Sorceress liberate the Cloud Kingdom with the help of Euphrasia. Lloyd, Nya, Riyu, and Arin, fresh off his defeat, arrive as Jordana uses Bonzle to free the first of the Forbidden Five. The Ninja unleash the Rising Dragon technique at considerable cost. </v>
          </cell>
        </row>
        <row r="17">
          <cell r="D17" t="str">
            <v>While searching for his parents, Arin and the Ninja rescue a baby dragon, uncovering a new mystery and mission for the team.</v>
          </cell>
          <cell r="F17" t="str">
            <v>A mission in the Land of Madness to find his parents leads Arin to a gravely wounded Matriarch of the Mountain Dragons. When Riyu’s tribe mother falls to her injuries, the Ninja race her offspring back to the nest and encounter an old foe. The Ninja must solve the Matriarch’s murder and accept a new mission from the Source Dragon of Motion to determine who stole the Matriarch’s horns – and why.</v>
          </cell>
        </row>
        <row r="18">
          <cell r="D18" t="str">
            <v>When the Ninja are not invited to the Tournament of Sources, they break into the City of Temples to earn their entry.</v>
          </cell>
          <cell r="F18" t="str">
            <v>The Ninja reach the gateway to the Tournament of Sources only to discover they have not been invited. To break into the City of Temples, they must ascend the plateau, scaling impossible heights and battling high-tech security forces only to find themselves at the center of opening ceremonies. Meanwhile, Kai and Bonzle evade the remaining Forbidden Five as they try to escape the Nether-Space. </v>
          </cell>
        </row>
        <row r="19">
          <cell r="D19" t="str">
            <v>A banquet for the Elemental Masters and an assassination attempt against Lloyd introduce new threats to the Ninja at the tournament.</v>
          </cell>
          <cell r="F19" t="str">
            <v>After earning invitations to the Tournament of Sources, the Ninja attend a banquet for Elemental Masters with friendly faces and old enemies, and Lloyd confronts a familiar face from his vision. Later that night, he finds himself the target of an assassination attempt. Meanwhile, Arin reconnects with a friend to discover he’s inherited the Elemental Power they both once dreamed about. </v>
          </cell>
        </row>
        <row r="20">
          <cell r="D20" t="str">
            <v>The Tournament of Sources begins, and Nya faces an unexpected opponent. Meanwhile, Kai and Bonzle find a connection outside the Nether-Space.</v>
          </cell>
          <cell r="F20" t="str">
            <v>The Ninja prepare for the Tournament of Sources. Arin continues his investigation into the missing horns but makes time for Frak, who Sora suspects is working for Ras. Nya’s first match pits her against Jay, still with no memory of their past. She must choose between her feelings for Jay and the Ninjas’ mission. Meanwhile, Kai and Bonzle discover a connection with Riyu outside the Nether-Space. </v>
          </cell>
        </row>
        <row r="21">
          <cell r="D21" t="str">
            <v>After a shocking defeat, the Ninja must complete a race around Temple City in order to stay in the Tournament of Sources.</v>
          </cell>
          <cell r="F21" t="str">
            <v>In her match against Cinder, Wyldfyre’s temper proves a liability in and out of the arena. In order to stay in the Tournament, the Ninja invoke an ancient rule that requires them to compete in a race outside of  Temple City. Elsewhere, Riyu follows Kai’s voice and leads Arin into a confrontation with Ras. </v>
          </cell>
        </row>
        <row r="22">
          <cell r="D22" t="str">
            <v>The Tournament of Sources continues, with both the Ninja and Ras’s team advancing in the games. Meanwhile, Arin confronts Sora about a revelation.</v>
          </cell>
          <cell r="F22" t="str">
            <v>Arin grapples with Ras’s accusation that Master Wu caused the Merge while the Ninja complete the Temple Race and win their way back into the Tournament. The next round of games finds Ras’s team keeping pace with the Ninja, as Arin confronts Sora about a secret before her match against Cinder. A restless Cole finds a familiar sight and a new mystery.</v>
          </cell>
        </row>
        <row r="23">
          <cell r="D23" t="str">
            <v>Arin’s investigation into the missing horns leads him to a new suspect while Lloyd prepares for the fight against Zeatrix, foretold by his visions.</v>
          </cell>
          <cell r="F23" t="str">
            <v>Arin follows a lead in his investigation of the missing horns to the Temple City Museum. A tour from Roby reveals a deeper connection between the Tournament and Source Dragons. The games intensify, as does Lloyd's anxiety over an inevitable fight against Zeatrix. Lloyd must prove his vision wrong or fall to her blade. </v>
          </cell>
        </row>
        <row r="24">
          <cell r="D24" t="str">
            <v>Arin is determined to prove Roby's guilt, but while Lloyd recovers for his match against a member of the Forbidden Five. </v>
          </cell>
          <cell r="F24" t="str">
            <v>Roby and Blekt visit an injured Lloyd to complete the transfer of Zeatrix’s powers. Arin links Bleckt to a clue in his investigation and follows him back to a secret office, where Wyldfyre has an idea to uncover his plans. Lloyd arrives at his match against Nokt of the Forbidden Five only to face another hurdle, and Sora provides Arin another piece of the puzzle.</v>
          </cell>
        </row>
        <row r="25">
          <cell r="D25" t="str">
            <v>Secrets are revealed at the final match of the Tournament of Sources! The battle to protect the dragon horns begins.</v>
          </cell>
          <cell r="F25" t="str">
            <v>Arin learns a devastating secret about the Merge and confronts Lloyd as Cole stays behind to protect the dragon horns. Sora faces off against Nokt, and Wyldfyre is too late to stop the manipulation of the games. Nokt and Rox reveal their true intentions, to the surprise of everyone – including Ras! The Tournament ends but the real fight to stop the return of the Forbidden Five begins! </v>
          </cell>
        </row>
        <row r="26">
          <cell r="D26" t="str">
            <v>The Ninja face off against the Forbidden Five! Unexpected allies turn the tide of battle, and Arin makes a difficult decision.</v>
          </cell>
          <cell r="F26" t="str">
            <v>Arin, Zane, and Cole make a shocking discovery in the Monastery of Gates as they defend the Dragon Horns. The depowered Elemental Masters clash with the Wolf Mask army as Lloyd and some unlikely allies join the fight to stop Nokt from releasing the Forbidden Five. A last-minute arrival turns the tide of battle, and Arin makes a desperate attempt to learn the whereabouts of his parents.</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26A5-3B61-4DE2-A341-C32DAF16BD36}">
  <dimension ref="A1:K44"/>
  <sheetViews>
    <sheetView showGridLines="0" tabSelected="1" zoomScale="60" zoomScaleNormal="60" workbookViewId="0">
      <selection activeCell="F15" sqref="F15"/>
    </sheetView>
  </sheetViews>
  <sheetFormatPr defaultColWidth="10.125" defaultRowHeight="15.95" customHeight="1"/>
  <cols>
    <col min="1" max="1" width="9.25" style="4" customWidth="1"/>
    <col min="2" max="3" width="30.75" style="4" customWidth="1"/>
    <col min="4" max="4" width="1.75" style="4" customWidth="1"/>
    <col min="5" max="6" width="51" style="4" customWidth="1"/>
    <col min="7" max="7" width="6.75" style="4" customWidth="1"/>
    <col min="8" max="8" width="1.75" style="4" customWidth="1"/>
    <col min="9" max="10" width="81.125" style="4" customWidth="1"/>
    <col min="11" max="11" width="6" style="4" customWidth="1"/>
    <col min="12" max="12" width="10.125" style="4" customWidth="1"/>
    <col min="13" max="16384" width="10.125" style="4"/>
  </cols>
  <sheetData>
    <row r="1" spans="1:11" ht="32.1" customHeight="1" thickBot="1">
      <c r="A1" s="1" t="str">
        <f>"LOGLINES &amp; SYNOPSES - "&amp;" "&amp;'[1]GENERAL INFO'!C6&amp;" "&amp;'[1]GENERAL INFO'!D6&amp;" "&amp;'[1]GENERAL INFO'!E6&amp;","&amp;" "&amp;"Season"&amp;" "&amp;'[1]GENERAL INFO'!C8&amp;" "&amp;"("&amp;'[1]GENERAL INFO'!C10&amp;")"</f>
        <v>LOGLINES &amp; SYNOPSES -  LEGO® Ninjago Dragons Rising, Season 2 (2024)</v>
      </c>
      <c r="B1" s="2"/>
      <c r="C1" s="2"/>
      <c r="D1" s="2"/>
      <c r="E1" s="2"/>
      <c r="F1" s="2"/>
      <c r="G1" s="2"/>
      <c r="H1" s="2"/>
      <c r="I1" s="2"/>
      <c r="J1" s="2"/>
      <c r="K1" s="3"/>
    </row>
    <row r="2" spans="1:11" ht="27" customHeight="1">
      <c r="A2" s="5" t="s">
        <v>0</v>
      </c>
      <c r="B2" s="27" t="s">
        <v>1</v>
      </c>
      <c r="C2" s="27" t="s">
        <v>2</v>
      </c>
      <c r="D2" s="28"/>
      <c r="E2" s="27" t="s">
        <v>3</v>
      </c>
      <c r="F2" s="29" t="s">
        <v>4</v>
      </c>
      <c r="G2" s="30" t="s">
        <v>5</v>
      </c>
      <c r="H2" s="28"/>
      <c r="I2" s="27" t="s">
        <v>6</v>
      </c>
      <c r="J2" s="29" t="s">
        <v>7</v>
      </c>
      <c r="K2" s="31" t="s">
        <v>8</v>
      </c>
    </row>
    <row r="3" spans="1:11" ht="18" customHeight="1">
      <c r="A3" s="5" t="s">
        <v>9</v>
      </c>
      <c r="B3" s="6" t="str">
        <f>'[1]GENERAL INFO'!C6&amp;" "&amp;'[1]GENERAL INFO'!D6&amp;" "&amp;'[1]GENERAL INFO'!E6</f>
        <v>LEGO® Ninjago Dragons Rising</v>
      </c>
      <c r="C3" s="35" t="s">
        <v>10</v>
      </c>
      <c r="D3" s="7"/>
      <c r="E3" s="8" t="str">
        <f>IF('[1]LOGLINES &amp; SYNOPSES'!D5&lt;&gt;"",'[1]LOGLINES &amp; SYNOPSES'!D5,"")</f>
        <v/>
      </c>
      <c r="F3" s="34"/>
      <c r="G3" s="9">
        <f t="shared" ref="G3:G44" si="0">LEN(F3)</f>
        <v>0</v>
      </c>
      <c r="H3" s="7"/>
      <c r="I3" s="8" t="str">
        <f>IF('[1]LOGLINES &amp; SYNOPSES'!F5&lt;&gt;"",'[1]LOGLINES &amp; SYNOPSES'!F5,"")</f>
        <v/>
      </c>
      <c r="J3" s="32"/>
      <c r="K3" s="10">
        <f t="shared" ref="K3:K44" si="1">LEN(J3)</f>
        <v>0</v>
      </c>
    </row>
    <row r="4" spans="1:11" ht="101.1" customHeight="1">
      <c r="A4" s="5" t="str">
        <f>"Season"&amp;" "&amp;'[1]GENERAL INFO'!C8&amp;" "&amp;"("&amp;'[1]GENERAL INFO'!C10&amp;")"</f>
        <v>Season 2 (2024)</v>
      </c>
      <c r="B4" s="6" t="str">
        <f>IF('[1]GENERAL INFO'!C9&lt;&gt;"",'[1]GENERAL INFO'!C9,"n/a")</f>
        <v>N/A</v>
      </c>
      <c r="C4" s="32"/>
      <c r="D4" s="7"/>
      <c r="E4" s="8" t="str">
        <f>IF('[1]LOGLINES &amp; SYNOPSES'!D6&lt;&gt;"",'[1]LOGLINES &amp; SYNOPSES'!D6,"n/a")</f>
        <v>To stop the return of ancient evil Elemental Masters known as the Forbidden Five, the Ninja must learn a new power and enter a Tournament of Sources.</v>
      </c>
      <c r="F4" s="39" t="s">
        <v>11</v>
      </c>
      <c r="G4" s="9">
        <f>LEN(F4)</f>
        <v>81</v>
      </c>
      <c r="H4" s="7"/>
      <c r="I4" s="8" t="str">
        <f>IF('[1]LOGLINES &amp; SYNOPSES'!F6&lt;&gt;"",'[1]LOGLINES &amp; SYNOPSES'!F6,"n/a")</f>
        <v>To combat an evil form of Spinjitzu, “Shatterspin,” the Ninja seek out hermit Dragon Masters to train them in a counter-technique known as Rising Dragon. Guided by Lloyd’s visions, they find their confidence and friendships tested. Lord Ras wants to free ancient Elemental Masters known as the Forbidden Five during the coming Blood Moon but needs Cole’s Finder, Bonzle, to complete the ritual.</v>
      </c>
      <c r="J4" s="38" t="s">
        <v>12</v>
      </c>
      <c r="K4" s="10">
        <f t="shared" si="1"/>
        <v>207</v>
      </c>
    </row>
    <row r="5" spans="1:11" ht="100.5" customHeight="1">
      <c r="A5" s="11" t="str">
        <f>IF('[1]GENERAL INFO'!H6&lt;&gt;"","Ep."&amp;" "&amp;'[1]GENERAL INFO'!H6,"")</f>
        <v>Ep. 201</v>
      </c>
      <c r="B5" s="12" t="str">
        <f>IF('[1]GENERAL INFO'!I6&lt;&gt;"",'[1]GENERAL INFO'!I6,"")</f>
        <v>The Blood Moon</v>
      </c>
      <c r="C5" s="36" t="s">
        <v>13</v>
      </c>
      <c r="D5" s="13"/>
      <c r="E5" s="12" t="str">
        <f>IF('[1]LOGLINES &amp; SYNOPSES'!D7&lt;&gt;"",'[1]LOGLINES &amp; SYNOPSES'!D7,"")</f>
        <v>While protecting Ninjago City from daily threats, the Ninja encounter a new Elemental Master in league with an old enemy.</v>
      </c>
      <c r="F5" s="36" t="s">
        <v>14</v>
      </c>
      <c r="G5" s="14">
        <f>LEN(F5)</f>
        <v>61</v>
      </c>
      <c r="H5" s="13"/>
      <c r="I5" s="12" t="str">
        <f>IF('[1]LOGLINES &amp; SYNOPSES'!F7&lt;&gt;"",'[1]LOGLINES &amp; SYNOPSES'!F7,"")</f>
        <v>Back in the swing of things, the Ninja, including new members Arin, Sora, Wyldfyre, and a larger Riyu protect Ninjago City and the Crossroads from daily threats. A new Elemental Master named Cinder emerges alongside a villainous army in Wolf Masks. Lloyd's visions warn him of a Blood Moon and a dreaded future to come. Meanwhile, Ras and Jordana unlock a new threat to the Merged Lands. </v>
      </c>
      <c r="J5" s="37" t="s">
        <v>15</v>
      </c>
      <c r="K5" s="15">
        <f t="shared" si="1"/>
        <v>222</v>
      </c>
    </row>
    <row r="6" spans="1:11" ht="90" customHeight="1">
      <c r="A6" s="16" t="str">
        <f>IF('[1]GENERAL INFO'!H7&lt;&gt;"","Ep."&amp;" "&amp;'[1]GENERAL INFO'!H7,"")</f>
        <v>Ep. 202</v>
      </c>
      <c r="B6" s="17" t="str">
        <f>IF('[1]GENERAL INFO'!I7&lt;&gt;"",'[1]GENERAL INFO'!I7,"")</f>
        <v>Shattered Dreams</v>
      </c>
      <c r="C6" s="37" t="s">
        <v>16</v>
      </c>
      <c r="D6" s="13"/>
      <c r="E6" s="17" t="str">
        <f>IF('[1]LOGLINES &amp; SYNOPSES'!D8&lt;&gt;"",'[1]LOGLINES &amp; SYNOPSES'!D8,"")</f>
        <v>The Ninja defend the Cloud Kingdom from Ras and see firsthand the power of his new weapon - the Gong of Shattering.</v>
      </c>
      <c r="F6" s="37" t="s">
        <v>17</v>
      </c>
      <c r="G6" s="19">
        <f t="shared" si="0"/>
        <v>64</v>
      </c>
      <c r="H6" s="13"/>
      <c r="I6" s="17" t="str">
        <f>IF('[1]LOGLINES &amp; SYNOPSES'!F8&lt;&gt;"",'[1]LOGLINES &amp; SYNOPSES'!F8,"")</f>
        <v>Following their encounter with Cinder, the Ninja track down information on the stolen mallet. An injured Euphrasia comes to the Monastery for help, and the Ninja return with the Elemental Master of Wind to defend the Cloud Kingdom from Ras and his new Wolf Mask Army. Ras uses the Gong of Shattering to empower the Wolf Masks and Cinder, who unleashes a dark new technique to defeat the Ninja.</v>
      </c>
      <c r="J6" s="37" t="s">
        <v>18</v>
      </c>
      <c r="K6" s="20">
        <f t="shared" si="1"/>
        <v>208</v>
      </c>
    </row>
    <row r="7" spans="1:11" ht="102" customHeight="1">
      <c r="A7" s="16" t="str">
        <f>IF('[1]GENERAL INFO'!H8&lt;&gt;"","Ep."&amp;" "&amp;'[1]GENERAL INFO'!H8,"")</f>
        <v>Ep. 203</v>
      </c>
      <c r="B7" s="17" t="str">
        <f>IF('[1]GENERAL INFO'!I8&lt;&gt;"",'[1]GENERAL INFO'!I8,"")</f>
        <v>Beyond the Phantasm Cave</v>
      </c>
      <c r="C7" s="37" t="s">
        <v>19</v>
      </c>
      <c r="D7" s="13"/>
      <c r="E7" s="17" t="str">
        <f>IF('[1]LOGLINES &amp; SYNOPSES'!D9&lt;&gt;"",'[1]LOGLINES &amp; SYNOPSES'!D9,"")</f>
        <v>Reeling from their recent defeat, Lloyd leads the Ninja in a search for a new master who can combat the new threat of Shatterspin.</v>
      </c>
      <c r="F7" s="37" t="s">
        <v>20</v>
      </c>
      <c r="G7" s="19">
        <f t="shared" si="0"/>
        <v>70</v>
      </c>
      <c r="H7" s="13"/>
      <c r="I7" s="17" t="str">
        <f>IF('[1]LOGLINES &amp; SYNOPSES'!F9&lt;&gt;"",'[1]LOGLINES &amp; SYNOPSES'!F9,"")</f>
        <v>Reeling from defeat in the Cloud Kingdom, Lloyd reaches out to the Source Dragons and receives a vision that sets the Ninja on a journey to find a hidden, hermit Master capable of combating this new, evil form of Spinjitzu, Shatterspin. Meanwhile, Ras turns the Cloud Kingdom into his new floating base and seeks out the final component in the ritual to free the Forbidden Five. </v>
      </c>
      <c r="J7" s="37" t="s">
        <v>21</v>
      </c>
      <c r="K7" s="20">
        <f t="shared" si="1"/>
        <v>183</v>
      </c>
    </row>
    <row r="8" spans="1:11" ht="102" customHeight="1">
      <c r="A8" s="16" t="str">
        <f>IF('[1]GENERAL INFO'!H9&lt;&gt;"","Ep."&amp;" "&amp;'[1]GENERAL INFO'!H9,"")</f>
        <v>Ep. 204</v>
      </c>
      <c r="B8" s="17" t="str">
        <f>IF('[1]GENERAL INFO'!I9&lt;&gt;"",'[1]GENERAL INFO'!I9,"")</f>
        <v>Force From the East</v>
      </c>
      <c r="C8" s="37" t="s">
        <v>22</v>
      </c>
      <c r="D8" s="13"/>
      <c r="E8" s="17" t="str">
        <f>IF('[1]LOGLINES &amp; SYNOPSES'!D10&lt;&gt;"",'[1]LOGLINES &amp; SYNOPSES'!D10,"")</f>
        <v>The Ninja’s search to defeat Shatterspin leads them to new masters while Cole returns home to find the Finders under attack.</v>
      </c>
      <c r="F8" s="37" t="s">
        <v>23</v>
      </c>
      <c r="G8" s="19">
        <f t="shared" si="0"/>
        <v>78</v>
      </c>
      <c r="H8" s="13"/>
      <c r="I8" s="17" t="str">
        <f>IF('[1]LOGLINES &amp; SYNOPSES'!F10&lt;&gt;"",'[1]LOGLINES &amp; SYNOPSES'!F10,"")</f>
        <v>The Ninja undergo a final test in their search to find the hermit Master capable of fighting Shatterspin only to discover their new teachers are two dragon warriors. The Dragon Masters reluctantly agree to train the Ninja. Meanwhile, Ras and the Wolf Mask army attack the Finders in the Land of Lost Things. Cole returns in time to protect Bonzle from Ras and his evil plans for the young Finder.</v>
      </c>
      <c r="J8" s="37" t="s">
        <v>24</v>
      </c>
      <c r="K8" s="20">
        <f t="shared" si="1"/>
        <v>199</v>
      </c>
    </row>
    <row r="9" spans="1:11" ht="102" customHeight="1">
      <c r="A9" s="16" t="str">
        <f>IF('[1]GENERAL INFO'!H10&lt;&gt;"","Ep."&amp;" "&amp;'[1]GENERAL INFO'!H10,"")</f>
        <v>Ep. 205</v>
      </c>
      <c r="B9" s="17" t="str">
        <f>IF('[1]GENERAL INFO'!I10&lt;&gt;"",'[1]GENERAL INFO'!I10,"")</f>
        <v>The Spell at the Waterfall</v>
      </c>
      <c r="C9" s="33" t="s">
        <v>25</v>
      </c>
      <c r="D9" s="13"/>
      <c r="E9" s="17" t="str">
        <f>IF('[1]LOGLINES &amp; SYNOPSES'!D11&lt;&gt;"",'[1]LOGLINES &amp; SYNOPSES'!D11,"")</f>
        <v>While the Ninja train under the Dragon Masters, Cole and Zane learn Bonzle’s true nature and devise a plan to protect her from Ras.</v>
      </c>
      <c r="F9" s="33" t="s">
        <v>26</v>
      </c>
      <c r="G9" s="19">
        <f t="shared" si="0"/>
        <v>70</v>
      </c>
      <c r="H9" s="13"/>
      <c r="I9" s="17" t="str">
        <f>IF('[1]LOGLINES &amp; SYNOPSES'!F11&lt;&gt;"",'[1]LOGLINES &amp; SYNOPSES'!F11,"")</f>
        <v>Lloyd, Arin, Kai, and Nya train under Egalt to learn Rising Dragon Technique while Sora and Riyu learn Spinjitzu from Rontu and an injured Wyldfyre watches from the sidelines. Cole and the Finders arrive at the Monastery and fight off the Wolf Masks with Zane’s help. They learn Bonzle’s secret origin and devise a way to protect her from Ras before he can use her to free the Forbidden Five. </v>
      </c>
      <c r="J9" s="33" t="s">
        <v>27</v>
      </c>
      <c r="K9" s="20">
        <f t="shared" si="1"/>
        <v>201</v>
      </c>
    </row>
    <row r="10" spans="1:11" ht="84.95" customHeight="1">
      <c r="A10" s="16" t="str">
        <f>IF('[1]GENERAL INFO'!H11&lt;&gt;"","Ep."&amp;" "&amp;'[1]GENERAL INFO'!H11,"")</f>
        <v>Ep. 206</v>
      </c>
      <c r="B10" s="17" t="str">
        <f>IF('[1]GENERAL INFO'!I11&lt;&gt;"",'[1]GENERAL INFO'!I11,"")</f>
        <v>To Mysterium</v>
      </c>
      <c r="C10" s="33" t="s">
        <v>28</v>
      </c>
      <c r="D10" s="13"/>
      <c r="E10" s="17" t="str">
        <f>IF('[1]LOGLINES &amp; SYNOPSES'!D12&lt;&gt;"",'[1]LOGLINES &amp; SYNOPSES'!D12,"")</f>
        <v>Cole, Zane, and Bonzle chart a treacherous course to Mysterium while Arin gives into frustrations and delivers a setback to the Ninja’s training.</v>
      </c>
      <c r="F10" s="33" t="s">
        <v>29</v>
      </c>
      <c r="G10" s="19">
        <f t="shared" si="0"/>
        <v>72</v>
      </c>
      <c r="H10" s="13"/>
      <c r="I10" s="17" t="str">
        <f>IF('[1]LOGLINES &amp; SYNOPSES'!F12&lt;&gt;"",'[1]LOGLINES &amp; SYNOPSES'!F12,"")</f>
        <v>Leaving the Finders behind, Cole joins Zane and Bonzle on a journey to Mysterium, the former realm of magic and Bonzle’s land of origin. They pass through many hazards only to fall into the trap of an old foe. Meanwhile, the Ninja struggle to learn the Rising Dragon Technique. Rontu sees potential in Sora and young Riyu, while Arin’s frustrations deliver a setback to his training. </v>
      </c>
      <c r="J10" s="33" t="s">
        <v>30</v>
      </c>
      <c r="K10" s="20">
        <f t="shared" si="1"/>
        <v>194</v>
      </c>
    </row>
    <row r="11" spans="1:11" ht="108" customHeight="1">
      <c r="A11" s="16" t="str">
        <f>IF('[1]GENERAL INFO'!H12&lt;&gt;"","Ep."&amp;" "&amp;'[1]GENERAL INFO'!H12,"")</f>
        <v>Ep. 207</v>
      </c>
      <c r="B11" s="17" t="str">
        <f>IF('[1]GENERAL INFO'!I12&lt;&gt;"",'[1]GENERAL INFO'!I12,"")</f>
        <v>Fugitives From Madness</v>
      </c>
      <c r="C11" s="33" t="s">
        <v>31</v>
      </c>
      <c r="D11" s="13"/>
      <c r="E11" s="17" t="str">
        <f>IF('[1]LOGLINES &amp; SYNOPSES'!D13&lt;&gt;"",'[1]LOGLINES &amp; SYNOPSES'!D13,"")</f>
        <v>Cole and Zane deliver Bonzle to her creator in Mysterium and discover they were followed, as the Blood Moon rises, cutting the Ninja’s training short.</v>
      </c>
      <c r="F11" s="33" t="s">
        <v>32</v>
      </c>
      <c r="G11" s="19">
        <f t="shared" si="0"/>
        <v>103</v>
      </c>
      <c r="H11" s="13"/>
      <c r="I11" s="17" t="str">
        <f>IF('[1]LOGLINES &amp; SYNOPSES'!F13&lt;&gt;"",'[1]LOGLINES &amp; SYNOPSES'!F13,"")</f>
        <v>Bonzle reunites with her creator, the Sorceress, in a mysterious duplicate of the Monastery of Spinjitzu. Their tearful reunion is interrupted by the arrival of Agents of the Administration, there to confiscate and decommission Zane. Meanwhile, Nya helps Kai achieve Rising Dragon Technique just as the Blood Moon rises, cutting the Ninja’s training short. </v>
      </c>
      <c r="J11" s="33" t="s">
        <v>33</v>
      </c>
      <c r="K11" s="20">
        <f t="shared" si="1"/>
        <v>167</v>
      </c>
    </row>
    <row r="12" spans="1:11" ht="84.95" customHeight="1">
      <c r="A12" s="16" t="str">
        <f>IF('[1]GENERAL INFO'!H13&lt;&gt;"","Ep."&amp;" "&amp;'[1]GENERAL INFO'!H13,"")</f>
        <v>Ep. 208</v>
      </c>
      <c r="B12" s="17" t="str">
        <f>IF('[1]GENERAL INFO'!I13&lt;&gt;"",'[1]GENERAL INFO'!I13,"")</f>
        <v>Secrets of the Wyldness</v>
      </c>
      <c r="C12" s="33" t="s">
        <v>34</v>
      </c>
      <c r="D12" s="13"/>
      <c r="E12" s="17" t="str">
        <f>IF('[1]LOGLINES &amp; SYNOPSES'!D14&lt;&gt;"",'[1]LOGLINES &amp; SYNOPSES'!D14,"")</f>
        <v>Cole, Zane, and the Sorceress attempt to lead Bonzle to safety as the Ninja arrive in the Wyldness on the Bounty only to find Ras waiting for them.</v>
      </c>
      <c r="F12" s="33" t="s">
        <v>35</v>
      </c>
      <c r="G12" s="19">
        <f t="shared" si="0"/>
        <v>88</v>
      </c>
      <c r="H12" s="13"/>
      <c r="I12" s="17" t="str">
        <f>IF('[1]LOGLINES &amp; SYNOPSES'!F14&lt;&gt;"",'[1]LOGLINES &amp; SYNOPSES'!F14,"")</f>
        <v>With the Dragon Masters turned to stone, Lloyd’s visions guide the Ninja to the Wyldness before their training is complete. Meanwhile, Cole and Zane fight the Administration, allowing Bonzle, Sprite and the Sorceress to escape past Agent Jay Walker – a former Ninja! They reunite in the Wyldness and sneak past Wolf Mask soldiers towards potential safety, just as the Bounty arrives – and crashes. </v>
      </c>
      <c r="J12" s="33" t="s">
        <v>36</v>
      </c>
      <c r="K12" s="20">
        <f t="shared" si="1"/>
        <v>215</v>
      </c>
    </row>
    <row r="13" spans="1:11" ht="84.95" customHeight="1">
      <c r="A13" s="16" t="str">
        <f>IF('[1]GENERAL INFO'!H14&lt;&gt;"","Ep."&amp;" "&amp;'[1]GENERAL INFO'!H14,"")</f>
        <v>Ep. 209</v>
      </c>
      <c r="B13" s="17" t="str">
        <f>IF('[1]GENERAL INFO'!I14&lt;&gt;"",'[1]GENERAL INFO'!I14,"")</f>
        <v>The Forest of Spirits</v>
      </c>
      <c r="C13" s="40" t="s">
        <v>37</v>
      </c>
      <c r="D13" s="13"/>
      <c r="E13" s="17" t="str">
        <f>IF('[1]LOGLINES &amp; SYNOPSES'!D15&lt;&gt;"",'[1]LOGLINES &amp; SYNOPSES'!D15,"")</f>
        <v>Kai, Sora, and Wyldfyre infiltrate the Shadow Dojo as Ras begins the Blood Moon Ritual while Cole and Zane try to escape the Sorceress’s spell vault.</v>
      </c>
      <c r="F13" s="41" t="s">
        <v>38</v>
      </c>
      <c r="G13" s="19">
        <f t="shared" si="0"/>
        <v>82</v>
      </c>
      <c r="H13" s="13"/>
      <c r="I13" s="17" t="str">
        <f>IF('[1]LOGLINES &amp; SYNOPSES'!F15&lt;&gt;"",'[1]LOGLINES &amp; SYNOPSES'!F15,"")</f>
        <v>Ras orders the destruction of the Cloud Kingdom and prepares the Blood Moon ritual as Kai, Wyldfyre, and Sora defeat Wolf Mask soldiers and infiltrate the Shadow Dojo. Cole, Zane, and the Sorceress experiment with magic to escape the Spell Storehouse and rush to the Cloud Kingdom where they believe Bonzle was taken. Arin and Riyu cross paths with Jordana only to face a greater enemy. </v>
      </c>
      <c r="J13" s="41" t="s">
        <v>39</v>
      </c>
      <c r="K13" s="20">
        <f t="shared" si="1"/>
        <v>194</v>
      </c>
    </row>
    <row r="14" spans="1:11" ht="102" customHeight="1">
      <c r="A14" s="16" t="str">
        <f>IF('[1]GENERAL INFO'!H15&lt;&gt;"","Ep."&amp;" "&amp;'[1]GENERAL INFO'!H15,"")</f>
        <v>Ep. 210</v>
      </c>
      <c r="B14" s="17" t="str">
        <f>IF('[1]GENERAL INFO'!I15&lt;&gt;"",'[1]GENERAL INFO'!I15,"")</f>
        <v>Rising Ninja</v>
      </c>
      <c r="C14" s="33" t="s">
        <v>40</v>
      </c>
      <c r="D14" s="13"/>
      <c r="E14" s="17" t="str">
        <f>IF('[1]LOGLINES &amp; SYNOPSES'!D16&lt;&gt;"",'[1]LOGLINES &amp; SYNOPSES'!D16,"")</f>
        <v>All roads lead the ill-prepared Ninja to confront Ras as he enacts the Blood Moon Ritual and threatens to destroy the merged lands. </v>
      </c>
      <c r="F14" s="42" t="s">
        <v>41</v>
      </c>
      <c r="G14" s="19">
        <f t="shared" si="0"/>
        <v>73</v>
      </c>
      <c r="H14" s="13"/>
      <c r="I14" s="17" t="str">
        <f>IF('[1]LOGLINES &amp; SYNOPSES'!F16&lt;&gt;"",'[1]LOGLINES &amp; SYNOPSES'!F16,"")</f>
        <v>Converging on the Shadow Dojo to stop Ras’s Blood Moon Ritual, Kai, Sora, and Wyldfyre rescue the sacrifices while Cole, Zane, and the Sorceress liberate the Cloud Kingdom with the help of Euphrasia. Lloyd, Nya, Riyu, and Arin, fresh off his defeat, arrive as Jordana uses Bonzle to free the first of the Forbidden Five. The Ninja unleash the Rising Dragon technique at considerable cost. </v>
      </c>
      <c r="J14" s="42" t="s">
        <v>42</v>
      </c>
      <c r="K14" s="20">
        <f t="shared" si="1"/>
        <v>199</v>
      </c>
    </row>
    <row r="15" spans="1:11" ht="51" customHeight="1">
      <c r="A15" s="16" t="str">
        <f>IF('[1]GENERAL INFO'!H16&lt;&gt;"","Ep."&amp;" "&amp;'[1]GENERAL INFO'!H16,"")</f>
        <v>Ep. 211</v>
      </c>
      <c r="B15" s="17" t="str">
        <f>IF('[1]GENERAL INFO'!I16&lt;&gt;"",'[1]GENERAL INFO'!I16,"")</f>
        <v>The Shape of Motion</v>
      </c>
      <c r="C15" s="33"/>
      <c r="D15" s="13"/>
      <c r="E15" s="17" t="str">
        <f>IF('[1]LOGLINES &amp; SYNOPSES'!D17&lt;&gt;"",'[1]LOGLINES &amp; SYNOPSES'!D17,"")</f>
        <v>While searching for his parents, Arin and the Ninja rescue a baby dragon, uncovering a new mystery and mission for the team.</v>
      </c>
      <c r="F15" s="33"/>
      <c r="G15" s="19">
        <f t="shared" si="0"/>
        <v>0</v>
      </c>
      <c r="H15" s="13"/>
      <c r="I15" s="17" t="str">
        <f>IF('[1]LOGLINES &amp; SYNOPSES'!F17&lt;&gt;"",'[1]LOGLINES &amp; SYNOPSES'!F17,"")</f>
        <v>A mission in the Land of Madness to find his parents leads Arin to a gravely wounded Matriarch of the Mountain Dragons. When Riyu’s tribe mother falls to her injuries, the Ninja race her offspring back to the nest and encounter an old foe. The Ninja must solve the Matriarch’s murder and accept a new mission from the Source Dragon of Motion to determine who stole the Matriarch’s horns – and why.</v>
      </c>
      <c r="J15" s="33"/>
      <c r="K15" s="20">
        <f t="shared" si="1"/>
        <v>0</v>
      </c>
    </row>
    <row r="16" spans="1:11" ht="56.1" customHeight="1">
      <c r="A16" s="16" t="str">
        <f>IF('[1]GENERAL INFO'!H17&lt;&gt;"","Ep."&amp;" "&amp;'[1]GENERAL INFO'!H17,"")</f>
        <v>Ep. 212</v>
      </c>
      <c r="B16" s="17" t="str">
        <f>IF('[1]GENERAL INFO'!I17&lt;&gt;"",'[1]GENERAL INFO'!I17,"")</f>
        <v>Enter the City of Temples</v>
      </c>
      <c r="C16" s="33"/>
      <c r="D16" s="13"/>
      <c r="E16" s="17" t="str">
        <f>IF('[1]LOGLINES &amp; SYNOPSES'!D18&lt;&gt;"",'[1]LOGLINES &amp; SYNOPSES'!D18,"")</f>
        <v>When the Ninja are not invited to the Tournament of Sources, they break into the City of Temples to earn their entry.</v>
      </c>
      <c r="F16" s="33"/>
      <c r="G16" s="19">
        <f t="shared" si="0"/>
        <v>0</v>
      </c>
      <c r="H16" s="13"/>
      <c r="I16" s="17" t="str">
        <f>IF('[1]LOGLINES &amp; SYNOPSES'!F18&lt;&gt;"",'[1]LOGLINES &amp; SYNOPSES'!F18,"")</f>
        <v>The Ninja reach the gateway to the Tournament of Sources only to discover they have not been invited. To break into the City of Temples, they must ascend the plateau, scaling impossible heights and battling high-tech security forces only to find themselves at the center of opening ceremonies. Meanwhile, Kai and Bonzle evade the remaining Forbidden Five as they try to escape the Nether-Space. </v>
      </c>
      <c r="J16" s="33"/>
      <c r="K16" s="20">
        <f t="shared" si="1"/>
        <v>0</v>
      </c>
    </row>
    <row r="17" spans="1:11" ht="48.95" customHeight="1">
      <c r="A17" s="16" t="str">
        <f>IF('[1]GENERAL INFO'!H18&lt;&gt;"","Ep."&amp;" "&amp;'[1]GENERAL INFO'!H18,"")</f>
        <v>Ep. 213</v>
      </c>
      <c r="B17" s="17" t="str">
        <f>IF('[1]GENERAL INFO'!I18&lt;&gt;"",'[1]GENERAL INFO'!I18,"")</f>
        <v>They Gather for the Feast</v>
      </c>
      <c r="C17" s="33"/>
      <c r="D17" s="13"/>
      <c r="E17" s="17" t="str">
        <f>IF('[1]LOGLINES &amp; SYNOPSES'!D19&lt;&gt;"",'[1]LOGLINES &amp; SYNOPSES'!D19,"")</f>
        <v>A banquet for the Elemental Masters and an assassination attempt against Lloyd introduce new threats to the Ninja at the tournament.</v>
      </c>
      <c r="F17" s="33"/>
      <c r="G17" s="19">
        <f t="shared" si="0"/>
        <v>0</v>
      </c>
      <c r="H17" s="13"/>
      <c r="I17" s="17" t="str">
        <f>IF('[1]LOGLINES &amp; SYNOPSES'!F19&lt;&gt;"",'[1]LOGLINES &amp; SYNOPSES'!F19,"")</f>
        <v>After earning invitations to the Tournament of Sources, the Ninja attend a banquet for Elemental Masters with friendly faces and old enemies, and Lloyd confronts a familiar face from his vision. Later that night, he finds himself the target of an assassination attempt. Meanwhile, Arin reconnects with a friend to discover he’s inherited the Elemental Power they both once dreamed about. </v>
      </c>
      <c r="J17" s="33"/>
      <c r="K17" s="20">
        <f t="shared" si="1"/>
        <v>0</v>
      </c>
    </row>
    <row r="18" spans="1:11" ht="132" customHeight="1">
      <c r="A18" s="16" t="str">
        <f>IF('[1]GENERAL INFO'!H19&lt;&gt;"","Ep."&amp;" "&amp;'[1]GENERAL INFO'!H19,"")</f>
        <v>Ep. 214</v>
      </c>
      <c r="B18" s="17" t="str">
        <f>IF('[1]GENERAL INFO'!I19&lt;&gt;"",'[1]GENERAL INFO'!I19,"")</f>
        <v>Inside the Maze</v>
      </c>
      <c r="C18" s="33"/>
      <c r="D18" s="13"/>
      <c r="E18" s="17" t="str">
        <f>IF('[1]LOGLINES &amp; SYNOPSES'!D20&lt;&gt;"",'[1]LOGLINES &amp; SYNOPSES'!D20,"")</f>
        <v>The Tournament of Sources begins, and Nya faces an unexpected opponent. Meanwhile, Kai and Bonzle find a connection outside the Nether-Space.</v>
      </c>
      <c r="F18" s="33"/>
      <c r="G18" s="19">
        <f t="shared" si="0"/>
        <v>0</v>
      </c>
      <c r="H18" s="13"/>
      <c r="I18" s="17" t="str">
        <f>IF('[1]LOGLINES &amp; SYNOPSES'!F20&lt;&gt;"",'[1]LOGLINES &amp; SYNOPSES'!F20,"")</f>
        <v>The Ninja prepare for the Tournament of Sources. Arin continues his investigation into the missing horns but makes time for Frak, who Sora suspects is working for Ras. Nya’s first match pits her against Jay, still with no memory of their past. She must choose between her feelings for Jay and the Ninjas’ mission. Meanwhile, Kai and Bonzle discover a connection with Riyu outside the Nether-Space. </v>
      </c>
      <c r="J18" s="33"/>
      <c r="K18" s="20">
        <f t="shared" si="1"/>
        <v>0</v>
      </c>
    </row>
    <row r="19" spans="1:11" ht="90" customHeight="1">
      <c r="A19" s="16" t="str">
        <f>IF('[1]GENERAL INFO'!H20&lt;&gt;"","Ep."&amp;" "&amp;'[1]GENERAL INFO'!H20,"")</f>
        <v>Ep. 215</v>
      </c>
      <c r="B19" s="17" t="str">
        <f>IF('[1]GENERAL INFO'!I20&lt;&gt;"",'[1]GENERAL INFO'!I20,"")</f>
        <v>United We Fall</v>
      </c>
      <c r="C19" s="33"/>
      <c r="D19" s="13"/>
      <c r="E19" s="17" t="str">
        <f>IF('[1]LOGLINES &amp; SYNOPSES'!D21&lt;&gt;"",'[1]LOGLINES &amp; SYNOPSES'!D21,"")</f>
        <v>After a shocking defeat, the Ninja must complete a race around Temple City in order to stay in the Tournament of Sources.</v>
      </c>
      <c r="F19" s="33"/>
      <c r="G19" s="19">
        <f t="shared" si="0"/>
        <v>0</v>
      </c>
      <c r="H19" s="13"/>
      <c r="I19" s="17" t="str">
        <f>IF('[1]LOGLINES &amp; SYNOPSES'!F21&lt;&gt;"",'[1]LOGLINES &amp; SYNOPSES'!F21,"")</f>
        <v>In her match against Cinder, Wyldfyre’s temper proves a liability in and out of the arena. In order to stay in the Tournament, the Ninja invoke an ancient rule that requires them to compete in a race outside of  Temple City. Elsewhere, Riyu follows Kai’s voice and leads Arin into a confrontation with Ras. </v>
      </c>
      <c r="J19" s="33"/>
      <c r="K19" s="20">
        <f t="shared" si="1"/>
        <v>0</v>
      </c>
    </row>
    <row r="20" spans="1:11" ht="90" customHeight="1">
      <c r="A20" s="16" t="str">
        <f>IF('[1]GENERAL INFO'!H21&lt;&gt;"","Ep."&amp;" "&amp;'[1]GENERAL INFO'!H21,"")</f>
        <v>Ep. 216</v>
      </c>
      <c r="B20" s="17" t="str">
        <f>IF('[1]GENERAL INFO'!I21&lt;&gt;"",'[1]GENERAL INFO'!I21,"")</f>
        <v>Truth and Lies</v>
      </c>
      <c r="C20" s="33"/>
      <c r="D20" s="13"/>
      <c r="E20" s="17" t="str">
        <f>IF('[1]LOGLINES &amp; SYNOPSES'!D22&lt;&gt;"",'[1]LOGLINES &amp; SYNOPSES'!D22,"")</f>
        <v>The Tournament of Sources continues, with both the Ninja and Ras’s team advancing in the games. Meanwhile, Arin confronts Sora about a revelation.</v>
      </c>
      <c r="F20" s="33"/>
      <c r="G20" s="19">
        <f t="shared" si="0"/>
        <v>0</v>
      </c>
      <c r="H20" s="13"/>
      <c r="I20" s="17" t="str">
        <f>IF('[1]LOGLINES &amp; SYNOPSES'!F22&lt;&gt;"",'[1]LOGLINES &amp; SYNOPSES'!F22,"")</f>
        <v>Arin grapples with Ras’s accusation that Master Wu caused the Merge while the Ninja complete the Temple Race and win their way back into the Tournament. The next round of games finds Ras’s team keeping pace with the Ninja, as Arin confronts Sora about a secret before her match against Cinder. A restless Cole finds a familiar sight and a new mystery.</v>
      </c>
      <c r="J20" s="33"/>
      <c r="K20" s="20">
        <f t="shared" si="1"/>
        <v>0</v>
      </c>
    </row>
    <row r="21" spans="1:11" ht="90.95" customHeight="1">
      <c r="A21" s="16" t="str">
        <f>IF('[1]GENERAL INFO'!H22&lt;&gt;"","Ep."&amp;" "&amp;'[1]GENERAL INFO'!H22,"")</f>
        <v>Ep. 217</v>
      </c>
      <c r="B21" s="17" t="str">
        <f>IF('[1]GENERAL INFO'!I22&lt;&gt;"",'[1]GENERAL INFO'!I22,"")</f>
        <v>The Sword Shatters</v>
      </c>
      <c r="C21" s="33"/>
      <c r="D21" s="13"/>
      <c r="E21" s="17" t="str">
        <f>IF('[1]LOGLINES &amp; SYNOPSES'!D23&lt;&gt;"",'[1]LOGLINES &amp; SYNOPSES'!D23,"")</f>
        <v>Arin’s investigation into the missing horns leads him to a new suspect while Lloyd prepares for the fight against Zeatrix, foretold by his visions.</v>
      </c>
      <c r="F21" s="33"/>
      <c r="G21" s="19">
        <f t="shared" si="0"/>
        <v>0</v>
      </c>
      <c r="H21" s="13"/>
      <c r="I21" s="17" t="str">
        <f>IF('[1]LOGLINES &amp; SYNOPSES'!F23&lt;&gt;"",'[1]LOGLINES &amp; SYNOPSES'!F23,"")</f>
        <v>Arin follows a lead in his investigation of the missing horns to the Temple City Museum. A tour from Roby reveals a deeper connection between the Tournament and Source Dragons. The games intensify, as does Lloyd's anxiety over an inevitable fight against Zeatrix. Lloyd must prove his vision wrong or fall to her blade. </v>
      </c>
      <c r="J21" s="33"/>
      <c r="K21" s="20">
        <f t="shared" si="1"/>
        <v>0</v>
      </c>
    </row>
    <row r="22" spans="1:11" ht="99.95" customHeight="1">
      <c r="A22" s="16" t="str">
        <f>IF('[1]GENERAL INFO'!H23&lt;&gt;"","Ep."&amp;" "&amp;'[1]GENERAL INFO'!H23,"")</f>
        <v>Ep. 218</v>
      </c>
      <c r="B22" s="17" t="str">
        <f>IF('[1]GENERAL INFO'!I23&lt;&gt;"",'[1]GENERAL INFO'!I23,"")</f>
        <v>Clues and Suspects</v>
      </c>
      <c r="C22" s="33"/>
      <c r="D22" s="13"/>
      <c r="E22" s="17" t="str">
        <f>IF('[1]LOGLINES &amp; SYNOPSES'!D24&lt;&gt;"",'[1]LOGLINES &amp; SYNOPSES'!D24,"")</f>
        <v>Arin is determined to prove Roby's guilt, but while Lloyd recovers for his match against a member of the Forbidden Five. </v>
      </c>
      <c r="F22" s="33"/>
      <c r="G22" s="19">
        <f t="shared" si="0"/>
        <v>0</v>
      </c>
      <c r="H22" s="13"/>
      <c r="I22" s="17" t="str">
        <f>IF('[1]LOGLINES &amp; SYNOPSES'!F24&lt;&gt;"",'[1]LOGLINES &amp; SYNOPSES'!F24,"")</f>
        <v>Roby and Blekt visit an injured Lloyd to complete the transfer of Zeatrix’s powers. Arin links Bleckt to a clue in his investigation and follows him back to a secret office, where Wyldfyre has an idea to uncover his plans. Lloyd arrives at his match against Nokt of the Forbidden Five only to face another hurdle, and Sora provides Arin another piece of the puzzle.</v>
      </c>
      <c r="J22" s="33"/>
      <c r="K22" s="20">
        <f t="shared" si="1"/>
        <v>0</v>
      </c>
    </row>
    <row r="23" spans="1:11" ht="102.95" customHeight="1">
      <c r="A23" s="16" t="str">
        <f>IF('[1]GENERAL INFO'!H24&lt;&gt;"","Ep."&amp;" "&amp;'[1]GENERAL INFO'!H24,"")</f>
        <v>Ep. 219</v>
      </c>
      <c r="B23" s="17" t="str">
        <f>IF('[1]GENERAL INFO'!I24&lt;&gt;"",'[1]GENERAL INFO'!I24,"")</f>
        <v>The Final Game</v>
      </c>
      <c r="C23" s="33"/>
      <c r="D23" s="13"/>
      <c r="E23" s="17" t="str">
        <f>IF('[1]LOGLINES &amp; SYNOPSES'!D25&lt;&gt;"",'[1]LOGLINES &amp; SYNOPSES'!D25,"")</f>
        <v>Secrets are revealed at the final match of the Tournament of Sources! The battle to protect the dragon horns begins.</v>
      </c>
      <c r="F23" s="33"/>
      <c r="G23" s="19">
        <f t="shared" si="0"/>
        <v>0</v>
      </c>
      <c r="H23" s="13"/>
      <c r="I23" s="17" t="str">
        <f>IF('[1]LOGLINES &amp; SYNOPSES'!F25&lt;&gt;"",'[1]LOGLINES &amp; SYNOPSES'!F25,"")</f>
        <v>Arin learns a devastating secret about the Merge and confronts Lloyd as Cole stays behind to protect the dragon horns. Sora faces off against Nokt, and Wyldfyre is too late to stop the manipulation of the games. Nokt and Rox reveal their true intentions, to the surprise of everyone – including Ras! The Tournament ends but the real fight to stop the return of the Forbidden Five begins! </v>
      </c>
      <c r="J23" s="33"/>
      <c r="K23" s="20">
        <f t="shared" si="1"/>
        <v>0</v>
      </c>
    </row>
    <row r="24" spans="1:11" ht="90.95" customHeight="1">
      <c r="A24" s="16" t="str">
        <f>IF('[1]GENERAL INFO'!H25&lt;&gt;"","Ep."&amp;" "&amp;'[1]GENERAL INFO'!H25,"")</f>
        <v>Ep. 220</v>
      </c>
      <c r="B24" s="17" t="str">
        <f>IF('[1]GENERAL INFO'!I25&lt;&gt;"",'[1]GENERAL INFO'!I25,"")</f>
        <v>Elements of Betrayal</v>
      </c>
      <c r="C24" s="33"/>
      <c r="D24" s="13"/>
      <c r="E24" s="17" t="str">
        <f>IF('[1]LOGLINES &amp; SYNOPSES'!D26&lt;&gt;"",'[1]LOGLINES &amp; SYNOPSES'!D26,"")</f>
        <v>The Ninja face off against the Forbidden Five! Unexpected allies turn the tide of battle, and Arin makes a difficult decision.</v>
      </c>
      <c r="F24" s="33"/>
      <c r="G24" s="19">
        <f t="shared" si="0"/>
        <v>0</v>
      </c>
      <c r="H24" s="13"/>
      <c r="I24" s="17" t="str">
        <f>IF('[1]LOGLINES &amp; SYNOPSES'!F26&lt;&gt;"",'[1]LOGLINES &amp; SYNOPSES'!F26,"")</f>
        <v>Arin, Zane, and Cole make a shocking discovery in the Monastery of Gates as they defend the Dragon Horns. The depowered Elemental Masters clash with the Wolf Mask army as Lloyd and some unlikely allies join the fight to stop Nokt from releasing the Forbidden Five. A last-minute arrival turns the tide of battle, and Arin makes a desperate attempt to learn the whereabouts of his parents.</v>
      </c>
      <c r="J24" s="33"/>
      <c r="K24" s="20">
        <f t="shared" si="1"/>
        <v>0</v>
      </c>
    </row>
    <row r="25" spans="1:11" ht="17.100000000000001" customHeight="1">
      <c r="A25" s="16" t="str">
        <f>IF('[1]GENERAL INFO'!H26&lt;&gt;"","Ep."&amp;" "&amp;'[1]GENERAL INFO'!H26,"")</f>
        <v/>
      </c>
      <c r="B25" s="17" t="str">
        <f>IF('[1]GENERAL INFO'!I26&lt;&gt;"",'[1]GENERAL INFO'!I26,"")</f>
        <v/>
      </c>
      <c r="C25" s="18"/>
      <c r="D25" s="13"/>
      <c r="E25" s="17" t="str">
        <f>IF('[1]LOGLINES &amp; SYNOPSES'!D27&lt;&gt;"",'[1]LOGLINES &amp; SYNOPSES'!D27,"")</f>
        <v/>
      </c>
      <c r="F25" s="18"/>
      <c r="G25" s="19">
        <f t="shared" si="0"/>
        <v>0</v>
      </c>
      <c r="H25" s="13"/>
      <c r="I25" s="17" t="str">
        <f>IF('[1]LOGLINES &amp; SYNOPSES'!F27&lt;&gt;"",'[1]LOGLINES &amp; SYNOPSES'!F27,"")</f>
        <v/>
      </c>
      <c r="J25" s="18"/>
      <c r="K25" s="20">
        <f t="shared" si="1"/>
        <v>0</v>
      </c>
    </row>
    <row r="26" spans="1:11" ht="17.100000000000001" customHeight="1">
      <c r="A26" s="16" t="str">
        <f>IF('[1]GENERAL INFO'!H27&lt;&gt;"","Ep."&amp;" "&amp;'[1]GENERAL INFO'!H27,"")</f>
        <v/>
      </c>
      <c r="B26" s="17" t="str">
        <f>IF('[1]GENERAL INFO'!I27&lt;&gt;"",'[1]GENERAL INFO'!I27,"")</f>
        <v/>
      </c>
      <c r="C26" s="18"/>
      <c r="D26" s="13"/>
      <c r="E26" s="17" t="str">
        <f>IF('[1]LOGLINES &amp; SYNOPSES'!D28&lt;&gt;"",'[1]LOGLINES &amp; SYNOPSES'!D28,"")</f>
        <v/>
      </c>
      <c r="F26" s="18"/>
      <c r="G26" s="19">
        <f t="shared" si="0"/>
        <v>0</v>
      </c>
      <c r="H26" s="13"/>
      <c r="I26" s="17" t="str">
        <f>IF('[1]LOGLINES &amp; SYNOPSES'!F28&lt;&gt;"",'[1]LOGLINES &amp; SYNOPSES'!F28,"")</f>
        <v/>
      </c>
      <c r="J26" s="18"/>
      <c r="K26" s="20">
        <f t="shared" si="1"/>
        <v>0</v>
      </c>
    </row>
    <row r="27" spans="1:11" ht="17.100000000000001" customHeight="1">
      <c r="A27" s="16" t="str">
        <f>IF('[1]GENERAL INFO'!H28&lt;&gt;"","Ep."&amp;" "&amp;'[1]GENERAL INFO'!H28,"")</f>
        <v/>
      </c>
      <c r="B27" s="17" t="str">
        <f>IF('[1]GENERAL INFO'!I28&lt;&gt;"",'[1]GENERAL INFO'!I28,"")</f>
        <v/>
      </c>
      <c r="C27" s="18"/>
      <c r="D27" s="13"/>
      <c r="E27" s="17" t="str">
        <f>IF('[1]LOGLINES &amp; SYNOPSES'!D29&lt;&gt;"",'[1]LOGLINES &amp; SYNOPSES'!D29,"")</f>
        <v/>
      </c>
      <c r="F27" s="18"/>
      <c r="G27" s="19">
        <f t="shared" si="0"/>
        <v>0</v>
      </c>
      <c r="H27" s="13"/>
      <c r="I27" s="17" t="str">
        <f>IF('[1]LOGLINES &amp; SYNOPSES'!F29&lt;&gt;"",'[1]LOGLINES &amp; SYNOPSES'!F29,"")</f>
        <v/>
      </c>
      <c r="J27" s="18"/>
      <c r="K27" s="20">
        <f t="shared" si="1"/>
        <v>0</v>
      </c>
    </row>
    <row r="28" spans="1:11" ht="17.100000000000001" customHeight="1">
      <c r="A28" s="16" t="str">
        <f>IF('[1]GENERAL INFO'!H29&lt;&gt;"","Ep."&amp;" "&amp;'[1]GENERAL INFO'!H29,"")</f>
        <v/>
      </c>
      <c r="B28" s="17" t="str">
        <f>IF('[1]GENERAL INFO'!I29&lt;&gt;"",'[1]GENERAL INFO'!I29,"")</f>
        <v/>
      </c>
      <c r="C28" s="18"/>
      <c r="D28" s="13"/>
      <c r="E28" s="17" t="str">
        <f>IF('[1]LOGLINES &amp; SYNOPSES'!D30&lt;&gt;"",'[1]LOGLINES &amp; SYNOPSES'!D30,"")</f>
        <v/>
      </c>
      <c r="F28" s="18"/>
      <c r="G28" s="19">
        <f t="shared" si="0"/>
        <v>0</v>
      </c>
      <c r="H28" s="13"/>
      <c r="I28" s="17" t="str">
        <f>IF('[1]LOGLINES &amp; SYNOPSES'!F30&lt;&gt;"",'[1]LOGLINES &amp; SYNOPSES'!F30,"")</f>
        <v/>
      </c>
      <c r="J28" s="18"/>
      <c r="K28" s="20">
        <f t="shared" si="1"/>
        <v>0</v>
      </c>
    </row>
    <row r="29" spans="1:11" ht="17.100000000000001" customHeight="1">
      <c r="A29" s="16" t="str">
        <f>IF('[1]GENERAL INFO'!H30&lt;&gt;"","Ep."&amp;" "&amp;'[1]GENERAL INFO'!H30,"")</f>
        <v/>
      </c>
      <c r="B29" s="17" t="str">
        <f>IF('[1]GENERAL INFO'!I30&lt;&gt;"",'[1]GENERAL INFO'!I30,"")</f>
        <v/>
      </c>
      <c r="C29" s="18"/>
      <c r="D29" s="13"/>
      <c r="E29" s="17" t="str">
        <f>IF('[1]LOGLINES &amp; SYNOPSES'!D31&lt;&gt;"",'[1]LOGLINES &amp; SYNOPSES'!D31,"")</f>
        <v/>
      </c>
      <c r="F29" s="18"/>
      <c r="G29" s="19">
        <f t="shared" si="0"/>
        <v>0</v>
      </c>
      <c r="H29" s="13"/>
      <c r="I29" s="17" t="str">
        <f>IF('[1]LOGLINES &amp; SYNOPSES'!F31&lt;&gt;"",'[1]LOGLINES &amp; SYNOPSES'!F31,"")</f>
        <v/>
      </c>
      <c r="J29" s="18"/>
      <c r="K29" s="20">
        <f t="shared" si="1"/>
        <v>0</v>
      </c>
    </row>
    <row r="30" spans="1:11" ht="17.100000000000001" customHeight="1">
      <c r="A30" s="16" t="str">
        <f>IF('[1]GENERAL INFO'!H31&lt;&gt;"","Ep."&amp;" "&amp;'[1]GENERAL INFO'!H31,"")</f>
        <v/>
      </c>
      <c r="B30" s="17" t="str">
        <f>IF('[1]GENERAL INFO'!I31&lt;&gt;"",'[1]GENERAL INFO'!I31,"")</f>
        <v/>
      </c>
      <c r="C30" s="18"/>
      <c r="D30" s="13"/>
      <c r="E30" s="17" t="str">
        <f>IF('[1]LOGLINES &amp; SYNOPSES'!D32&lt;&gt;"",'[1]LOGLINES &amp; SYNOPSES'!D32,"")</f>
        <v/>
      </c>
      <c r="F30" s="18"/>
      <c r="G30" s="19">
        <f t="shared" si="0"/>
        <v>0</v>
      </c>
      <c r="H30" s="13"/>
      <c r="I30" s="17" t="str">
        <f>IF('[1]LOGLINES &amp; SYNOPSES'!F32&lt;&gt;"",'[1]LOGLINES &amp; SYNOPSES'!F32,"")</f>
        <v/>
      </c>
      <c r="J30" s="18"/>
      <c r="K30" s="20">
        <f t="shared" si="1"/>
        <v>0</v>
      </c>
    </row>
    <row r="31" spans="1:11" ht="17.100000000000001" customHeight="1">
      <c r="A31" s="16" t="str">
        <f>IF('[1]GENERAL INFO'!H32&lt;&gt;"","Ep."&amp;" "&amp;'[1]GENERAL INFO'!H32,"")</f>
        <v/>
      </c>
      <c r="B31" s="17" t="str">
        <f>IF('[1]GENERAL INFO'!I32&lt;&gt;"",'[1]GENERAL INFO'!I32,"")</f>
        <v/>
      </c>
      <c r="C31" s="18"/>
      <c r="D31" s="13"/>
      <c r="E31" s="17" t="str">
        <f>IF('[1]LOGLINES &amp; SYNOPSES'!D33&lt;&gt;"",'[1]LOGLINES &amp; SYNOPSES'!D33,"")</f>
        <v/>
      </c>
      <c r="F31" s="18"/>
      <c r="G31" s="19">
        <f t="shared" si="0"/>
        <v>0</v>
      </c>
      <c r="H31" s="13"/>
      <c r="I31" s="17" t="str">
        <f>IF('[1]LOGLINES &amp; SYNOPSES'!F33&lt;&gt;"",'[1]LOGLINES &amp; SYNOPSES'!F33,"")</f>
        <v/>
      </c>
      <c r="J31" s="18"/>
      <c r="K31" s="20">
        <f t="shared" si="1"/>
        <v>0</v>
      </c>
    </row>
    <row r="32" spans="1:11" ht="17.100000000000001" customHeight="1">
      <c r="A32" s="16" t="str">
        <f>IF('[1]GENERAL INFO'!H33&lt;&gt;"","Ep."&amp;" "&amp;'[1]GENERAL INFO'!H33,"")</f>
        <v/>
      </c>
      <c r="B32" s="17" t="str">
        <f>IF('[1]GENERAL INFO'!I33&lt;&gt;"",'[1]GENERAL INFO'!I33,"")</f>
        <v/>
      </c>
      <c r="C32" s="18"/>
      <c r="D32" s="13"/>
      <c r="E32" s="17" t="str">
        <f>IF('[1]LOGLINES &amp; SYNOPSES'!D34&lt;&gt;"",'[1]LOGLINES &amp; SYNOPSES'!D34,"")</f>
        <v/>
      </c>
      <c r="F32" s="18"/>
      <c r="G32" s="19">
        <f t="shared" si="0"/>
        <v>0</v>
      </c>
      <c r="H32" s="13"/>
      <c r="I32" s="17" t="str">
        <f>IF('[1]LOGLINES &amp; SYNOPSES'!F34&lt;&gt;"",'[1]LOGLINES &amp; SYNOPSES'!F34,"")</f>
        <v/>
      </c>
      <c r="J32" s="18"/>
      <c r="K32" s="20">
        <f t="shared" si="1"/>
        <v>0</v>
      </c>
    </row>
    <row r="33" spans="1:11" ht="17.100000000000001" customHeight="1">
      <c r="A33" s="16" t="str">
        <f>IF('[1]GENERAL INFO'!H34&lt;&gt;"","Ep."&amp;" "&amp;'[1]GENERAL INFO'!H34,"")</f>
        <v/>
      </c>
      <c r="B33" s="17" t="str">
        <f>IF('[1]GENERAL INFO'!I34&lt;&gt;"",'[1]GENERAL INFO'!I34,"")</f>
        <v/>
      </c>
      <c r="C33" s="18"/>
      <c r="D33" s="13"/>
      <c r="E33" s="17" t="str">
        <f>IF('[1]LOGLINES &amp; SYNOPSES'!D35&lt;&gt;"",'[1]LOGLINES &amp; SYNOPSES'!D35,"")</f>
        <v/>
      </c>
      <c r="F33" s="18"/>
      <c r="G33" s="19">
        <f t="shared" si="0"/>
        <v>0</v>
      </c>
      <c r="H33" s="13"/>
      <c r="I33" s="17" t="str">
        <f>IF('[1]LOGLINES &amp; SYNOPSES'!F35&lt;&gt;"",'[1]LOGLINES &amp; SYNOPSES'!F35,"")</f>
        <v/>
      </c>
      <c r="J33" s="18"/>
      <c r="K33" s="20">
        <f t="shared" si="1"/>
        <v>0</v>
      </c>
    </row>
    <row r="34" spans="1:11" ht="17.100000000000001" customHeight="1">
      <c r="A34" s="16" t="str">
        <f>IF('[1]GENERAL INFO'!H35&lt;&gt;"","Ep."&amp;" "&amp;'[1]GENERAL INFO'!H35,"")</f>
        <v/>
      </c>
      <c r="B34" s="17" t="str">
        <f>IF('[1]GENERAL INFO'!I35&lt;&gt;"",'[1]GENERAL INFO'!I35,"")</f>
        <v/>
      </c>
      <c r="C34" s="18"/>
      <c r="D34" s="13"/>
      <c r="E34" s="17" t="str">
        <f>IF('[1]LOGLINES &amp; SYNOPSES'!D36&lt;&gt;"",'[1]LOGLINES &amp; SYNOPSES'!D36,"")</f>
        <v/>
      </c>
      <c r="F34" s="18"/>
      <c r="G34" s="19">
        <f t="shared" si="0"/>
        <v>0</v>
      </c>
      <c r="H34" s="13"/>
      <c r="I34" s="17" t="str">
        <f>IF('[1]LOGLINES &amp; SYNOPSES'!F36&lt;&gt;"",'[1]LOGLINES &amp; SYNOPSES'!F36,"")</f>
        <v/>
      </c>
      <c r="J34" s="18"/>
      <c r="K34" s="20">
        <f t="shared" si="1"/>
        <v>0</v>
      </c>
    </row>
    <row r="35" spans="1:11" ht="17.100000000000001" customHeight="1">
      <c r="A35" s="16" t="str">
        <f>IF('[1]GENERAL INFO'!H36&lt;&gt;"","Ep."&amp;" "&amp;'[1]GENERAL INFO'!H36,"")</f>
        <v/>
      </c>
      <c r="B35" s="17" t="str">
        <f>IF('[1]GENERAL INFO'!I36&lt;&gt;"",'[1]GENERAL INFO'!I36,"")</f>
        <v/>
      </c>
      <c r="C35" s="18"/>
      <c r="D35" s="13"/>
      <c r="E35" s="17" t="str">
        <f>IF('[1]LOGLINES &amp; SYNOPSES'!D37&lt;&gt;"",'[1]LOGLINES &amp; SYNOPSES'!D37,"")</f>
        <v/>
      </c>
      <c r="F35" s="18"/>
      <c r="G35" s="19">
        <f t="shared" si="0"/>
        <v>0</v>
      </c>
      <c r="H35" s="13"/>
      <c r="I35" s="17" t="str">
        <f>IF('[1]LOGLINES &amp; SYNOPSES'!F37&lt;&gt;"",'[1]LOGLINES &amp; SYNOPSES'!F37,"")</f>
        <v/>
      </c>
      <c r="J35" s="18"/>
      <c r="K35" s="20">
        <f t="shared" si="1"/>
        <v>0</v>
      </c>
    </row>
    <row r="36" spans="1:11" ht="17.100000000000001" customHeight="1">
      <c r="A36" s="16" t="str">
        <f>IF('[1]GENERAL INFO'!H37&lt;&gt;"","Ep."&amp;" "&amp;'[1]GENERAL INFO'!H37,"")</f>
        <v/>
      </c>
      <c r="B36" s="17" t="str">
        <f>IF('[1]GENERAL INFO'!I37&lt;&gt;"",'[1]GENERAL INFO'!I37,"")</f>
        <v/>
      </c>
      <c r="C36" s="18"/>
      <c r="D36" s="13"/>
      <c r="E36" s="17" t="str">
        <f>IF('[1]LOGLINES &amp; SYNOPSES'!D38&lt;&gt;"",'[1]LOGLINES &amp; SYNOPSES'!D38,"")</f>
        <v/>
      </c>
      <c r="F36" s="18"/>
      <c r="G36" s="19">
        <f t="shared" si="0"/>
        <v>0</v>
      </c>
      <c r="H36" s="13"/>
      <c r="I36" s="17" t="str">
        <f>IF('[1]LOGLINES &amp; SYNOPSES'!F38&lt;&gt;"",'[1]LOGLINES &amp; SYNOPSES'!F38,"")</f>
        <v/>
      </c>
      <c r="J36" s="18"/>
      <c r="K36" s="20">
        <f t="shared" si="1"/>
        <v>0</v>
      </c>
    </row>
    <row r="37" spans="1:11" ht="17.100000000000001" customHeight="1">
      <c r="A37" s="16" t="str">
        <f>IF('[1]GENERAL INFO'!H38&lt;&gt;"","Ep."&amp;" "&amp;'[1]GENERAL INFO'!H38,"")</f>
        <v/>
      </c>
      <c r="B37" s="17" t="str">
        <f>IF('[1]GENERAL INFO'!I38&lt;&gt;"",'[1]GENERAL INFO'!I38,"")</f>
        <v/>
      </c>
      <c r="C37" s="18"/>
      <c r="D37" s="13"/>
      <c r="E37" s="17" t="str">
        <f>IF('[1]LOGLINES &amp; SYNOPSES'!D39&lt;&gt;"",'[1]LOGLINES &amp; SYNOPSES'!D39,"")</f>
        <v/>
      </c>
      <c r="F37" s="18"/>
      <c r="G37" s="19">
        <f t="shared" si="0"/>
        <v>0</v>
      </c>
      <c r="H37" s="13"/>
      <c r="I37" s="17" t="str">
        <f>IF('[1]LOGLINES &amp; SYNOPSES'!F39&lt;&gt;"",'[1]LOGLINES &amp; SYNOPSES'!F39,"")</f>
        <v/>
      </c>
      <c r="J37" s="18"/>
      <c r="K37" s="20">
        <f t="shared" si="1"/>
        <v>0</v>
      </c>
    </row>
    <row r="38" spans="1:11" ht="17.100000000000001" customHeight="1">
      <c r="A38" s="16" t="str">
        <f>IF('[1]GENERAL INFO'!H39&lt;&gt;"","Ep."&amp;" "&amp;'[1]GENERAL INFO'!H39,"")</f>
        <v/>
      </c>
      <c r="B38" s="17" t="str">
        <f>IF('[1]GENERAL INFO'!I39&lt;&gt;"",'[1]GENERAL INFO'!I39,"")</f>
        <v/>
      </c>
      <c r="C38" s="18"/>
      <c r="D38" s="13"/>
      <c r="E38" s="17" t="str">
        <f>IF('[1]LOGLINES &amp; SYNOPSES'!D40&lt;&gt;"",'[1]LOGLINES &amp; SYNOPSES'!D40,"")</f>
        <v/>
      </c>
      <c r="F38" s="18"/>
      <c r="G38" s="19">
        <f t="shared" si="0"/>
        <v>0</v>
      </c>
      <c r="H38" s="13"/>
      <c r="I38" s="17" t="str">
        <f>IF('[1]LOGLINES &amp; SYNOPSES'!F40&lt;&gt;"",'[1]LOGLINES &amp; SYNOPSES'!F40,"")</f>
        <v/>
      </c>
      <c r="J38" s="18"/>
      <c r="K38" s="20">
        <f t="shared" si="1"/>
        <v>0</v>
      </c>
    </row>
    <row r="39" spans="1:11" ht="17.100000000000001" customHeight="1">
      <c r="A39" s="16" t="str">
        <f>IF('[1]GENERAL INFO'!H40&lt;&gt;"","Ep."&amp;" "&amp;'[1]GENERAL INFO'!H40,"")</f>
        <v/>
      </c>
      <c r="B39" s="17" t="str">
        <f>IF('[1]GENERAL INFO'!I40&lt;&gt;"",'[1]GENERAL INFO'!I40,"")</f>
        <v/>
      </c>
      <c r="C39" s="18"/>
      <c r="D39" s="13"/>
      <c r="E39" s="17" t="str">
        <f>IF('[1]LOGLINES &amp; SYNOPSES'!D41&lt;&gt;"",'[1]LOGLINES &amp; SYNOPSES'!D41,"")</f>
        <v/>
      </c>
      <c r="F39" s="18"/>
      <c r="G39" s="19">
        <f t="shared" si="0"/>
        <v>0</v>
      </c>
      <c r="H39" s="13"/>
      <c r="I39" s="17" t="str">
        <f>IF('[1]LOGLINES &amp; SYNOPSES'!F41&lt;&gt;"",'[1]LOGLINES &amp; SYNOPSES'!F41,"")</f>
        <v/>
      </c>
      <c r="J39" s="18"/>
      <c r="K39" s="20">
        <f t="shared" si="1"/>
        <v>0</v>
      </c>
    </row>
    <row r="40" spans="1:11" ht="17.100000000000001" customHeight="1">
      <c r="A40" s="16" t="str">
        <f>IF('[1]GENERAL INFO'!H41&lt;&gt;"","Ep."&amp;" "&amp;'[1]GENERAL INFO'!H41,"")</f>
        <v/>
      </c>
      <c r="B40" s="17" t="str">
        <f>IF('[1]GENERAL INFO'!I41&lt;&gt;"",'[1]GENERAL INFO'!I41,"")</f>
        <v/>
      </c>
      <c r="C40" s="18"/>
      <c r="D40" s="13"/>
      <c r="E40" s="17" t="str">
        <f>IF('[1]LOGLINES &amp; SYNOPSES'!D42&lt;&gt;"",'[1]LOGLINES &amp; SYNOPSES'!D42,"")</f>
        <v/>
      </c>
      <c r="F40" s="18"/>
      <c r="G40" s="19">
        <f t="shared" si="0"/>
        <v>0</v>
      </c>
      <c r="H40" s="13"/>
      <c r="I40" s="17" t="str">
        <f>IF('[1]LOGLINES &amp; SYNOPSES'!F42&lt;&gt;"",'[1]LOGLINES &amp; SYNOPSES'!F42,"")</f>
        <v/>
      </c>
      <c r="J40" s="18"/>
      <c r="K40" s="20">
        <f t="shared" si="1"/>
        <v>0</v>
      </c>
    </row>
    <row r="41" spans="1:11" ht="17.100000000000001" customHeight="1">
      <c r="A41" s="16" t="str">
        <f>IF('[1]GENERAL INFO'!H42&lt;&gt;"","Ep."&amp;" "&amp;'[1]GENERAL INFO'!H42,"")</f>
        <v/>
      </c>
      <c r="B41" s="17" t="str">
        <f>IF('[1]GENERAL INFO'!I42&lt;&gt;"",'[1]GENERAL INFO'!I42,"")</f>
        <v/>
      </c>
      <c r="C41" s="18"/>
      <c r="D41" s="13"/>
      <c r="E41" s="17" t="str">
        <f>IF('[1]LOGLINES &amp; SYNOPSES'!D43&lt;&gt;"",'[1]LOGLINES &amp; SYNOPSES'!D43,"")</f>
        <v/>
      </c>
      <c r="F41" s="18"/>
      <c r="G41" s="19">
        <f t="shared" si="0"/>
        <v>0</v>
      </c>
      <c r="H41" s="13"/>
      <c r="I41" s="17" t="str">
        <f>IF('[1]LOGLINES &amp; SYNOPSES'!F43&lt;&gt;"",'[1]LOGLINES &amp; SYNOPSES'!F43,"")</f>
        <v/>
      </c>
      <c r="J41" s="18"/>
      <c r="K41" s="20">
        <f t="shared" si="1"/>
        <v>0</v>
      </c>
    </row>
    <row r="42" spans="1:11" ht="17.100000000000001" customHeight="1">
      <c r="A42" s="16" t="str">
        <f>IF('[1]GENERAL INFO'!H43&lt;&gt;"","Ep."&amp;" "&amp;'[1]GENERAL INFO'!H43,"")</f>
        <v/>
      </c>
      <c r="B42" s="17" t="str">
        <f>IF('[1]GENERAL INFO'!I43&lt;&gt;"",'[1]GENERAL INFO'!I43,"")</f>
        <v/>
      </c>
      <c r="C42" s="18"/>
      <c r="D42" s="13"/>
      <c r="E42" s="17" t="str">
        <f>IF('[1]LOGLINES &amp; SYNOPSES'!D44&lt;&gt;"",'[1]LOGLINES &amp; SYNOPSES'!D44,"")</f>
        <v/>
      </c>
      <c r="F42" s="18"/>
      <c r="G42" s="19">
        <f t="shared" si="0"/>
        <v>0</v>
      </c>
      <c r="H42" s="13"/>
      <c r="I42" s="17" t="str">
        <f>IF('[1]LOGLINES &amp; SYNOPSES'!F44&lt;&gt;"",'[1]LOGLINES &amp; SYNOPSES'!F44,"")</f>
        <v/>
      </c>
      <c r="J42" s="18"/>
      <c r="K42" s="20">
        <f t="shared" si="1"/>
        <v>0</v>
      </c>
    </row>
    <row r="43" spans="1:11" ht="17.100000000000001" customHeight="1">
      <c r="A43" s="16" t="str">
        <f>IF('[1]GENERAL INFO'!H44&lt;&gt;"","Ep."&amp;" "&amp;'[1]GENERAL INFO'!H44,"")</f>
        <v/>
      </c>
      <c r="B43" s="17" t="str">
        <f>IF('[1]GENERAL INFO'!I44&lt;&gt;"",'[1]GENERAL INFO'!I44,"")</f>
        <v/>
      </c>
      <c r="C43" s="18"/>
      <c r="D43" s="13"/>
      <c r="E43" s="17" t="str">
        <f>IF('[1]LOGLINES &amp; SYNOPSES'!D45&lt;&gt;"",'[1]LOGLINES &amp; SYNOPSES'!D45,"")</f>
        <v/>
      </c>
      <c r="F43" s="18"/>
      <c r="G43" s="19">
        <f t="shared" si="0"/>
        <v>0</v>
      </c>
      <c r="H43" s="13"/>
      <c r="I43" s="17" t="str">
        <f>IF('[1]LOGLINES &amp; SYNOPSES'!F45&lt;&gt;"",'[1]LOGLINES &amp; SYNOPSES'!F45,"")</f>
        <v/>
      </c>
      <c r="J43" s="18"/>
      <c r="K43" s="20">
        <f t="shared" si="1"/>
        <v>0</v>
      </c>
    </row>
    <row r="44" spans="1:11" ht="18" customHeight="1" thickBot="1">
      <c r="A44" s="21" t="str">
        <f>IF('[1]GENERAL INFO'!H45&lt;&gt;"","Ep."&amp;" "&amp;'[1]GENERAL INFO'!H45,"")</f>
        <v/>
      </c>
      <c r="B44" s="22" t="str">
        <f>IF('[1]GENERAL INFO'!I45&lt;&gt;"",'[1]GENERAL INFO'!I45,"")</f>
        <v/>
      </c>
      <c r="C44" s="23"/>
      <c r="D44" s="24"/>
      <c r="E44" s="22" t="str">
        <f>IF('[1]LOGLINES &amp; SYNOPSES'!D46&lt;&gt;"",'[1]LOGLINES &amp; SYNOPSES'!D46,"")</f>
        <v/>
      </c>
      <c r="F44" s="23"/>
      <c r="G44" s="25">
        <f t="shared" si="0"/>
        <v>0</v>
      </c>
      <c r="H44" s="24"/>
      <c r="I44" s="22" t="str">
        <f>IF('[1]LOGLINES &amp; SYNOPSES'!F46&lt;&gt;"",'[1]LOGLINES &amp; SYNOPSES'!F46,"")</f>
        <v/>
      </c>
      <c r="J44" s="23"/>
      <c r="K44" s="26">
        <f t="shared" si="1"/>
        <v>0</v>
      </c>
    </row>
  </sheetData>
  <phoneticPr fontId="9" type="noConversion"/>
  <pageMargins left="0.7" right="0.7" top="0.75" bottom="0.75" header="0.3" footer="0.3"/>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B4AB978B773E6647807CCC3091BD2AA5" ma:contentTypeVersion="12" ma:contentTypeDescription="새 문서를 만듭니다." ma:contentTypeScope="" ma:versionID="c596d278926758fa2e9f78933a76c133">
  <xsd:schema xmlns:xsd="http://www.w3.org/2001/XMLSchema" xmlns:xs="http://www.w3.org/2001/XMLSchema" xmlns:p="http://schemas.microsoft.com/office/2006/metadata/properties" xmlns:ns2="0ef7ffe1-002d-443a-9d28-7bd3b7627ca4" xmlns:ns3="5e22b163-a2a7-4107-9c1d-654bbf237319" targetNamespace="http://schemas.microsoft.com/office/2006/metadata/properties" ma:root="true" ma:fieldsID="4dee673d500234d147dd63995b923eb7" ns2:_="" ns3:_="">
    <xsd:import namespace="0ef7ffe1-002d-443a-9d28-7bd3b7627ca4"/>
    <xsd:import namespace="5e22b163-a2a7-4107-9c1d-654bbf23731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f7ffe1-002d-443a-9d28-7bd3b7627c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5d744cbd-b2c3-4f3b-85f8-d1d41ee1809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22b163-a2a7-4107-9c1d-654bbf2373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b5c11b3-0ba1-4bd8-a49c-907472d52f09}" ma:internalName="TaxCatchAll" ma:showField="CatchAllData" ma:web="5e22b163-a2a7-4107-9c1d-654bbf237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e22b163-a2a7-4107-9c1d-654bbf237319" xsi:nil="true"/>
    <lcf76f155ced4ddcb4097134ff3c332f xmlns="0ef7ffe1-002d-443a-9d28-7bd3b7627c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1413E63-8D2C-4DCD-B184-DDC75627ACE3}"/>
</file>

<file path=customXml/itemProps2.xml><?xml version="1.0" encoding="utf-8"?>
<ds:datastoreItem xmlns:ds="http://schemas.openxmlformats.org/officeDocument/2006/customXml" ds:itemID="{005B689D-BFE0-478D-890C-24A191DCEEE3}"/>
</file>

<file path=customXml/itemProps3.xml><?xml version="1.0" encoding="utf-8"?>
<ds:datastoreItem xmlns:ds="http://schemas.openxmlformats.org/officeDocument/2006/customXml" ds:itemID="{4026A97A-9E1D-4300-AD6B-13285CAC84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Adewunmi Salami</dc:creator>
  <cp:keywords/>
  <dc:description/>
  <cp:lastModifiedBy>Sooyeong Kim</cp:lastModifiedBy>
  <cp:revision/>
  <dcterms:created xsi:type="dcterms:W3CDTF">2023-08-15T16:03:17Z</dcterms:created>
  <dcterms:modified xsi:type="dcterms:W3CDTF">2024-01-04T09:49:19Z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0x010100B4AB978B773E6647807CCC3091BD2AA5</vt:lpwstr>
  </property>
  <property fmtid="{D5CDD505-2E9C-101B-9397-08002B2CF9AE}" pid="3" name="MediaServiceImageTags">
    <vt:lpwstr/>
  </property>
</Properties>
</file>