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https://legogroup.sharepoint.com/sites/BUSouthKorea/Brand Marketing/LEGO TVS/Monkie Kid/LEGO Monkie Kid S5/Documents/"/>
    </mc:Choice>
  </mc:AlternateContent>
  <xr:revisionPtr revIDLastSave="1" documentId="13_ncr:1_{0F08ECAE-67EE-4083-8089-44B3AE513127}" xr6:coauthVersionLast="47" xr6:coauthVersionMax="47" xr10:uidLastSave="{9AF7FADB-FE74-4717-BAC3-7B0E1BD07593}"/>
  <bookViews>
    <workbookView minimized="1" xWindow="25716" yWindow="2004" windowWidth="17280" windowHeight="8880" xr2:uid="{FC24D0CF-B4FD-4E6F-8031-4CBB84601A09}"/>
  </bookViews>
  <sheets>
    <sheet name="Loglines&amp;Synopsis" sheetId="1" r:id="rId1"/>
  </sheets>
  <externalReferences>
    <externalReference r:id="rId2"/>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5" i="1" l="1"/>
  <c r="I15" i="1"/>
  <c r="G15" i="1"/>
  <c r="E15" i="1"/>
  <c r="B15" i="1"/>
  <c r="A15" i="1"/>
  <c r="K14" i="1"/>
  <c r="I14" i="1"/>
  <c r="G14" i="1"/>
  <c r="E14" i="1"/>
  <c r="B14" i="1"/>
  <c r="A14" i="1"/>
  <c r="K13" i="1"/>
  <c r="I13" i="1"/>
  <c r="G13" i="1"/>
  <c r="E13" i="1"/>
  <c r="B13" i="1"/>
  <c r="A13" i="1"/>
  <c r="K12" i="1"/>
  <c r="I12" i="1"/>
  <c r="G12" i="1"/>
  <c r="E12" i="1"/>
  <c r="B12" i="1"/>
  <c r="A12" i="1"/>
  <c r="K11" i="1"/>
  <c r="I11" i="1"/>
  <c r="G11" i="1"/>
  <c r="E11" i="1"/>
  <c r="B11" i="1"/>
  <c r="A11" i="1"/>
  <c r="K10" i="1"/>
  <c r="I10" i="1"/>
  <c r="G10" i="1"/>
  <c r="E10" i="1"/>
  <c r="B10" i="1"/>
  <c r="A10" i="1"/>
  <c r="K9" i="1"/>
  <c r="I9" i="1"/>
  <c r="G9" i="1"/>
  <c r="E9" i="1"/>
  <c r="B9" i="1"/>
  <c r="A9" i="1"/>
  <c r="K8" i="1"/>
  <c r="I8" i="1"/>
  <c r="G8" i="1"/>
  <c r="E8" i="1"/>
  <c r="B8" i="1"/>
  <c r="A8" i="1"/>
  <c r="K7" i="1"/>
  <c r="I7" i="1"/>
  <c r="G7" i="1"/>
  <c r="E7" i="1"/>
  <c r="B7" i="1"/>
  <c r="A7" i="1"/>
  <c r="K6" i="1"/>
  <c r="I6" i="1"/>
  <c r="G6" i="1"/>
  <c r="E6" i="1"/>
  <c r="B6" i="1"/>
  <c r="A6" i="1"/>
  <c r="K5" i="1"/>
  <c r="I5" i="1"/>
  <c r="G5" i="1"/>
  <c r="E5" i="1"/>
  <c r="B5" i="1"/>
  <c r="A5" i="1"/>
  <c r="K4" i="1"/>
  <c r="I4" i="1"/>
  <c r="G4" i="1"/>
  <c r="E4" i="1"/>
  <c r="B4" i="1"/>
  <c r="A4" i="1"/>
  <c r="K3" i="1"/>
  <c r="I3" i="1"/>
  <c r="G3" i="1"/>
  <c r="E3" i="1"/>
  <c r="B3" i="1"/>
  <c r="A1" i="1"/>
</calcChain>
</file>

<file path=xl/sharedStrings.xml><?xml version="1.0" encoding="utf-8"?>
<sst xmlns="http://schemas.openxmlformats.org/spreadsheetml/2006/main" count="44" uniqueCount="44">
  <si>
    <t>#</t>
  </si>
  <si>
    <t>ORG TITLES</t>
  </si>
  <si>
    <r>
      <rPr>
        <b/>
        <sz val="12"/>
        <rFont val="Calibri (Body)_x0000_"/>
      </rPr>
      <t>FLV</t>
    </r>
    <r>
      <rPr>
        <b/>
        <sz val="12"/>
        <rFont val="맑은 고딕"/>
        <family val="2"/>
        <scheme val="minor"/>
      </rPr>
      <t xml:space="preserve"> TITLES</t>
    </r>
  </si>
  <si>
    <t>ORG LOGLINES</t>
  </si>
  <si>
    <r>
      <rPr>
        <b/>
        <sz val="12"/>
        <rFont val="Calibri (Body)_x0000_"/>
      </rPr>
      <t>FLV</t>
    </r>
    <r>
      <rPr>
        <b/>
        <sz val="12"/>
        <rFont val="맑은 고딕"/>
        <family val="2"/>
        <scheme val="minor"/>
      </rPr>
      <t xml:space="preserve"> LOGLINES</t>
    </r>
  </si>
  <si>
    <t>Max.
150</t>
  </si>
  <si>
    <t>ORG SYNOPSES</t>
  </si>
  <si>
    <r>
      <rPr>
        <b/>
        <sz val="12"/>
        <rFont val="Calibri (Body)_x0000_"/>
      </rPr>
      <t>FLV</t>
    </r>
    <r>
      <rPr>
        <b/>
        <sz val="12"/>
        <rFont val="맑은 고딕"/>
        <family val="2"/>
        <scheme val="minor"/>
      </rPr>
      <t xml:space="preserve"> SYNOPSES</t>
    </r>
  </si>
  <si>
    <t>Max. 400</t>
  </si>
  <si>
    <t>SERIES</t>
  </si>
  <si>
    <t>다시 씌워진 굴레</t>
    <phoneticPr fontId="9" type="noConversion"/>
  </si>
  <si>
    <t>여와 신전</t>
    <phoneticPr fontId="9" type="noConversion"/>
  </si>
  <si>
    <t>내면의 폭풍</t>
    <phoneticPr fontId="9" type="noConversion"/>
  </si>
  <si>
    <t>탑 속으로</t>
    <phoneticPr fontId="9" type="noConversion"/>
  </si>
  <si>
    <t>축제의 도망자들</t>
    <phoneticPr fontId="9" type="noConversion"/>
  </si>
  <si>
    <t>이정의 탑 속에 갇힌 영웅들은 먹잇감을 기억 속에 가두는 100안 요괴의 공격을 받게 되고, MK는 자신도 몰랐던 기억과 마주하게 되는데…</t>
    <phoneticPr fontId="9" type="noConversion"/>
  </si>
  <si>
    <t>저승에 불려간 MK, 손오공, 마카크는 세상을 어지럽힌 죄를 묻는 저승 심판대에 서게 된다.</t>
    <phoneticPr fontId="9" type="noConversion"/>
  </si>
  <si>
    <t>샌디는 MK에게 일대일 특별 훈련을 제안한다. 하지만 MK의 기대와 달리, 샌디가 전수해 주려는 기술은 바로 내면을 들여다보는 명상법!</t>
    <phoneticPr fontId="9" type="noConversion"/>
  </si>
  <si>
    <t>다음 돌을 찾을 수 있다는 기대에 부풀어, 음식 축제에 들른 영웅들! 하지만 그들 앞에 나타난 건 돌이 아니라 네자와 천계의 병사들!</t>
    <phoneticPr fontId="9" type="noConversion"/>
  </si>
  <si>
    <t>MK가 자신의 모습에 대한 불안감을 숨기고 있음을 알게 된 샌디는 일대일 특별 훈련을 제안한다. 하지만 MK의 기대와 달리 샌디가 가르쳐 주려는 건 내면을 들여다볼 수 있는 명상법! 달갑지 않은 훈련 중에 우연히 돌을 발견하자, MK는 자신의 내면을 보지 않아도 된다는 사실에 기뻐하지만, 두 번째 수호자의 시험은 다름 아닌 내면의 폭풍을 이겨내라는 것!</t>
    <phoneticPr fontId="9" type="noConversion"/>
  </si>
  <si>
    <t>다음 돌을 찾기 위해 음식 축제로 향한 MK와 친구들은 자신들을 쫓던 네자와 마주친다. 그때 이정이 도착하자, 네자는 아버지를 도울 것인지, 친구를 도울 것인지 선택의 기로에 서지만 결국 친구를 선택하고, 덕분에 이정에게서 달아난 영웅들은 세 번째, 네 번째 돌을 얻는 데 성공한다. 하지만 더 큰 위험이 그들을 기다리고 있었는데!</t>
    <phoneticPr fontId="9" type="noConversion"/>
  </si>
  <si>
    <t>거대한 마법 미로와 같은 이정의 탑에 갇힌 영웅들은, MK가 탑 안에 있다고 확신하는 마지막 돌을 찾기 시작한다. 하지만 MK는 100안 요괴라는 강력한 요괴의 공격을 받게 되고, 요괴의 신비한 힘으로 자신의 기억에 갇혀, 가려져 있던 과거를 보게 된다. 자신을 구하려고 애쓰는 친구들을 뒤로 한 채, MK는 자신의 과거와 미래를 마주하고, 그의 각성은 모든 것이 변할 것이라는 걸 암시하는데!</t>
    <phoneticPr fontId="9" type="noConversion"/>
  </si>
  <si>
    <t>폭풍전야! 정체를 숨긴 적이 MK와 친구들을 함정에 빠뜨리고, 이를 알 리 없는 MK 일행은 적의 계획대로 한 걸음 한 걸음 나아가기 시작하는데!</t>
    <phoneticPr fontId="9" type="noConversion"/>
  </si>
  <si>
    <t>레고 몽키키드</t>
    <phoneticPr fontId="9" type="noConversion"/>
  </si>
  <si>
    <t>시즌 5</t>
    <phoneticPr fontId="9" type="noConversion"/>
  </si>
  <si>
    <t>보이지 않는 힘</t>
    <phoneticPr fontId="9" type="noConversion"/>
  </si>
  <si>
    <t>깨어난 불꿏</t>
    <phoneticPr fontId="9" type="noConversion"/>
  </si>
  <si>
    <t>혼돈에서 온 자</t>
    <phoneticPr fontId="9" type="noConversion"/>
  </si>
  <si>
    <t>희생</t>
    <phoneticPr fontId="9" type="noConversion"/>
  </si>
  <si>
    <t>운명의 그날</t>
    <phoneticPr fontId="9" type="noConversion"/>
  </si>
  <si>
    <t>다음 돌을 찾기 위해 흩어진 우리 영웅들! 픽시와 탕이 사고로 어려움을 겪는 동안, 추락한 메이는 우연히 낯익은 얼굴과 마주치게 되는데!</t>
    <phoneticPr fontId="9" type="noConversion"/>
  </si>
  <si>
    <t>모두 모은 다섯 개의 돌로 세상을 구할 시간! 하지만 이 모든 것을 계획한 적이 드디어 모습을 드러내자, 영웅들은 이제야 진짜 시험이 시작됐다는 걸 깨닫게 된다.</t>
    <phoneticPr fontId="9" type="noConversion"/>
  </si>
  <si>
    <t>MK는 자신에게 주어진 운명을 받아들이기로 결심하지만 MK를 희생시킬 수 없는 손오공! 영웅들이 적과 싸우는 동안, MK는 자신을 막아서는 스승과 대결을 벌이는데!</t>
    <phoneticPr fontId="9" type="noConversion"/>
  </si>
  <si>
    <t>이 우주 너머 혼돈 속에서 여와 여신을 만난 MK는 지금껏 몰랐던 끔찍한 비밀을 알게 되는데!</t>
    <phoneticPr fontId="9" type="noConversion"/>
  </si>
  <si>
    <t>손오공과의 훈련 후, MK는 화과산 정상에서 자신이 태어난 돌이 깨어진 걸 발견하게 된다. MK와 손오공은 사타왕의 운명, MK의 강력한 새 파워에 대한 이야기를 나누지만 MK는 자신의 파워를 인정하고 받아들이길 거부한다. 곧 폭풍이 닥칠 걸 감지한 손오공과 마카크가 세상의 파멸을 막을 방법을 고민하는 사이에도 MK는 과거의 기억 조각과 미래에 대한 두려움으로 괴로워하는데!</t>
    <phoneticPr fontId="9" type="noConversion"/>
  </si>
  <si>
    <t>돌 다섯 개를 모두 손에 넣었으니 이젠 MK와 영웅들이 세상의 멸망을 막을 시간이다! 사사건건 앞을 가로막던 이정이 마침내 신전으로 향하는 길을 내어 주고, 돌들도 모두 제자리에 놓이자, 영웅들은 이제 임무 끝! 우주를 위험에서 구했다고 생각했지만 천만에! 이 모든 혼란을 처음부터 끝까지 설계한 어둠 속의 적이 드디어 모습을 드러내자, 영웅들은 지금까지의 시험은 준비운동에 불과했다는 사실을 깨닫게 된다.</t>
    <phoneticPr fontId="9" type="noConversion"/>
  </si>
  <si>
    <t>MK, 손오공, 마카크는 저승으로 불려가, 그들의 죄를 심판하려는 저승 시왕들의 심판대에 선다. 옥황상제가 사라지면서, 세상에 다시 혼돈의 그림자가 드리우자, 네자의 아버지인 이정은 손오공과 친구들을 감옥에 가두기로 결정한다. 하지만 세상을 멸망에서 구할 방법이 있음을 알게 된 MK, 손오공, 마카크는 네자를 속여 탈옥을 감행하고, 그 때문에 천계의 병사들에게 쫓기는 신세가 되고 마는데!</t>
    <phoneticPr fontId="9" type="noConversion"/>
  </si>
  <si>
    <t>세상에 위험이 닥치고 있음을 알게 된 MK와 친구들! 어둠 속에 모습을 숨긴 적이 MK와 친구들을 함정에 빠뜨리고, 이를 알 리 없는 MK 일행은 적의 계획대로 한 걸음 한 걸음 나아가기 시작한다. 그러다 드디어 세상을 구할 방법을 알게 된 영웅들은 신비한 다섯 가지 색깔의 돌들을 찾아 길을 나서고, 돌의 힘으로 하늘의 기둥을 수리할 수 있다는 희망을 갖게 되는데!</t>
    <phoneticPr fontId="9" type="noConversion"/>
  </si>
  <si>
    <t>천계의 병사들에게 쫓기면서도, 세상을 구할 힘을 가졌다는 다섯 가지 색깔의 돌들을 찾아 길을 떠나는 MK와 친구들! 돌이 있는 곳을 전혀 알 수 없자, 태초에 돌을 만들어 세상을 구했다는 여신 여와의 발자취를 따라가기로 한 우리의 영웅들은 마침내 첫 번째 돌이 있다는 화염산에 도착한다. 하지만 신전의 시험을 통과하는 데 집중하는 MK에게 손오공은 자신의 길을 찾을 것을 조언하는데!</t>
    <phoneticPr fontId="9" type="noConversion"/>
  </si>
  <si>
    <t>샌디와 MK가 함께 훈련하는 동안, 나머지는 다음 돌을 찾기 위해 길을 떠난다. 픽시와 탕이 수색 중 사고로 멈춰선 사이, 공중 수색에 나섰던 메이도 추락하면서 우연히 낯익은 얼굴과 마주치게 되는데 그는 다름 아닌 레드썬! 거기다 도움이 필요하단다. 레드썬이 삼매진화를 연구하다 실수로 만들어낸 위험한 불길이 걷잡을 수 없이 강해지고 난폭해지자, 삼매진화를 잠재웠던 두 영웅들이 힘을 합해야만 하는 상황!</t>
    <phoneticPr fontId="9" type="noConversion"/>
  </si>
  <si>
    <t>이 우주의 운명을 어깨에 지고, 하늘의 기둥을 향해 돌진하는 MK! MK는 기꺼이 자신에게 주어진 운명을 받아들였지만 손오공은 절대 그럴 수가 없다. 멸망 직전의 세상에서 영웅들은 적을 막기 위해 싸우고 MK는 앞을 막는 스승을 밀어내기 위해 싸우지만, 세상을 구할 기회는 더이상 없다는 걸 모두가 곧 깨닫게 되는데…</t>
    <phoneticPr fontId="9" type="noConversion"/>
  </si>
  <si>
    <t>모두가 마지막 순간까지 싸우는 동안, MK는 우주의 경계 너머 거대한 혼돈 속에서 여와 여신을 만난다. 여와 여신은 MK에게, 희생이 이미 결정되어 있었다는 사실과, 세상은 순환을 끝내고 새로운 세상으로 태어나게 된다는 사실을 말해주지만, MK는 여신의 뜻을 받아들이지 않는다. 사랑하는 모두가 사라지는 걸 보려고 자신을 희생한 게 아니라며 여신에게 반기를 드는 MK. 하지만 과연 모두를 구해낼 힘이 MK에게 있을까?</t>
    <phoneticPr fontId="9" type="noConversion"/>
  </si>
  <si>
    <t>MK는 조각조각 떠오르는 과거의 기억과 미래에 대한 불안감으로 잠을 이루지 못하고, 손오공과 마카크는 곧 다가올 폭풍을 준비한다.</t>
    <phoneticPr fontId="9" type="noConversion"/>
  </si>
  <si>
    <t>천계에서 탈출한 영웅들은, 우주를 구할 유일한 방법이라는 다섯가지 색깔의 돌들을 찾아 길을 나선다. 첫 번째 목적지는, 화염산!</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</si>
</sst>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맑은 고딕"/>
      <family val="2"/>
      <scheme val="minor"/>
    </font>
    <font>
      <sz val="11"/>
      <color theme="1"/>
      <name val="맑은 고딕"/>
      <family val="2"/>
      <scheme val="minor"/>
    </font>
    <font>
      <b/>
      <sz val="11"/>
      <color theme="1"/>
      <name val="맑은 고딕"/>
      <family val="2"/>
      <scheme val="minor"/>
    </font>
    <font>
      <b/>
      <u/>
      <sz val="24"/>
      <color theme="1"/>
      <name val="맑은 고딕"/>
      <family val="2"/>
      <scheme val="minor"/>
    </font>
    <font>
      <b/>
      <sz val="12"/>
      <color theme="1"/>
      <name val="맑은 고딕"/>
      <family val="2"/>
      <scheme val="minor"/>
    </font>
    <font>
      <b/>
      <sz val="12"/>
      <name val="맑은 고딕"/>
      <family val="2"/>
      <scheme val="minor"/>
    </font>
    <font>
      <b/>
      <sz val="12"/>
      <name val="Calibri (Body)_x0000_"/>
    </font>
    <font>
      <b/>
      <sz val="9"/>
      <color theme="1"/>
      <name val="맑은 고딕"/>
      <family val="2"/>
      <scheme val="minor"/>
    </font>
    <font>
      <sz val="12"/>
      <color theme="1"/>
      <name val="맑은 고딕"/>
      <family val="2"/>
      <scheme val="minor"/>
    </font>
    <font>
      <sz val="8"/>
      <name val="맑은 고딕"/>
      <family val="3"/>
      <charset val="129"/>
      <scheme val="minor"/>
    </font>
  </fonts>
  <fills count="7">
    <fill>
      <patternFill patternType="none"/>
    </fill>
    <fill>
      <patternFill patternType="gray125"/>
    </fill>
    <fill>
      <patternFill patternType="solid">
        <fgColor theme="7" tint="0.79998168889431442"/>
        <bgColor indexed="65"/>
      </patternFill>
    </fill>
    <fill>
      <patternFill patternType="solid">
        <fgColor theme="8" tint="0.39997558519241921"/>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theme="0"/>
        <bgColor indexed="64"/>
      </patternFill>
    </fill>
  </fills>
  <borders count="25">
    <border>
      <left/>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bottom style="medium">
        <color indexed="64"/>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medium">
        <color indexed="64"/>
      </right>
      <top/>
      <bottom style="medium">
        <color indexed="64"/>
      </bottom>
      <diagonal/>
    </border>
  </borders>
  <cellStyleXfs count="3">
    <xf numFmtId="0" fontId="0" fillId="0" borderId="0"/>
    <xf numFmtId="0" fontId="1" fillId="0" borderId="0"/>
    <xf numFmtId="0" fontId="8" fillId="2" borderId="19">
      <alignment vertical="center"/>
      <protection locked="0"/>
    </xf>
  </cellStyleXfs>
  <cellXfs count="52">
    <xf numFmtId="0" fontId="0" fillId="0" borderId="0" xfId="0"/>
    <xf numFmtId="0" fontId="3" fillId="3" borderId="0" xfId="0" applyFont="1" applyFill="1" applyAlignment="1">
      <alignment horizontal="left" vertical="center" indent="1"/>
    </xf>
    <xf numFmtId="0" fontId="0" fillId="3" borderId="0" xfId="0" applyFill="1"/>
    <xf numFmtId="0" fontId="4" fillId="3" borderId="1" xfId="1" applyFont="1" applyFill="1" applyBorder="1" applyAlignment="1">
      <alignment horizontal="center" vertical="center" wrapText="1"/>
    </xf>
    <xf numFmtId="0" fontId="4" fillId="3" borderId="2" xfId="1" applyFont="1" applyFill="1" applyBorder="1" applyAlignment="1">
      <alignment horizontal="center" vertical="center" wrapText="1"/>
    </xf>
    <xf numFmtId="0" fontId="5"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2" fillId="3" borderId="0" xfId="0" applyFont="1" applyFill="1" applyAlignment="1">
      <alignment wrapText="1"/>
    </xf>
    <xf numFmtId="0" fontId="4" fillId="0" borderId="8" xfId="1" applyFont="1" applyBorder="1" applyAlignment="1">
      <alignment horizontal="center" vertical="center" wrapText="1"/>
    </xf>
    <xf numFmtId="0" fontId="4" fillId="0" borderId="2" xfId="1" applyFont="1" applyBorder="1" applyAlignment="1">
      <alignment vertical="center" wrapText="1"/>
    </xf>
    <xf numFmtId="0" fontId="2" fillId="4" borderId="3" xfId="0" applyFont="1" applyFill="1" applyBorder="1" applyAlignment="1">
      <alignment vertical="center" wrapText="1"/>
    </xf>
    <xf numFmtId="0" fontId="2" fillId="5" borderId="0" xfId="0" applyFont="1" applyFill="1" applyAlignment="1">
      <alignment horizontal="center" vertical="center" wrapText="1"/>
    </xf>
    <xf numFmtId="0" fontId="4" fillId="6" borderId="9" xfId="1" applyFont="1" applyFill="1" applyBorder="1" applyAlignment="1">
      <alignment horizontal="left" vertical="center" wrapText="1"/>
    </xf>
    <xf numFmtId="0" fontId="2" fillId="4" borderId="3" xfId="0" applyFont="1" applyFill="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0" xfId="0" applyFont="1" applyAlignment="1">
      <alignment wrapText="1"/>
    </xf>
    <xf numFmtId="0" fontId="4" fillId="0" borderId="10" xfId="1" applyFont="1" applyBorder="1" applyAlignment="1">
      <alignment horizontal="center" vertical="center" wrapText="1"/>
    </xf>
    <xf numFmtId="0" fontId="4" fillId="0" borderId="9" xfId="1" applyFont="1" applyBorder="1" applyAlignment="1">
      <alignment vertical="center" wrapText="1"/>
    </xf>
    <xf numFmtId="0" fontId="2" fillId="4" borderId="11" xfId="0" applyFont="1" applyFill="1" applyBorder="1" applyAlignment="1">
      <alignment vertical="center" wrapText="1"/>
    </xf>
    <xf numFmtId="0" fontId="2" fillId="4" borderId="11" xfId="0" applyFont="1" applyFill="1" applyBorder="1" applyAlignment="1">
      <alignment horizontal="center" vertical="center" wrapText="1"/>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8" fillId="0" borderId="14" xfId="1" applyFont="1" applyBorder="1" applyAlignment="1">
      <alignment horizontal="center" vertical="center" wrapText="1"/>
    </xf>
    <xf numFmtId="0" fontId="8" fillId="0" borderId="4" xfId="1" applyFont="1" applyBorder="1" applyAlignment="1">
      <alignment vertical="center" wrapText="1"/>
    </xf>
    <xf numFmtId="0" fontId="0" fillId="4" borderId="15" xfId="0" applyFill="1" applyBorder="1" applyAlignment="1">
      <alignment vertical="center" wrapText="1"/>
    </xf>
    <xf numFmtId="0" fontId="0" fillId="5" borderId="0" xfId="0" applyFill="1" applyAlignment="1">
      <alignment horizontal="center" vertical="center" wrapText="1"/>
    </xf>
    <xf numFmtId="0" fontId="0" fillId="4" borderId="15" xfId="0" applyFill="1" applyBorder="1" applyAlignment="1">
      <alignment horizontal="center" vertical="center" wrapText="1"/>
    </xf>
    <xf numFmtId="0" fontId="0" fillId="0" borderId="4" xfId="0" applyBorder="1" applyAlignment="1">
      <alignment horizontal="center" vertical="center" wrapText="1"/>
    </xf>
    <xf numFmtId="0" fontId="0" fillId="0" borderId="16" xfId="0" applyBorder="1" applyAlignment="1">
      <alignment horizontal="center" vertical="center" wrapText="1"/>
    </xf>
    <xf numFmtId="0" fontId="0" fillId="0" borderId="0" xfId="0" applyAlignment="1">
      <alignment wrapText="1"/>
    </xf>
    <xf numFmtId="0" fontId="8" fillId="0" borderId="17" xfId="1" applyFont="1" applyBorder="1" applyAlignment="1">
      <alignment horizontal="center" vertical="center" wrapText="1"/>
    </xf>
    <xf numFmtId="0" fontId="8" fillId="0" borderId="18" xfId="1" applyFont="1" applyBorder="1" applyAlignment="1">
      <alignment vertical="center" wrapText="1"/>
    </xf>
    <xf numFmtId="0" fontId="0" fillId="4" borderId="19" xfId="0" applyFill="1" applyBorder="1" applyAlignment="1">
      <alignment vertical="center" wrapText="1"/>
    </xf>
    <xf numFmtId="0" fontId="0" fillId="4" borderId="19" xfId="0" applyFill="1" applyBorder="1" applyAlignment="1">
      <alignment horizontal="center" vertical="center" wrapText="1"/>
    </xf>
    <xf numFmtId="0" fontId="0" fillId="0" borderId="18" xfId="0" applyBorder="1" applyAlignment="1">
      <alignment horizontal="center" vertical="center" wrapText="1"/>
    </xf>
    <xf numFmtId="0" fontId="0" fillId="0" borderId="20" xfId="0" applyBorder="1" applyAlignment="1">
      <alignment horizontal="center" vertical="center" wrapText="1"/>
    </xf>
    <xf numFmtId="0" fontId="8" fillId="2" borderId="19" xfId="2" applyAlignment="1">
      <alignment vertical="center" wrapText="1"/>
      <protection locked="0"/>
    </xf>
    <xf numFmtId="0" fontId="8" fillId="0" borderId="21" xfId="1" applyFont="1" applyBorder="1" applyAlignment="1">
      <alignment horizontal="center" vertical="center" wrapText="1"/>
    </xf>
    <xf numFmtId="0" fontId="8" fillId="0" borderId="11" xfId="1" applyFont="1" applyBorder="1" applyAlignment="1">
      <alignment vertical="center" wrapText="1"/>
    </xf>
    <xf numFmtId="0" fontId="0" fillId="4" borderId="22" xfId="0" applyFill="1" applyBorder="1" applyAlignment="1">
      <alignment vertical="center" wrapText="1"/>
    </xf>
    <xf numFmtId="0" fontId="0" fillId="5" borderId="23" xfId="0" applyFill="1" applyBorder="1" applyAlignment="1">
      <alignment horizontal="center" vertical="center" wrapText="1"/>
    </xf>
    <xf numFmtId="0" fontId="0" fillId="4" borderId="22" xfId="0" applyFill="1" applyBorder="1" applyAlignment="1">
      <alignment horizontal="center" vertical="center" wrapText="1"/>
    </xf>
    <xf numFmtId="0" fontId="0" fillId="0" borderId="11" xfId="0" applyBorder="1" applyAlignment="1">
      <alignment horizontal="center" vertical="center" wrapText="1"/>
    </xf>
    <xf numFmtId="0" fontId="0" fillId="0" borderId="24" xfId="0"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cellXfs>
  <cellStyles count="3">
    <cellStyle name="Fill in" xfId="2" xr:uid="{A245CCBC-E7EF-4157-8811-52B3ACB3093D}"/>
    <cellStyle name="Normal" xfId="0" builtinId="0"/>
    <cellStyle name="Normal 2" xfId="1" xr:uid="{8D86910D-D8A8-4D3C-B2A9-1566C2AFDC2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gbLauBru\Downloads\ProductionMetadata_MonkieKid_S5_2024_v01_20231214.xlsx" TargetMode="External"/><Relationship Id="rId1" Type="http://schemas.openxmlformats.org/officeDocument/2006/relationships/externalLinkPath" Target="/Users/gbLauBru/Downloads/ProductionMetadata_MonkieKid_S5_2024_v01_2023121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MPLATE INFO - PLEASE READ"/>
      <sheetName val="GENERAL INFO"/>
      <sheetName val="SONG LIST"/>
      <sheetName val="CHARACTER LIST"/>
      <sheetName val="KEY PHRASES, LOCATIONS, PROPS.."/>
      <sheetName val="LOGLINES &amp; SYNOPSES"/>
      <sheetName val="DUBBING BIBLE"/>
      <sheetName val="TITLES, LOGLINES &amp; SYNOPSES"/>
      <sheetName val="TERMS LIST"/>
      <sheetName val="CREDITS"/>
    </sheetNames>
    <sheetDataSet>
      <sheetData sheetId="0"/>
      <sheetData sheetId="1">
        <row r="6">
          <cell r="C6" t="str">
            <v>LEGO®</v>
          </cell>
          <cell r="D6" t="str">
            <v>Monkie Kid</v>
          </cell>
          <cell r="H6">
            <v>501</v>
          </cell>
          <cell r="I6" t="str">
            <v>Strings That Bind</v>
          </cell>
        </row>
        <row r="7">
          <cell r="H7">
            <v>502</v>
          </cell>
          <cell r="I7" t="str">
            <v>Collar the King</v>
          </cell>
        </row>
        <row r="8">
          <cell r="C8">
            <v>5</v>
          </cell>
          <cell r="H8">
            <v>503</v>
          </cell>
          <cell r="I8" t="str">
            <v>Temple of the Goddess</v>
          </cell>
        </row>
        <row r="9">
          <cell r="H9">
            <v>504</v>
          </cell>
          <cell r="I9" t="str">
            <v>The Storm Within</v>
          </cell>
        </row>
        <row r="10">
          <cell r="C10">
            <v>2024</v>
          </cell>
          <cell r="H10">
            <v>505</v>
          </cell>
          <cell r="I10" t="str">
            <v>Claim to Flame</v>
          </cell>
        </row>
        <row r="11">
          <cell r="H11">
            <v>506</v>
          </cell>
          <cell r="I11" t="str">
            <v>Festival Fugitives</v>
          </cell>
        </row>
        <row r="12">
          <cell r="H12">
            <v>507</v>
          </cell>
          <cell r="I12" t="str">
            <v>Into the Pagoda</v>
          </cell>
        </row>
        <row r="13">
          <cell r="H13">
            <v>508</v>
          </cell>
          <cell r="I13" t="str">
            <v>The Cage</v>
          </cell>
        </row>
        <row r="14">
          <cell r="H14">
            <v>509</v>
          </cell>
          <cell r="I14" t="str">
            <v>Sacrifice</v>
          </cell>
        </row>
        <row r="15">
          <cell r="H15">
            <v>510</v>
          </cell>
          <cell r="I15" t="str">
            <v>Harbinger</v>
          </cell>
        </row>
      </sheetData>
      <sheetData sheetId="2"/>
      <sheetData sheetId="3"/>
      <sheetData sheetId="4"/>
      <sheetData sheetId="5">
        <row r="6">
          <cell r="D6" t="str">
            <v xml:space="preserve">A storm is coming, and a secret enemy is working against MK and his friends. Every step of their journey is another step in the villain's plan. </v>
          </cell>
          <cell r="F6" t="str">
            <v xml:space="preserve">MK and his friends know the storm is coming. A secret enemy is working against them, and it seems every step of their journey is another step in the villain's plan. When MK and the heroes learn of a way to save everyone, they set out to find the mystical five colour stones, and hopefully reforge the pillar of heaven. </v>
          </cell>
        </row>
        <row r="7">
          <cell r="D7" t="str">
            <v xml:space="preserve">MK  is haunted by the visions of the past, and what the future may hold. Monkey King and Macaque prepare for the storm. </v>
          </cell>
          <cell r="F7" t="str">
            <v>After a training session with Monkey King, MK discovers the ruins of the stone he was born from on the broken peaks of Flower Fruit Mountain. He and Monkey King discuss the fate of Azure Lion, and the origin of MK’s new, terrifying powers. While Monkey King and Macaque prepare for ‘the storm’ to hit, MK struggles with visions of the past and his fears of what the future holds.</v>
          </cell>
        </row>
        <row r="8">
          <cell r="D8" t="str">
            <v>MK, Monkey King and Macaque are summoned to the underworld to stand trial for their ‘crimes’.</v>
          </cell>
          <cell r="F8" t="str">
            <v>MK, Monkey King and Macaque are summoned to the underworld to stand trial for their ‘crimes’. With the Jade Emperor dethroned, the world seems set to descend into chaos. Ne Zha's father, Li Jing is determined to see Monkey King and his friends locked away. MK learns of a possible solution to the crisis, but to reach it, the heroes must become fugitives of the celestial realm.</v>
          </cell>
        </row>
        <row r="9">
          <cell r="D9" t="str">
            <v>Fugitives from the celestial realm, our heroes set out to find the five color stones and save the universe! First stop: the Burning Mountain!</v>
          </cell>
          <cell r="F9" t="str">
            <v>Now fugitives from the celestial realm, MK and his friends set out to find the five color stones and save the universe! With no clue where the stones could be, they attempt to track down their creator, the goddess Nüwa, in her temple at the Burning Mountain. While MK obsesses over the 'trial' the temple offers, Monkey King counsels him to choose his own path.</v>
          </cell>
        </row>
        <row r="10">
          <cell r="D10" t="str">
            <v>Sandy insists on a one-on-one training session with MK. To MK's disappointment, the technique Sandy wants to teach is actually... Meditation.</v>
          </cell>
          <cell r="F10" t="str">
            <v>Seeing the pressure getting to MK, Sandy insists on a one-on-one training session. To MK's disappointment, the technique Sandy wants to teach is actually... Meditation. When they happen upon the location of the next stone, MK is delighted to be given an excuse to avoid looking inward. However, the second guardian's trial will force MK to overcome 'the storm within'!</v>
          </cell>
        </row>
        <row r="11">
          <cell r="D11" t="str">
            <v>When the team split up to find the next stone, Pigsy and Tang run into trouble, and Mei runs into a familiar face…</v>
          </cell>
          <cell r="F11" t="str">
            <v>While Sandy and MK train, the rest of the team hit the road to find the next stone. While Pigsy and Tang run into trouble, Mei runs into a familiar face: Red Son is back, and he needs her help! A dangerous force, which Red Son accidentally created, threatens to get out of hand, and it's up to the former wielders of the Samadhi fire to stop it!</v>
          </cell>
        </row>
        <row r="12">
          <cell r="D12" t="str">
            <v>Stopping at a food festival, the heroes hope to find the next stone. Instead, they find Ne Zha and the celestial host…</v>
          </cell>
          <cell r="F12" t="str">
            <v>Stopping off at a food festival, MK and the heroes are spotted by Ne Zha! When Li Jing arrives, Ne Zha must make a choice to help their father or their friend! With Ne Zha’s aid, the heroes manage to escape Li Jing and find the location of the 3rd and 4th stones. But to escape, they’ll have to go deeper into danger.</v>
          </cell>
        </row>
        <row r="13">
          <cell r="D13" t="str">
            <v>Inside Li Jing’s Pagoda, the heroes are attacked by a demon who can trap its prey in memories. MK is shown memories he didn’t know he had...</v>
          </cell>
          <cell r="F13" t="str">
            <v>Trapped in Li Jing's Pagoda, an infinite magical prison, the heroes search for the last stone, which MK is convinced is locked away inside. When a mysterious demon with the power to trap its prey in memories attacks, MK is shown memories he didn't know he had. While his friends try to save him, MK is guided through his past and learns what his future holds. What he learns will change everything.</v>
          </cell>
        </row>
        <row r="14">
          <cell r="D14" t="str">
            <v>With all five stones, it's time to use them and save the world! When the secret enemy reveals himself, the heroes learn their trials have only begun.</v>
          </cell>
          <cell r="F14" t="str">
            <v>Now in possession of all the stones, MK and the heroes must decide what to do with them. Li Jing, seeing reason, aids them in returning to the first temple. Activating the stones, the heroes think they've done it, saved the universe... However, when the secret enemy finally reveals himself, the heroes meet the architect behind the growing chaos, and learn their trials have only just begun.</v>
          </cell>
        </row>
        <row r="15">
          <cell r="D15" t="str">
            <v>MK knows what he needs to do, but Monkey King isn't going to let him. While the enemy battles the heroes, MK must face off against his mentor!</v>
          </cell>
          <cell r="F15" t="str">
            <v>Racing towards the pillar of heaven, and with the fate of the world on his shoulders, MK knows what needs to be done. However, Monkey King isn't going to let him. While the world burns, MK must face off against his mentor. No matter the outcome, the heroes soon learn they never stood a chance.</v>
          </cell>
        </row>
        <row r="16">
          <cell r="D16" t="str">
            <v>In the chaos beyond the world, MK meets with the goddess Nüwa and learns of a terrible secret.</v>
          </cell>
          <cell r="F16" t="str">
            <v>While the enemy battles the heroes, MK meets the goddess Nüwa in the chaos beyond the world. She tells him that the sacrifice he made was predestined and that the world can now be made new again. However, MK didn’t sacrifice everything just to watch everyone he loves vanish. But will he be strong enough to save them all?</v>
          </cell>
        </row>
      </sheetData>
      <sheetData sheetId="6"/>
      <sheetData sheetId="7"/>
      <sheetData sheetId="8"/>
      <sheetData sheetId="9"/>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0BCF8-93C4-4D0B-AE09-9518F6365C1C}">
  <dimension ref="A1:K15"/>
  <sheetViews>
    <sheetView tabSelected="1" topLeftCell="A9" workbookViewId="0">
      <selection sqref="A1:K15"/>
    </sheetView>
  </sheetViews>
  <sheetFormatPr defaultColWidth="9.8984375" defaultRowHeight="17.399999999999999" outlineLevelCol="1"/>
  <cols>
    <col min="1" max="1" width="9.09765625" style="50" customWidth="1"/>
    <col min="2" max="3" width="30.09765625" style="51" customWidth="1"/>
    <col min="4" max="4" width="1.59765625" style="31" customWidth="1"/>
    <col min="5" max="5" width="50" style="51" customWidth="1" outlineLevel="1"/>
    <col min="6" max="6" width="50" style="50" customWidth="1"/>
    <col min="7" max="7" width="6.59765625" style="50" customWidth="1"/>
    <col min="8" max="8" width="1.59765625" style="31" customWidth="1"/>
    <col min="9" max="9" width="79.59765625" style="51" customWidth="1" outlineLevel="1"/>
    <col min="10" max="10" width="79.59765625" style="51" customWidth="1"/>
    <col min="11" max="11" width="5.8984375" style="50" customWidth="1"/>
    <col min="12" max="16384" width="9.8984375" style="35"/>
  </cols>
  <sheetData>
    <row r="1" spans="1:11" s="2" customFormat="1" ht="36.6" thickBot="1">
      <c r="A1" s="1" t="str">
        <f>"LOGLINES &amp; SYNOPSES - "&amp;" "&amp;'[1]GENERAL INFO'!C6&amp;" "&amp;'[1]GENERAL INFO'!D6&amp;" "&amp;'[1]GENERAL INFO'!E6&amp;","&amp;" "&amp;"Season"&amp;" "&amp;'[1]GENERAL INFO'!C8&amp;" "&amp;"("&amp;'[1]GENERAL INFO'!C10&amp;")"</f>
        <v>LOGLINES &amp; SYNOPSES -  LEGO® Monkie Kid , Season 5 (2024)</v>
      </c>
    </row>
    <row r="2" spans="1:11" s="12" customFormat="1" ht="27" thickBot="1">
      <c r="A2" s="3" t="s">
        <v>0</v>
      </c>
      <c r="B2" s="4" t="s">
        <v>1</v>
      </c>
      <c r="C2" s="5" t="s">
        <v>2</v>
      </c>
      <c r="D2" s="6"/>
      <c r="E2" s="7" t="s">
        <v>3</v>
      </c>
      <c r="F2" s="8" t="s">
        <v>4</v>
      </c>
      <c r="G2" s="9" t="s">
        <v>5</v>
      </c>
      <c r="H2" s="6"/>
      <c r="I2" s="7" t="s">
        <v>6</v>
      </c>
      <c r="J2" s="10" t="s">
        <v>7</v>
      </c>
      <c r="K2" s="11" t="s">
        <v>8</v>
      </c>
    </row>
    <row r="3" spans="1:11" s="21" customFormat="1" ht="19.8" thickBot="1">
      <c r="A3" s="13" t="s">
        <v>9</v>
      </c>
      <c r="B3" s="14" t="str">
        <f>'[1]GENERAL INFO'!C6&amp;" "&amp;'[1]GENERAL INFO'!D6&amp;" "&amp;'[1]GENERAL INFO'!E6</f>
        <v xml:space="preserve">LEGO® Monkie Kid </v>
      </c>
      <c r="C3" s="15" t="s">
        <v>23</v>
      </c>
      <c r="D3" s="16"/>
      <c r="E3" s="17" t="str">
        <f>IF('[1]LOGLINES &amp; SYNOPSES'!D5&lt;&gt;"",'[1]LOGLINES &amp; SYNOPSES'!D5,"")</f>
        <v/>
      </c>
      <c r="F3" s="18"/>
      <c r="G3" s="19">
        <f>LEN(F3)</f>
        <v>0</v>
      </c>
      <c r="H3" s="16"/>
      <c r="I3" s="17" t="str">
        <f>IF('[1]LOGLINES &amp; SYNOPSES'!F5&lt;&gt;"",'[1]LOGLINES &amp; SYNOPSES'!F5,"")</f>
        <v/>
      </c>
      <c r="J3" s="15"/>
      <c r="K3" s="20">
        <f>LEN(J3)</f>
        <v>0</v>
      </c>
    </row>
    <row r="4" spans="1:11" s="21" customFormat="1" ht="77.400000000000006" thickBot="1">
      <c r="A4" s="22" t="str">
        <f>"Season"&amp;" "&amp;'[1]GENERAL INFO'!C8&amp;" "&amp;"("&amp;'[1]GENERAL INFO'!C10&amp;")"</f>
        <v>Season 5 (2024)</v>
      </c>
      <c r="B4" s="23" t="str">
        <f>IF('[1]GENERAL INFO'!C9&lt;&gt;"",'[1]GENERAL INFO'!C9,"n/a")</f>
        <v>n/a</v>
      </c>
      <c r="C4" s="24" t="s">
        <v>24</v>
      </c>
      <c r="D4" s="16"/>
      <c r="E4" s="17" t="str">
        <f>IF('[1]LOGLINES &amp; SYNOPSES'!D6&lt;&gt;"",'[1]LOGLINES &amp; SYNOPSES'!D6,"n/a")</f>
        <v xml:space="preserve">A storm is coming, and a secret enemy is working against MK and his friends. Every step of their journey is another step in the villain's plan. </v>
      </c>
      <c r="F4" s="25" t="s">
        <v>22</v>
      </c>
      <c r="G4" s="26">
        <f>LEN(F4)</f>
        <v>81</v>
      </c>
      <c r="H4" s="16"/>
      <c r="I4" s="17" t="str">
        <f>IF('[1]LOGLINES &amp; SYNOPSES'!F6&lt;&gt;"",'[1]LOGLINES &amp; SYNOPSES'!F6,"n/a")</f>
        <v xml:space="preserve">MK and his friends know the storm is coming. A secret enemy is working against them, and it seems every step of their journey is another step in the villain's plan. When MK and the heroes learn of a way to save everyone, they set out to find the mystical five colour stones, and hopefully reforge the pillar of heaven. </v>
      </c>
      <c r="J4" s="24" t="s">
        <v>37</v>
      </c>
      <c r="K4" s="27">
        <f>LEN(J4)</f>
        <v>205</v>
      </c>
    </row>
    <row r="5" spans="1:11" ht="96">
      <c r="A5" s="28" t="str">
        <f>IF('[1]GENERAL INFO'!H6&lt;&gt;"","Ep."&amp;" "&amp;'[1]GENERAL INFO'!H6,"")</f>
        <v>Ep. 501</v>
      </c>
      <c r="B5" s="29" t="str">
        <f>IF('[1]GENERAL INFO'!I6&lt;&gt;"",'[1]GENERAL INFO'!I6,"")</f>
        <v>Strings That Bind</v>
      </c>
      <c r="C5" s="30" t="s">
        <v>25</v>
      </c>
      <c r="E5" s="29" t="str">
        <f>IF('[1]LOGLINES &amp; SYNOPSES'!D7&lt;&gt;"",'[1]LOGLINES &amp; SYNOPSES'!D7,"")</f>
        <v xml:space="preserve">MK  is haunted by the visions of the past, and what the future may hold. Monkey King and Macaque prepare for the storm. </v>
      </c>
      <c r="F5" s="32" t="s">
        <v>42</v>
      </c>
      <c r="G5" s="33">
        <f>LEN(F5)</f>
        <v>72</v>
      </c>
      <c r="I5" s="29" t="str">
        <f>IF('[1]LOGLINES &amp; SYNOPSES'!F7&lt;&gt;"",'[1]LOGLINES &amp; SYNOPSES'!F7,"")</f>
        <v>After a training session with Monkey King, MK discovers the ruins of the stone he was born from on the broken peaks of Flower Fruit Mountain. He and Monkey King discuss the fate of Azure Lion, and the origin of MK’s new, terrifying powers. While Monkey King and Macaque prepare for ‘the storm’ to hit, MK struggles with visions of the past and his fears of what the future holds.</v>
      </c>
      <c r="J5" s="30" t="s">
        <v>34</v>
      </c>
      <c r="K5" s="34">
        <f>LEN(J5)</f>
        <v>210</v>
      </c>
    </row>
    <row r="6" spans="1:11" ht="96">
      <c r="A6" s="36" t="str">
        <f>IF('[1]GENERAL INFO'!H7&lt;&gt;"","Ep."&amp;" "&amp;'[1]GENERAL INFO'!H7,"")</f>
        <v>Ep. 502</v>
      </c>
      <c r="B6" s="37" t="str">
        <f>IF('[1]GENERAL INFO'!I7&lt;&gt;"",'[1]GENERAL INFO'!I7,"")</f>
        <v>Collar the King</v>
      </c>
      <c r="C6" s="38" t="s">
        <v>10</v>
      </c>
      <c r="E6" s="37" t="str">
        <f>IF('[1]LOGLINES &amp; SYNOPSES'!D8&lt;&gt;"",'[1]LOGLINES &amp; SYNOPSES'!D8,"")</f>
        <v>MK, Monkey King and Macaque are summoned to the underworld to stand trial for their ‘crimes’.</v>
      </c>
      <c r="F6" s="39" t="s">
        <v>16</v>
      </c>
      <c r="G6" s="40">
        <f t="shared" ref="G6:G15" si="0">LEN(F6)</f>
        <v>51</v>
      </c>
      <c r="I6" s="37" t="str">
        <f>IF('[1]LOGLINES &amp; SYNOPSES'!F8&lt;&gt;"",'[1]LOGLINES &amp; SYNOPSES'!F8,"")</f>
        <v>MK, Monkey King and Macaque are summoned to the underworld to stand trial for their ‘crimes’. With the Jade Emperor dethroned, the world seems set to descend into chaos. Ne Zha's father, Li Jing is determined to see Monkey King and his friends locked away. MK learns of a possible solution to the crisis, but to reach it, the heroes must become fugitives of the celestial realm.</v>
      </c>
      <c r="J6" s="38" t="s">
        <v>36</v>
      </c>
      <c r="K6" s="41">
        <f t="shared" ref="K6:K15" si="1">LEN(J6)</f>
        <v>218</v>
      </c>
    </row>
    <row r="7" spans="1:11" ht="96">
      <c r="A7" s="36" t="str">
        <f>IF('[1]GENERAL INFO'!H8&lt;&gt;"","Ep."&amp;" "&amp;'[1]GENERAL INFO'!H8,"")</f>
        <v>Ep. 503</v>
      </c>
      <c r="B7" s="37" t="str">
        <f>IF('[1]GENERAL INFO'!I8&lt;&gt;"",'[1]GENERAL INFO'!I8,"")</f>
        <v>Temple of the Goddess</v>
      </c>
      <c r="C7" s="38" t="s">
        <v>11</v>
      </c>
      <c r="E7" s="37" t="str">
        <f>IF('[1]LOGLINES &amp; SYNOPSES'!D9&lt;&gt;"",'[1]LOGLINES &amp; SYNOPSES'!D9,"")</f>
        <v>Fugitives from the celestial realm, our heroes set out to find the five color stones and save the universe! First stop: the Burning Mountain!</v>
      </c>
      <c r="F7" s="39" t="s">
        <v>43</v>
      </c>
      <c r="G7" s="40">
        <f t="shared" si="0"/>
        <v>71</v>
      </c>
      <c r="I7" s="37" t="str">
        <f>IF('[1]LOGLINES &amp; SYNOPSES'!F9&lt;&gt;"",'[1]LOGLINES &amp; SYNOPSES'!F9,"")</f>
        <v>Now fugitives from the celestial realm, MK and his friends set out to find the five color stones and save the universe! With no clue where the stones could be, they attempt to track down their creator, the goddess Nüwa, in her temple at the Burning Mountain. While MK obsesses over the 'trial' the temple offers, Monkey King counsels him to choose his own path.</v>
      </c>
      <c r="J7" s="38" t="s">
        <v>38</v>
      </c>
      <c r="K7" s="41">
        <f t="shared" si="1"/>
        <v>214</v>
      </c>
    </row>
    <row r="8" spans="1:11" ht="96">
      <c r="A8" s="36" t="str">
        <f>IF('[1]GENERAL INFO'!H9&lt;&gt;"","Ep."&amp;" "&amp;'[1]GENERAL INFO'!H9,"")</f>
        <v>Ep. 504</v>
      </c>
      <c r="B8" s="37" t="str">
        <f>IF('[1]GENERAL INFO'!I9&lt;&gt;"",'[1]GENERAL INFO'!I9,"")</f>
        <v>The Storm Within</v>
      </c>
      <c r="C8" s="38" t="s">
        <v>12</v>
      </c>
      <c r="E8" s="37" t="str">
        <f>IF('[1]LOGLINES &amp; SYNOPSES'!D10&lt;&gt;"",'[1]LOGLINES &amp; SYNOPSES'!D10,"")</f>
        <v>Sandy insists on a one-on-one training session with MK. To MK's disappointment, the technique Sandy wants to teach is actually... Meditation.</v>
      </c>
      <c r="F8" s="39" t="s">
        <v>17</v>
      </c>
      <c r="G8" s="40">
        <f t="shared" si="0"/>
        <v>75</v>
      </c>
      <c r="I8" s="37" t="str">
        <f>IF('[1]LOGLINES &amp; SYNOPSES'!F10&lt;&gt;"",'[1]LOGLINES &amp; SYNOPSES'!F10,"")</f>
        <v>Seeing the pressure getting to MK, Sandy insists on a one-on-one training session. To MK's disappointment, the technique Sandy wants to teach is actually... Meditation. When they happen upon the location of the next stone, MK is delighted to be given an excuse to avoid looking inward. However, the second guardian's trial will force MK to overcome 'the storm within'!</v>
      </c>
      <c r="J8" s="38" t="s">
        <v>19</v>
      </c>
      <c r="K8" s="41">
        <f t="shared" si="1"/>
        <v>198</v>
      </c>
    </row>
    <row r="9" spans="1:11" ht="96">
      <c r="A9" s="36" t="str">
        <f>IF('[1]GENERAL INFO'!H10&lt;&gt;"","Ep."&amp;" "&amp;'[1]GENERAL INFO'!H10,"")</f>
        <v>Ep. 505</v>
      </c>
      <c r="B9" s="37" t="str">
        <f>IF('[1]GENERAL INFO'!I10&lt;&gt;"",'[1]GENERAL INFO'!I10,"")</f>
        <v>Claim to Flame</v>
      </c>
      <c r="C9" s="42" t="s">
        <v>26</v>
      </c>
      <c r="E9" s="37" t="str">
        <f>IF('[1]LOGLINES &amp; SYNOPSES'!D11&lt;&gt;"",'[1]LOGLINES &amp; SYNOPSES'!D11,"")</f>
        <v>When the team split up to find the next stone, Pigsy and Tang run into trouble, and Mei runs into a familiar face…</v>
      </c>
      <c r="F9" s="39" t="s">
        <v>30</v>
      </c>
      <c r="G9" s="40">
        <f t="shared" si="0"/>
        <v>76</v>
      </c>
      <c r="I9" s="37" t="str">
        <f>IF('[1]LOGLINES &amp; SYNOPSES'!F11&lt;&gt;"",'[1]LOGLINES &amp; SYNOPSES'!F11,"")</f>
        <v>While Sandy and MK train, the rest of the team hit the road to find the next stone. While Pigsy and Tang run into trouble, Mei runs into a familiar face: Red Son is back, and he needs her help! A dangerous force, which Red Son accidentally created, threatens to get out of hand, and it's up to the former wielders of the Samadhi fire to stop it!</v>
      </c>
      <c r="J9" s="38" t="s">
        <v>39</v>
      </c>
      <c r="K9" s="41">
        <f t="shared" si="1"/>
        <v>226</v>
      </c>
    </row>
    <row r="10" spans="1:11" ht="76.8">
      <c r="A10" s="36" t="str">
        <f>IF('[1]GENERAL INFO'!H11&lt;&gt;"","Ep."&amp;" "&amp;'[1]GENERAL INFO'!H11,"")</f>
        <v>Ep. 506</v>
      </c>
      <c r="B10" s="37" t="str">
        <f>IF('[1]GENERAL INFO'!I11&lt;&gt;"",'[1]GENERAL INFO'!I11,"")</f>
        <v>Festival Fugitives</v>
      </c>
      <c r="C10" s="38" t="s">
        <v>14</v>
      </c>
      <c r="E10" s="37" t="str">
        <f>IF('[1]LOGLINES &amp; SYNOPSES'!D12&lt;&gt;"",'[1]LOGLINES &amp; SYNOPSES'!D12,"")</f>
        <v>Stopping at a food festival, the heroes hope to find the next stone. Instead, they find Ne Zha and the celestial host…</v>
      </c>
      <c r="F10" s="39" t="s">
        <v>18</v>
      </c>
      <c r="G10" s="40">
        <f t="shared" si="0"/>
        <v>74</v>
      </c>
      <c r="I10" s="37" t="str">
        <f>IF('[1]LOGLINES &amp; SYNOPSES'!F12&lt;&gt;"",'[1]LOGLINES &amp; SYNOPSES'!F12,"")</f>
        <v>Stopping off at a food festival, MK and the heroes are spotted by Ne Zha! When Li Jing arrives, Ne Zha must make a choice to help their father or their friend! With Ne Zha’s aid, the heroes manage to escape Li Jing and find the location of the 3rd and 4th stones. But to escape, they’ll have to go deeper into danger.</v>
      </c>
      <c r="J10" s="38" t="s">
        <v>20</v>
      </c>
      <c r="K10" s="41">
        <f t="shared" si="1"/>
        <v>185</v>
      </c>
    </row>
    <row r="11" spans="1:11" ht="96">
      <c r="A11" s="36" t="str">
        <f>IF('[1]GENERAL INFO'!H12&lt;&gt;"","Ep."&amp;" "&amp;'[1]GENERAL INFO'!H12,"")</f>
        <v>Ep. 507</v>
      </c>
      <c r="B11" s="37" t="str">
        <f>IF('[1]GENERAL INFO'!I12&lt;&gt;"",'[1]GENERAL INFO'!I12,"")</f>
        <v>Into the Pagoda</v>
      </c>
      <c r="C11" s="38" t="s">
        <v>13</v>
      </c>
      <c r="E11" s="37" t="str">
        <f>IF('[1]LOGLINES &amp; SYNOPSES'!D13&lt;&gt;"",'[1]LOGLINES &amp; SYNOPSES'!D13,"")</f>
        <v>Inside Li Jing’s Pagoda, the heroes are attacked by a demon who can trap its prey in memories. MK is shown memories he didn’t know he had...</v>
      </c>
      <c r="F11" s="39" t="s">
        <v>15</v>
      </c>
      <c r="G11" s="40">
        <f t="shared" si="0"/>
        <v>77</v>
      </c>
      <c r="I11" s="37" t="str">
        <f>IF('[1]LOGLINES &amp; SYNOPSES'!F13&lt;&gt;"",'[1]LOGLINES &amp; SYNOPSES'!F13,"")</f>
        <v>Trapped in Li Jing's Pagoda, an infinite magical prison, the heroes search for the last stone, which MK is convinced is locked away inside. When a mysterious demon with the power to trap its prey in memories attacks, MK is shown memories he didn't know he had. While his friends try to save him, MK is guided through his past and learns what his future holds. What he learns will change everything.</v>
      </c>
      <c r="J11" s="38" t="s">
        <v>21</v>
      </c>
      <c r="K11" s="41">
        <f t="shared" si="1"/>
        <v>220</v>
      </c>
    </row>
    <row r="12" spans="1:11" ht="96">
      <c r="A12" s="36" t="str">
        <f>IF('[1]GENERAL INFO'!H13&lt;&gt;"","Ep."&amp;" "&amp;'[1]GENERAL INFO'!H13,"")</f>
        <v>Ep. 508</v>
      </c>
      <c r="B12" s="37" t="str">
        <f>IF('[1]GENERAL INFO'!I13&lt;&gt;"",'[1]GENERAL INFO'!I13,"")</f>
        <v>The Cage</v>
      </c>
      <c r="C12" s="38" t="s">
        <v>27</v>
      </c>
      <c r="E12" s="37" t="str">
        <f>IF('[1]LOGLINES &amp; SYNOPSES'!D14&lt;&gt;"",'[1]LOGLINES &amp; SYNOPSES'!D14,"")</f>
        <v>With all five stones, it's time to use them and save the world! When the secret enemy reveals himself, the heroes learn their trials have only begun.</v>
      </c>
      <c r="F12" s="39" t="s">
        <v>31</v>
      </c>
      <c r="G12" s="40">
        <f t="shared" si="0"/>
        <v>90</v>
      </c>
      <c r="I12" s="37" t="str">
        <f>IF('[1]LOGLINES &amp; SYNOPSES'!F14&lt;&gt;"",'[1]LOGLINES &amp; SYNOPSES'!F14,"")</f>
        <v>Now in possession of all the stones, MK and the heroes must decide what to do with them. Li Jing, seeing reason, aids them in returning to the first temple. Activating the stones, the heroes think they've done it, saved the universe... However, when the secret enemy finally reveals himself, the heroes meet the architect behind the growing chaos, and learn their trials have only just begun.</v>
      </c>
      <c r="J12" s="38" t="s">
        <v>35</v>
      </c>
      <c r="K12" s="41">
        <f t="shared" si="1"/>
        <v>227</v>
      </c>
    </row>
    <row r="13" spans="1:11" ht="76.8">
      <c r="A13" s="36" t="str">
        <f>IF('[1]GENERAL INFO'!H14&lt;&gt;"","Ep."&amp;" "&amp;'[1]GENERAL INFO'!H14,"")</f>
        <v>Ep. 509</v>
      </c>
      <c r="B13" s="37" t="str">
        <f>IF('[1]GENERAL INFO'!I14&lt;&gt;"",'[1]GENERAL INFO'!I14,"")</f>
        <v>Sacrifice</v>
      </c>
      <c r="C13" s="38" t="s">
        <v>28</v>
      </c>
      <c r="E13" s="37" t="str">
        <f>IF('[1]LOGLINES &amp; SYNOPSES'!D15&lt;&gt;"",'[1]LOGLINES &amp; SYNOPSES'!D15,"")</f>
        <v>MK knows what he needs to do, but Monkey King isn't going to let him. While the enemy battles the heroes, MK must face off against his mentor!</v>
      </c>
      <c r="F13" s="39" t="s">
        <v>32</v>
      </c>
      <c r="G13" s="40">
        <f t="shared" si="0"/>
        <v>91</v>
      </c>
      <c r="I13" s="37" t="str">
        <f>IF('[1]LOGLINES &amp; SYNOPSES'!F15&lt;&gt;"",'[1]LOGLINES &amp; SYNOPSES'!F15,"")</f>
        <v>Racing towards the pillar of heaven, and with the fate of the world on his shoulders, MK knows what needs to be done. However, Monkey King isn't going to let him. While the world burns, MK must face off against his mentor. No matter the outcome, the heroes soon learn they never stood a chance.</v>
      </c>
      <c r="J13" s="38" t="s">
        <v>40</v>
      </c>
      <c r="K13" s="41">
        <f t="shared" si="1"/>
        <v>177</v>
      </c>
    </row>
    <row r="14" spans="1:11" ht="87">
      <c r="A14" s="36" t="str">
        <f>IF('[1]GENERAL INFO'!H15&lt;&gt;"","Ep."&amp;" "&amp;'[1]GENERAL INFO'!H15,"")</f>
        <v>Ep. 510</v>
      </c>
      <c r="B14" s="37" t="str">
        <f>IF('[1]GENERAL INFO'!I15&lt;&gt;"",'[1]GENERAL INFO'!I15,"")</f>
        <v>Harbinger</v>
      </c>
      <c r="C14" s="38" t="s">
        <v>29</v>
      </c>
      <c r="E14" s="37" t="str">
        <f>IF('[1]LOGLINES &amp; SYNOPSES'!D16&lt;&gt;"",'[1]LOGLINES &amp; SYNOPSES'!D16,"")</f>
        <v>In the chaos beyond the world, MK meets with the goddess Nüwa and learns of a terrible secret.</v>
      </c>
      <c r="F14" s="39" t="s">
        <v>33</v>
      </c>
      <c r="G14" s="40">
        <f t="shared" si="0"/>
        <v>52</v>
      </c>
      <c r="I14" s="37" t="str">
        <f>IF('[1]LOGLINES &amp; SYNOPSES'!F16&lt;&gt;"",'[1]LOGLINES &amp; SYNOPSES'!F16,"")</f>
        <v>While the enemy battles the heroes, MK meets the goddess Nüwa in the chaos beyond the world. She tells him that the sacrifice he made was predestined and that the world can now be made new again. However, MK didn’t sacrifice everything just to watch everyone he loves vanish. But will he be strong enough to save them all?</v>
      </c>
      <c r="J14" s="38" t="s">
        <v>41</v>
      </c>
      <c r="K14" s="41">
        <f t="shared" si="1"/>
        <v>234</v>
      </c>
    </row>
    <row r="15" spans="1:11" ht="19.8" thickBot="1">
      <c r="A15" s="43" t="str">
        <f>IF('[1]GENERAL INFO'!H45&lt;&gt;"","Ep."&amp;" "&amp;'[1]GENERAL INFO'!H45,"")</f>
        <v/>
      </c>
      <c r="B15" s="44" t="str">
        <f>IF('[1]GENERAL INFO'!I45&lt;&gt;"",'[1]GENERAL INFO'!I45,"")</f>
        <v/>
      </c>
      <c r="C15" s="45"/>
      <c r="D15" s="46"/>
      <c r="E15" s="44" t="str">
        <f>IF('[1]LOGLINES &amp; SYNOPSES'!D46&lt;&gt;"",'[1]LOGLINES &amp; SYNOPSES'!D46,"")</f>
        <v/>
      </c>
      <c r="F15" s="47"/>
      <c r="G15" s="48">
        <f t="shared" si="0"/>
        <v>0</v>
      </c>
      <c r="H15" s="46"/>
      <c r="I15" s="44" t="str">
        <f>IF('[1]LOGLINES &amp; SYNOPSES'!F46&lt;&gt;"",'[1]LOGLINES &amp; SYNOPSES'!F46,"")</f>
        <v/>
      </c>
      <c r="J15" s="45"/>
      <c r="K15" s="49">
        <f t="shared" si="1"/>
        <v>0</v>
      </c>
    </row>
  </sheetData>
  <phoneticPr fontId="9" type="noConversion"/>
  <pageMargins left="0.7" right="0.7" top="0.75" bottom="0.75" header="0.3" footer="0.3"/>
  <pageSetup orientation="portrait" r:id="rId1"/>
  <customProperties>
    <customPr name="_pios_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20a28b43-b175-48c9-a9cb-6c1443a420ea">
      <Terms xmlns="http://schemas.microsoft.com/office/infopath/2007/PartnerControls"/>
    </lcf76f155ced4ddcb4097134ff3c332f>
    <TaxCatchAll xmlns="10dc02e7-f128-4651-a5c8-33374ff82d7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9E7E85F80FDED49A36AFA52FE2BC38D" ma:contentTypeVersion="20" ma:contentTypeDescription="Create a new document." ma:contentTypeScope="" ma:versionID="ed29c76c1627b5ee6a05d01d9616d27c">
  <xsd:schema xmlns:xsd="http://www.w3.org/2001/XMLSchema" xmlns:xs="http://www.w3.org/2001/XMLSchema" xmlns:p="http://schemas.microsoft.com/office/2006/metadata/properties" xmlns:ns1="http://schemas.microsoft.com/sharepoint/v3" xmlns:ns2="20a28b43-b175-48c9-a9cb-6c1443a420ea" xmlns:ns3="10dc02e7-f128-4651-a5c8-33374ff82d70" targetNamespace="http://schemas.microsoft.com/office/2006/metadata/properties" ma:root="true" ma:fieldsID="e1dc0273c60a6d2d3b8ca0f85c92b926" ns1:_="" ns2:_="" ns3:_="">
    <xsd:import namespace="http://schemas.microsoft.com/sharepoint/v3"/>
    <xsd:import namespace="20a28b43-b175-48c9-a9cb-6c1443a420ea"/>
    <xsd:import namespace="10dc02e7-f128-4651-a5c8-33374ff82d7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OCR"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0a28b43-b175-48c9-a9cb-6c1443a420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Location" ma:index="12" nillable="true" ma:displayName="MediaServiceLocation" ma:internalName="MediaServiceLocation" ma:readOnly="true">
      <xsd:simpleType>
        <xsd:restriction base="dms:Text"/>
      </xsd:simpleType>
    </xsd:element>
    <xsd:element name="MediaServiceOCR" ma:index="13" nillable="true" ma:displayName="MediaServiceOCR"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cda59523-cae3-4a93-ad14-9717a5d946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dc02e7-f128-4651-a5c8-33374ff82d70"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68a7c486-a55f-498d-96cb-ec768c24d55c}" ma:internalName="TaxCatchAll" ma:showField="CatchAllData" ma:web="10dc02e7-f128-4651-a5c8-33374ff82d7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E63ACEB-2310-4175-A641-C456B12655E3}">
  <ds:schemaRefs>
    <ds:schemaRef ds:uri="http://schemas.microsoft.com/office/2006/metadata/properties"/>
    <ds:schemaRef ds:uri="http://schemas.microsoft.com/office/infopath/2007/PartnerControls"/>
    <ds:schemaRef ds:uri="http://schemas.microsoft.com/sharepoint/v3"/>
    <ds:schemaRef ds:uri="20a28b43-b175-48c9-a9cb-6c1443a420ea"/>
    <ds:schemaRef ds:uri="10dc02e7-f128-4651-a5c8-33374ff82d70"/>
  </ds:schemaRefs>
</ds:datastoreItem>
</file>

<file path=customXml/itemProps2.xml><?xml version="1.0" encoding="utf-8"?>
<ds:datastoreItem xmlns:ds="http://schemas.openxmlformats.org/officeDocument/2006/customXml" ds:itemID="{E70FB4BC-7CAD-4BC3-9DCE-F67CF1F7801E}"/>
</file>

<file path=customXml/itemProps3.xml><?xml version="1.0" encoding="utf-8"?>
<ds:datastoreItem xmlns:ds="http://schemas.openxmlformats.org/officeDocument/2006/customXml" ds:itemID="{DF069226-8C32-44D8-A4E2-9093E8DA4DB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Loglines&amp;Synopsis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 Bruce</dc:creator>
  <cp:keywords/>
  <dc:description/>
  <cp:lastModifiedBy>JeeYoung Hong</cp:lastModifiedBy>
  <cp:revision/>
  <dcterms:created xsi:type="dcterms:W3CDTF">2023-12-14T21:12:38Z</dcterms:created>
  <dcterms:modified xsi:type="dcterms:W3CDTF">2024-05-28T06:45:37Z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0x01010099E7E85F80FDED49A36AFA52FE2BC38D</vt:lpwstr>
  </property>
  <property fmtid="{D5CDD505-2E9C-101B-9397-08002B2CF9AE}" pid="3" name="MediaServiceImageTags">
    <vt:lpwstr/>
  </property>
</Properties>
</file>