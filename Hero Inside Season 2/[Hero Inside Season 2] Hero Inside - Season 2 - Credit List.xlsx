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IP-PC02\Downloads\"/>
    </mc:Choice>
  </mc:AlternateContent>
  <xr:revisionPtr revIDLastSave="0" documentId="13_ncr:1_{241A706A-41C7-497D-A438-EAC323D16EC3}" xr6:coauthVersionLast="47" xr6:coauthVersionMax="47" xr10:uidLastSave="{00000000-0000-0000-0000-000000000000}"/>
  <bookViews>
    <workbookView xWindow="510" yWindow="435" windowWidth="35490" windowHeight="19935" xr2:uid="{00000000-000D-0000-FFFF-FFFF00000000}"/>
  </bookViews>
  <sheets>
    <sheet name="HI EP201 (Kor)" sheetId="17" r:id="rId1"/>
    <sheet name="HI EP202 (Kor)" sheetId="18" r:id="rId2"/>
    <sheet name="HI EP203 (Kor)" sheetId="19" r:id="rId3"/>
    <sheet name="HI EP204 (Kor)" sheetId="20" r:id="rId4"/>
    <sheet name="HI EP205 (Kor)" sheetId="21" r:id="rId5"/>
    <sheet name="HI EP206 (Kor)" sheetId="22" r:id="rId6"/>
    <sheet name="HI EP207 (Kor)" sheetId="23" r:id="rId7"/>
    <sheet name="HI EP208 (Kor)" sheetId="24" r:id="rId8"/>
    <sheet name="HI EP209 (Kor)" sheetId="2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2" i="25" l="1"/>
  <c r="C672" i="25"/>
  <c r="E670" i="25"/>
  <c r="C670" i="25"/>
  <c r="E669" i="25"/>
  <c r="C669" i="25"/>
  <c r="E668" i="25"/>
  <c r="C668" i="25"/>
  <c r="E667" i="25"/>
  <c r="C667" i="25"/>
  <c r="E666" i="25"/>
  <c r="C666" i="25"/>
  <c r="E665" i="25"/>
  <c r="C665" i="25"/>
  <c r="E664" i="25"/>
  <c r="C664" i="25"/>
  <c r="E663" i="25"/>
  <c r="C663" i="25"/>
  <c r="E661" i="25"/>
  <c r="C661" i="25"/>
  <c r="E659" i="25"/>
  <c r="C659" i="25"/>
  <c r="E657" i="25"/>
  <c r="C657" i="25"/>
  <c r="B656" i="25"/>
  <c r="B654" i="25"/>
  <c r="B653" i="25"/>
  <c r="E651" i="25"/>
  <c r="C651" i="25"/>
  <c r="E650" i="25"/>
  <c r="C650" i="25"/>
  <c r="E649" i="25"/>
  <c r="C649" i="25"/>
  <c r="E648" i="25"/>
  <c r="C648" i="25"/>
  <c r="E647" i="25"/>
  <c r="C647" i="25"/>
  <c r="E646" i="25"/>
  <c r="C646" i="25"/>
  <c r="E645" i="25"/>
  <c r="C645" i="25"/>
  <c r="E644" i="25"/>
  <c r="C644" i="25"/>
  <c r="B643" i="25"/>
  <c r="B641" i="25"/>
  <c r="B640" i="25"/>
  <c r="E636" i="25"/>
  <c r="C636" i="25"/>
  <c r="E635" i="25"/>
  <c r="C635" i="25"/>
  <c r="E634" i="25"/>
  <c r="C634" i="25"/>
  <c r="E633" i="25"/>
  <c r="C633" i="25"/>
  <c r="E632" i="25"/>
  <c r="C632" i="25"/>
  <c r="E631" i="25"/>
  <c r="C631" i="25"/>
  <c r="E630" i="25"/>
  <c r="C630" i="25"/>
  <c r="E629" i="25"/>
  <c r="C629" i="25"/>
  <c r="E628" i="25"/>
  <c r="C628" i="25"/>
  <c r="E627" i="25"/>
  <c r="C627" i="25"/>
  <c r="E626" i="25"/>
  <c r="C626" i="25"/>
  <c r="E625" i="25"/>
  <c r="C625" i="25"/>
  <c r="E624" i="25"/>
  <c r="C624" i="25"/>
  <c r="E623" i="25"/>
  <c r="C623" i="25"/>
  <c r="E622" i="25"/>
  <c r="C622" i="25"/>
  <c r="E621" i="25"/>
  <c r="C621" i="25"/>
  <c r="E620" i="25"/>
  <c r="C620" i="25"/>
  <c r="E619" i="25"/>
  <c r="C619" i="25"/>
  <c r="E618" i="25"/>
  <c r="C618" i="25"/>
  <c r="E617" i="25"/>
  <c r="C617" i="25"/>
  <c r="B616" i="25"/>
  <c r="B614" i="25"/>
  <c r="B613" i="25"/>
  <c r="E611" i="25"/>
  <c r="C611" i="25"/>
  <c r="E610" i="25"/>
  <c r="C610" i="25"/>
  <c r="E609" i="25"/>
  <c r="C609" i="25"/>
  <c r="E608" i="25"/>
  <c r="C608" i="25"/>
  <c r="E607" i="25"/>
  <c r="C607" i="25"/>
  <c r="E606" i="25"/>
  <c r="C606" i="25"/>
  <c r="E605" i="25"/>
  <c r="C605" i="25"/>
  <c r="E604" i="25"/>
  <c r="C604" i="25"/>
  <c r="E603" i="25"/>
  <c r="C603" i="25"/>
  <c r="E602" i="25"/>
  <c r="C602" i="25"/>
  <c r="E601" i="25"/>
  <c r="C601" i="25"/>
  <c r="E600" i="25"/>
  <c r="C600" i="25"/>
  <c r="E599" i="25"/>
  <c r="C599" i="25"/>
  <c r="E598" i="25"/>
  <c r="C598" i="25"/>
  <c r="E597" i="25"/>
  <c r="C597" i="25"/>
  <c r="E596" i="25"/>
  <c r="C596" i="25"/>
  <c r="E595" i="25"/>
  <c r="C595" i="25"/>
  <c r="E594" i="25"/>
  <c r="C594" i="25"/>
  <c r="E593" i="25"/>
  <c r="C593" i="25"/>
  <c r="E592" i="25"/>
  <c r="C592" i="25"/>
  <c r="E591" i="25"/>
  <c r="C591" i="25"/>
  <c r="E590" i="25"/>
  <c r="C590" i="25"/>
  <c r="E589" i="25"/>
  <c r="C589" i="25"/>
  <c r="E588" i="25"/>
  <c r="C588" i="25"/>
  <c r="B587" i="25"/>
  <c r="E586" i="25"/>
  <c r="C586" i="25"/>
  <c r="B586" i="25"/>
  <c r="B585" i="25"/>
  <c r="B584" i="25"/>
  <c r="E581" i="25"/>
  <c r="E580" i="25"/>
  <c r="E579" i="25"/>
  <c r="C579" i="25"/>
  <c r="E578" i="25"/>
  <c r="C578" i="25"/>
  <c r="E577" i="25"/>
  <c r="C577" i="25"/>
  <c r="E576" i="25"/>
  <c r="C576" i="25"/>
  <c r="E575" i="25"/>
  <c r="C575" i="25"/>
  <c r="E574" i="25"/>
  <c r="C574" i="25"/>
  <c r="E573" i="25"/>
  <c r="C573" i="25"/>
  <c r="E572" i="25"/>
  <c r="C572" i="25"/>
  <c r="E571" i="25"/>
  <c r="C571" i="25"/>
  <c r="E570" i="25"/>
  <c r="C570" i="25"/>
  <c r="E569" i="25"/>
  <c r="C569" i="25"/>
  <c r="E568" i="25"/>
  <c r="C568" i="25"/>
  <c r="E567" i="25"/>
  <c r="C567" i="25"/>
  <c r="E566" i="25"/>
  <c r="C566" i="25"/>
  <c r="E565" i="25"/>
  <c r="C565" i="25"/>
  <c r="E564" i="25"/>
  <c r="C564" i="25"/>
  <c r="E563" i="25"/>
  <c r="C563" i="25"/>
  <c r="E562" i="25"/>
  <c r="C562" i="25"/>
  <c r="E561" i="25"/>
  <c r="C561" i="25"/>
  <c r="E560" i="25"/>
  <c r="C560" i="25"/>
  <c r="E559" i="25"/>
  <c r="C559" i="25"/>
  <c r="B558" i="25"/>
  <c r="E554" i="25"/>
  <c r="C554" i="25"/>
  <c r="E553" i="25"/>
  <c r="C553" i="25"/>
  <c r="E552" i="25"/>
  <c r="C552" i="25"/>
  <c r="E551" i="25"/>
  <c r="C551" i="25"/>
  <c r="E550" i="25"/>
  <c r="C550" i="25"/>
  <c r="B550" i="25"/>
  <c r="E549" i="25"/>
  <c r="C549" i="25"/>
  <c r="B549" i="25"/>
  <c r="E548" i="25"/>
  <c r="C548" i="25"/>
  <c r="E547" i="25"/>
  <c r="C547" i="25"/>
  <c r="E546" i="25"/>
  <c r="C546" i="25"/>
  <c r="E545" i="25"/>
  <c r="C545" i="25"/>
  <c r="B545" i="25"/>
  <c r="B544" i="25"/>
  <c r="B543" i="25"/>
  <c r="E541" i="25"/>
  <c r="C541" i="25"/>
  <c r="E539" i="25"/>
  <c r="C539" i="25"/>
  <c r="B539" i="25"/>
  <c r="E538" i="25"/>
  <c r="C538" i="25"/>
  <c r="B538" i="25"/>
  <c r="E536" i="25"/>
  <c r="C536" i="25"/>
  <c r="E534" i="25"/>
  <c r="C534" i="25"/>
  <c r="B534" i="25"/>
  <c r="B532" i="25"/>
  <c r="E529" i="25"/>
  <c r="C529" i="25"/>
  <c r="E528" i="25"/>
  <c r="C528" i="25"/>
  <c r="E527" i="25"/>
  <c r="C527" i="25"/>
  <c r="E526" i="25"/>
  <c r="C526" i="25"/>
  <c r="E525" i="25"/>
  <c r="C525" i="25"/>
  <c r="E524" i="25"/>
  <c r="C524" i="25"/>
  <c r="E523" i="25"/>
  <c r="C523" i="25"/>
  <c r="E522" i="25"/>
  <c r="C522" i="25"/>
  <c r="E521" i="25"/>
  <c r="C521" i="25"/>
  <c r="E520" i="25"/>
  <c r="C520" i="25"/>
  <c r="E519" i="25"/>
  <c r="C519" i="25"/>
  <c r="E518" i="25"/>
  <c r="C518" i="25"/>
  <c r="B517" i="25"/>
  <c r="B516" i="25"/>
  <c r="E513" i="25"/>
  <c r="C513" i="25"/>
  <c r="E512" i="25"/>
  <c r="C512" i="25"/>
  <c r="E511" i="25"/>
  <c r="C511" i="25"/>
  <c r="E510" i="25"/>
  <c r="C510" i="25"/>
  <c r="E509" i="25"/>
  <c r="C509" i="25"/>
  <c r="E508" i="25"/>
  <c r="C508" i="25"/>
  <c r="E507" i="25"/>
  <c r="C507" i="25"/>
  <c r="E506" i="25"/>
  <c r="C506" i="25"/>
  <c r="E505" i="25"/>
  <c r="C505" i="25"/>
  <c r="B504" i="25"/>
  <c r="B503" i="25"/>
  <c r="E502" i="25"/>
  <c r="C502" i="25"/>
  <c r="E501" i="25"/>
  <c r="C501" i="25"/>
  <c r="E500" i="25"/>
  <c r="C500" i="25"/>
  <c r="E499" i="25"/>
  <c r="C499" i="25"/>
  <c r="E498" i="25"/>
  <c r="C498" i="25"/>
  <c r="E497" i="25"/>
  <c r="C497" i="25"/>
  <c r="E496" i="25"/>
  <c r="C496" i="25"/>
  <c r="E495" i="25"/>
  <c r="C495" i="25"/>
  <c r="E494" i="25"/>
  <c r="C494" i="25"/>
  <c r="B493" i="25"/>
  <c r="B492" i="25"/>
  <c r="B491" i="25"/>
  <c r="E488" i="25"/>
  <c r="C488" i="25"/>
  <c r="E487" i="25"/>
  <c r="C487" i="25"/>
  <c r="E486" i="25"/>
  <c r="C486" i="25"/>
  <c r="E485" i="25"/>
  <c r="C485" i="25"/>
  <c r="E484" i="25"/>
  <c r="C484" i="25"/>
  <c r="E483" i="25"/>
  <c r="C483" i="25"/>
  <c r="E482" i="25"/>
  <c r="C482" i="25"/>
  <c r="E481" i="25"/>
  <c r="C481" i="25"/>
  <c r="E480" i="25"/>
  <c r="C480" i="25"/>
  <c r="E479" i="25"/>
  <c r="C479" i="25"/>
  <c r="E478" i="25"/>
  <c r="C478" i="25"/>
  <c r="E477" i="25"/>
  <c r="C477" i="25"/>
  <c r="E476" i="25"/>
  <c r="C476" i="25"/>
  <c r="E475" i="25"/>
  <c r="C475" i="25"/>
  <c r="E474" i="25"/>
  <c r="C474" i="25"/>
  <c r="B473" i="25"/>
  <c r="B472" i="25"/>
  <c r="E470" i="25"/>
  <c r="C470" i="25"/>
  <c r="E469" i="25"/>
  <c r="C469" i="25"/>
  <c r="E468" i="25"/>
  <c r="C468" i="25"/>
  <c r="E467" i="25"/>
  <c r="C467" i="25"/>
  <c r="E466" i="25"/>
  <c r="C466" i="25"/>
  <c r="E465" i="25"/>
  <c r="C465" i="25"/>
  <c r="E464" i="25"/>
  <c r="C464" i="25"/>
  <c r="E463" i="25"/>
  <c r="C463" i="25"/>
  <c r="E462" i="25"/>
  <c r="C462" i="25"/>
  <c r="E461" i="25"/>
  <c r="C461" i="25"/>
  <c r="E460" i="25"/>
  <c r="C460" i="25"/>
  <c r="E459" i="25"/>
  <c r="C459" i="25"/>
  <c r="E458" i="25"/>
  <c r="C458" i="25"/>
  <c r="E457" i="25"/>
  <c r="C457" i="25"/>
  <c r="E456" i="25"/>
  <c r="C456" i="25"/>
  <c r="E455" i="25"/>
  <c r="C455" i="25"/>
  <c r="E454" i="25"/>
  <c r="C454" i="25"/>
  <c r="B453" i="25"/>
  <c r="B452" i="25"/>
  <c r="E449" i="25"/>
  <c r="E448" i="25"/>
  <c r="E447" i="25"/>
  <c r="E446" i="25"/>
  <c r="E445" i="25"/>
  <c r="E444" i="25"/>
  <c r="E443" i="25"/>
  <c r="E442" i="25"/>
  <c r="C442" i="25"/>
  <c r="E441" i="25"/>
  <c r="E440" i="25"/>
  <c r="C440" i="25"/>
  <c r="B439" i="25"/>
  <c r="E435" i="25"/>
  <c r="C435" i="25"/>
  <c r="E434" i="25"/>
  <c r="C434" i="25"/>
  <c r="E433" i="25"/>
  <c r="C433" i="25"/>
  <c r="B432" i="25"/>
  <c r="E429" i="25"/>
  <c r="C429" i="25"/>
  <c r="E428" i="25"/>
  <c r="C428" i="25"/>
  <c r="E427" i="25"/>
  <c r="C427" i="25"/>
  <c r="B426" i="25"/>
  <c r="E422" i="25"/>
  <c r="C422" i="25"/>
  <c r="E421" i="25"/>
  <c r="C421" i="25"/>
  <c r="E420" i="25"/>
  <c r="C420" i="25"/>
  <c r="E419" i="25"/>
  <c r="C419" i="25"/>
  <c r="E418" i="25"/>
  <c r="C418" i="25"/>
  <c r="E417" i="25"/>
  <c r="C417" i="25"/>
  <c r="E416" i="25"/>
  <c r="C416" i="25"/>
  <c r="E415" i="25"/>
  <c r="C415" i="25"/>
  <c r="E414" i="25"/>
  <c r="C414" i="25"/>
  <c r="E413" i="25"/>
  <c r="C413" i="25"/>
  <c r="E412" i="25"/>
  <c r="C412" i="25"/>
  <c r="E411" i="25"/>
  <c r="C411" i="25"/>
  <c r="B410" i="25"/>
  <c r="E409" i="25"/>
  <c r="C409" i="25"/>
  <c r="B409" i="25"/>
  <c r="E408" i="25"/>
  <c r="C408" i="25"/>
  <c r="E407" i="25"/>
  <c r="C407" i="25"/>
  <c r="E406" i="25"/>
  <c r="C406" i="25"/>
  <c r="E405" i="25"/>
  <c r="C405" i="25"/>
  <c r="E404" i="25"/>
  <c r="C404" i="25"/>
  <c r="E403" i="25"/>
  <c r="C403" i="25"/>
  <c r="E402" i="25"/>
  <c r="C402" i="25"/>
  <c r="E401" i="25"/>
  <c r="C401" i="25"/>
  <c r="E400" i="25"/>
  <c r="C400" i="25"/>
  <c r="E399" i="25"/>
  <c r="C399" i="25"/>
  <c r="E398" i="25"/>
  <c r="C398" i="25"/>
  <c r="E397" i="25"/>
  <c r="C397" i="25"/>
  <c r="E396" i="25"/>
  <c r="C396" i="25"/>
  <c r="E395" i="25"/>
  <c r="C395" i="25"/>
  <c r="E394" i="25"/>
  <c r="C394" i="25"/>
  <c r="E393" i="25"/>
  <c r="C393" i="25"/>
  <c r="E392" i="25"/>
  <c r="C392" i="25"/>
  <c r="E390" i="25"/>
  <c r="C390" i="25"/>
  <c r="B388" i="25"/>
  <c r="B387" i="25"/>
  <c r="E386" i="25"/>
  <c r="C386" i="25"/>
  <c r="E384" i="25"/>
  <c r="C384" i="25"/>
  <c r="E383" i="25"/>
  <c r="C383" i="25"/>
  <c r="E382" i="25"/>
  <c r="C382" i="25"/>
  <c r="E381" i="25"/>
  <c r="C381" i="25"/>
  <c r="E380" i="25"/>
  <c r="C380" i="25"/>
  <c r="E378" i="25"/>
  <c r="C378" i="25"/>
  <c r="E377" i="25"/>
  <c r="C377" i="25"/>
  <c r="E376" i="25"/>
  <c r="C376" i="25"/>
  <c r="E375" i="25"/>
  <c r="C375" i="25"/>
  <c r="E374" i="25"/>
  <c r="C374" i="25"/>
  <c r="B373" i="25"/>
  <c r="E372" i="25"/>
  <c r="C372" i="25"/>
  <c r="B370" i="25"/>
  <c r="E369" i="25"/>
  <c r="C369" i="25"/>
  <c r="E368" i="25"/>
  <c r="C368" i="25"/>
  <c r="E367" i="25"/>
  <c r="C367" i="25"/>
  <c r="E366" i="25"/>
  <c r="C366" i="25"/>
  <c r="B364" i="25"/>
  <c r="E360" i="25"/>
  <c r="C360" i="25"/>
  <c r="E359" i="25"/>
  <c r="C359" i="25"/>
  <c r="E358" i="25"/>
  <c r="C358" i="25"/>
  <c r="E357" i="25"/>
  <c r="C357" i="25"/>
  <c r="E356" i="25"/>
  <c r="C356" i="25"/>
  <c r="E355" i="25"/>
  <c r="C355" i="25"/>
  <c r="E354" i="25"/>
  <c r="C354" i="25"/>
  <c r="E353" i="25"/>
  <c r="C353" i="25"/>
  <c r="E352" i="25"/>
  <c r="C352" i="25"/>
  <c r="E351" i="25"/>
  <c r="E350" i="25"/>
  <c r="C350" i="25"/>
  <c r="E349" i="25"/>
  <c r="E348" i="25"/>
  <c r="C348" i="25"/>
  <c r="B346" i="25"/>
  <c r="B345" i="25"/>
  <c r="E341" i="25"/>
  <c r="C341" i="25"/>
  <c r="E340" i="25"/>
  <c r="E339" i="25"/>
  <c r="C339" i="25"/>
  <c r="E338" i="25"/>
  <c r="C338" i="25"/>
  <c r="E337" i="25"/>
  <c r="C337" i="25"/>
  <c r="E336" i="25"/>
  <c r="C336" i="25"/>
  <c r="E335" i="25"/>
  <c r="C335" i="25"/>
  <c r="E334" i="25"/>
  <c r="C334" i="25"/>
  <c r="E333" i="25"/>
  <c r="C333" i="25"/>
  <c r="E332" i="25"/>
  <c r="C332" i="25"/>
  <c r="E331" i="25"/>
  <c r="C331" i="25"/>
  <c r="E330" i="25"/>
  <c r="C330" i="25"/>
  <c r="E329" i="25"/>
  <c r="C329" i="25"/>
  <c r="E328" i="25"/>
  <c r="C328" i="25"/>
  <c r="E327" i="25"/>
  <c r="E326" i="25"/>
  <c r="C326" i="25"/>
  <c r="E324" i="25"/>
  <c r="C324" i="25"/>
  <c r="B322" i="25"/>
  <c r="B321" i="25"/>
  <c r="E318" i="25"/>
  <c r="C318" i="25"/>
  <c r="E317" i="25"/>
  <c r="C317" i="25"/>
  <c r="E316" i="25"/>
  <c r="C316" i="25"/>
  <c r="E315" i="25"/>
  <c r="C315" i="25"/>
  <c r="E314" i="25"/>
  <c r="C314" i="25"/>
  <c r="E313" i="25"/>
  <c r="C313" i="25"/>
  <c r="E312" i="25"/>
  <c r="C312" i="25"/>
  <c r="E311" i="25"/>
  <c r="C311" i="25"/>
  <c r="E310" i="25"/>
  <c r="C310" i="25"/>
  <c r="E309" i="25"/>
  <c r="E308" i="25"/>
  <c r="C308" i="25"/>
  <c r="E307" i="25"/>
  <c r="E306" i="25"/>
  <c r="C306" i="25"/>
  <c r="B304" i="25"/>
  <c r="B303" i="25"/>
  <c r="E300" i="25"/>
  <c r="C300" i="25"/>
  <c r="E299" i="25"/>
  <c r="C299" i="25"/>
  <c r="E298" i="25"/>
  <c r="C298" i="25"/>
  <c r="E297" i="25"/>
  <c r="C297" i="25"/>
  <c r="E296" i="25"/>
  <c r="C296" i="25"/>
  <c r="E295" i="25"/>
  <c r="C295" i="25"/>
  <c r="E294" i="25"/>
  <c r="E293" i="25"/>
  <c r="C293" i="25"/>
  <c r="E291" i="25"/>
  <c r="C291" i="25"/>
  <c r="B289" i="25"/>
  <c r="B288" i="25"/>
  <c r="E284" i="25"/>
  <c r="C284" i="25"/>
  <c r="E283" i="25"/>
  <c r="C283" i="25"/>
  <c r="E282" i="25"/>
  <c r="C282" i="25"/>
  <c r="E281" i="25"/>
  <c r="C281" i="25"/>
  <c r="E280" i="25"/>
  <c r="C280" i="25"/>
  <c r="E279" i="25"/>
  <c r="C279" i="25"/>
  <c r="E278" i="25"/>
  <c r="C278" i="25"/>
  <c r="E277" i="25"/>
  <c r="C277" i="25"/>
  <c r="E276" i="25"/>
  <c r="C276" i="25"/>
  <c r="E275" i="25"/>
  <c r="C275" i="25"/>
  <c r="B274" i="25"/>
  <c r="E272" i="25"/>
  <c r="C272" i="25"/>
  <c r="E270" i="25"/>
  <c r="E269" i="25"/>
  <c r="E268" i="25"/>
  <c r="C268" i="25"/>
  <c r="E267" i="25"/>
  <c r="C267" i="25"/>
  <c r="E266" i="25"/>
  <c r="C266" i="25"/>
  <c r="E265" i="25"/>
  <c r="C265" i="25"/>
  <c r="E264" i="25"/>
  <c r="C264" i="25"/>
  <c r="E263" i="25"/>
  <c r="C263" i="25"/>
  <c r="E262" i="25"/>
  <c r="C262" i="25"/>
  <c r="E261" i="25"/>
  <c r="C261" i="25"/>
  <c r="E260" i="25"/>
  <c r="C260" i="25"/>
  <c r="E259" i="25"/>
  <c r="C259" i="25"/>
  <c r="E258" i="25"/>
  <c r="C258" i="25"/>
  <c r="E257" i="25"/>
  <c r="C257" i="25"/>
  <c r="E256" i="25"/>
  <c r="C256" i="25"/>
  <c r="E255" i="25"/>
  <c r="C255" i="25"/>
  <c r="E254" i="25"/>
  <c r="C254" i="25"/>
  <c r="E253" i="25"/>
  <c r="C253" i="25"/>
  <c r="E252" i="25"/>
  <c r="C252" i="25"/>
  <c r="E251" i="25"/>
  <c r="C251" i="25"/>
  <c r="B249" i="25"/>
  <c r="B248" i="25"/>
  <c r="E244" i="25"/>
  <c r="E243" i="25"/>
  <c r="E242" i="25"/>
  <c r="E241" i="25"/>
  <c r="E240" i="25"/>
  <c r="E239" i="25"/>
  <c r="E238" i="25"/>
  <c r="E237" i="25"/>
  <c r="E236" i="25"/>
  <c r="E235" i="25"/>
  <c r="E234" i="25"/>
  <c r="E233" i="25"/>
  <c r="C233" i="25"/>
  <c r="E232" i="25"/>
  <c r="C232" i="25"/>
  <c r="E231" i="25"/>
  <c r="C231" i="25"/>
  <c r="E230" i="25"/>
  <c r="C230" i="25"/>
  <c r="E229" i="25"/>
  <c r="C229" i="25"/>
  <c r="E228" i="25"/>
  <c r="C228" i="25"/>
  <c r="E227" i="25"/>
  <c r="C227" i="25"/>
  <c r="B226" i="25"/>
  <c r="E225" i="25"/>
  <c r="E224" i="25"/>
  <c r="C224" i="25"/>
  <c r="E222" i="25"/>
  <c r="C222" i="25"/>
  <c r="B221" i="25"/>
  <c r="E217" i="25"/>
  <c r="E216" i="25"/>
  <c r="C216" i="25"/>
  <c r="E215" i="25"/>
  <c r="C215" i="25"/>
  <c r="E214" i="25"/>
  <c r="C214" i="25"/>
  <c r="E213" i="25"/>
  <c r="C213" i="25"/>
  <c r="E212" i="25"/>
  <c r="C212" i="25"/>
  <c r="E211" i="25"/>
  <c r="C211" i="25"/>
  <c r="E209" i="25"/>
  <c r="C209" i="25"/>
  <c r="B208" i="25"/>
  <c r="E205" i="25"/>
  <c r="C205" i="25"/>
  <c r="B204" i="25"/>
  <c r="E200" i="25"/>
  <c r="E199" i="25"/>
  <c r="C199" i="25"/>
  <c r="E198" i="25"/>
  <c r="C198" i="25"/>
  <c r="E197" i="25"/>
  <c r="C197" i="25"/>
  <c r="E196" i="25"/>
  <c r="C196" i="25"/>
  <c r="E194" i="25"/>
  <c r="C194" i="25"/>
  <c r="B192" i="25"/>
  <c r="B191" i="25"/>
  <c r="E187" i="25"/>
  <c r="E186" i="25"/>
  <c r="C186" i="25"/>
  <c r="E185" i="25"/>
  <c r="C185" i="25"/>
  <c r="E184" i="25"/>
  <c r="C184" i="25"/>
  <c r="E183" i="25"/>
  <c r="C183" i="25"/>
  <c r="E182" i="25"/>
  <c r="C182" i="25"/>
  <c r="E181" i="25"/>
  <c r="C181" i="25"/>
  <c r="E180" i="25"/>
  <c r="C180" i="25"/>
  <c r="E179" i="25"/>
  <c r="C179" i="25"/>
  <c r="E178" i="25"/>
  <c r="C178" i="25"/>
  <c r="E177" i="25"/>
  <c r="C177" i="25"/>
  <c r="E176" i="25"/>
  <c r="C176" i="25"/>
  <c r="E175" i="25"/>
  <c r="C175" i="25"/>
  <c r="E174" i="25"/>
  <c r="C174" i="25"/>
  <c r="B172" i="25"/>
  <c r="B171" i="25"/>
  <c r="E167" i="25"/>
  <c r="E166" i="25"/>
  <c r="E165" i="25"/>
  <c r="C165" i="25"/>
  <c r="E164" i="25"/>
  <c r="C164" i="25"/>
  <c r="E163" i="25"/>
  <c r="C163" i="25"/>
  <c r="E162" i="25"/>
  <c r="C162" i="25"/>
  <c r="E161" i="25"/>
  <c r="C161" i="25"/>
  <c r="E160" i="25"/>
  <c r="C160" i="25"/>
  <c r="E159" i="25"/>
  <c r="C159" i="25"/>
  <c r="E158" i="25"/>
  <c r="C158" i="25"/>
  <c r="E157" i="25"/>
  <c r="C157" i="25"/>
  <c r="E156" i="25"/>
  <c r="C156" i="25"/>
  <c r="E155" i="25"/>
  <c r="C155" i="25"/>
  <c r="E154" i="25"/>
  <c r="C154" i="25"/>
  <c r="E153" i="25"/>
  <c r="C153" i="25"/>
  <c r="E152" i="25"/>
  <c r="C152" i="25"/>
  <c r="B150" i="25"/>
  <c r="B149" i="25"/>
  <c r="E145" i="25"/>
  <c r="E144" i="25"/>
  <c r="E143" i="25"/>
  <c r="E142" i="25"/>
  <c r="C142" i="25"/>
  <c r="E141" i="25"/>
  <c r="C141" i="25"/>
  <c r="E140" i="25"/>
  <c r="C140" i="25"/>
  <c r="E139" i="25"/>
  <c r="C139" i="25"/>
  <c r="E138" i="25"/>
  <c r="C138" i="25"/>
  <c r="E137" i="25"/>
  <c r="C137" i="25"/>
  <c r="E136" i="25"/>
  <c r="C136" i="25"/>
  <c r="E135" i="25"/>
  <c r="C135" i="25"/>
  <c r="E134" i="25"/>
  <c r="C134" i="25"/>
  <c r="E133" i="25"/>
  <c r="C133" i="25"/>
  <c r="E132" i="25"/>
  <c r="C132" i="25"/>
  <c r="E131" i="25"/>
  <c r="C131" i="25"/>
  <c r="E130" i="25"/>
  <c r="C130" i="25"/>
  <c r="E129" i="25"/>
  <c r="C129" i="25"/>
  <c r="E128" i="25"/>
  <c r="C128" i="25"/>
  <c r="E127" i="25"/>
  <c r="C127" i="25"/>
  <c r="E126" i="25"/>
  <c r="C126" i="25"/>
  <c r="E125" i="25"/>
  <c r="C125" i="25"/>
  <c r="B123" i="25"/>
  <c r="B122" i="25"/>
  <c r="E120" i="25"/>
  <c r="C120" i="25"/>
  <c r="E118" i="25"/>
  <c r="C118" i="25"/>
  <c r="E117" i="25"/>
  <c r="C117" i="25"/>
  <c r="E116" i="25"/>
  <c r="C116" i="25"/>
  <c r="E115" i="25"/>
  <c r="C115" i="25"/>
  <c r="E114" i="25"/>
  <c r="C114" i="25"/>
  <c r="E113" i="25"/>
  <c r="C113" i="25"/>
  <c r="E112" i="25"/>
  <c r="C112" i="25"/>
  <c r="E111" i="25"/>
  <c r="C111" i="25"/>
  <c r="E110" i="25"/>
  <c r="C110" i="25"/>
  <c r="B109" i="25"/>
  <c r="E105" i="25"/>
  <c r="C105" i="25"/>
  <c r="E104" i="25"/>
  <c r="C104" i="25"/>
  <c r="E103" i="25"/>
  <c r="C103" i="25"/>
  <c r="E102" i="25"/>
  <c r="C102" i="25"/>
  <c r="B100" i="25"/>
  <c r="E99" i="25"/>
  <c r="C99" i="25"/>
  <c r="E98" i="25"/>
  <c r="E97" i="25"/>
  <c r="E96" i="25"/>
  <c r="E95" i="25"/>
  <c r="C95" i="25"/>
  <c r="E94" i="25"/>
  <c r="C94" i="25"/>
  <c r="E93" i="25"/>
  <c r="E92" i="25"/>
  <c r="C92" i="25"/>
  <c r="E91" i="25"/>
  <c r="C91" i="25"/>
  <c r="E90" i="25"/>
  <c r="C90" i="25"/>
  <c r="E89" i="25"/>
  <c r="C89" i="25"/>
  <c r="B88" i="25"/>
  <c r="E86" i="25"/>
  <c r="C86" i="25"/>
  <c r="B86" i="25"/>
  <c r="E85" i="25"/>
  <c r="C85" i="25"/>
  <c r="E84" i="25"/>
  <c r="C84" i="25"/>
  <c r="E83" i="25"/>
  <c r="C83" i="25"/>
  <c r="E82" i="25"/>
  <c r="C82" i="25"/>
  <c r="E81" i="25"/>
  <c r="C81" i="25"/>
  <c r="E80" i="25"/>
  <c r="C80" i="25"/>
  <c r="E79" i="25"/>
  <c r="C79" i="25"/>
  <c r="E78" i="25"/>
  <c r="C78" i="25"/>
  <c r="E77" i="25"/>
  <c r="C77" i="25"/>
  <c r="E75" i="25"/>
  <c r="C75" i="25"/>
  <c r="B75" i="25"/>
  <c r="E73" i="25"/>
  <c r="C73" i="25"/>
  <c r="E72" i="25"/>
  <c r="C72" i="25"/>
  <c r="E70" i="25"/>
  <c r="C70" i="25"/>
  <c r="B68" i="25"/>
  <c r="B67" i="25"/>
  <c r="E63" i="25"/>
  <c r="C63" i="25"/>
  <c r="E62" i="25"/>
  <c r="C62" i="25"/>
  <c r="E61" i="25"/>
  <c r="C61" i="25"/>
  <c r="E60" i="25"/>
  <c r="C60" i="25"/>
  <c r="E59" i="25"/>
  <c r="C59" i="25"/>
  <c r="E58" i="25"/>
  <c r="C58" i="25"/>
  <c r="E57" i="25"/>
  <c r="C57" i="25"/>
  <c r="E56" i="25"/>
  <c r="C56" i="25"/>
  <c r="E55" i="25"/>
  <c r="C55" i="25"/>
  <c r="E54" i="25"/>
  <c r="C54" i="25"/>
  <c r="E53" i="25"/>
  <c r="C53" i="25"/>
  <c r="E52" i="25"/>
  <c r="C52" i="25"/>
  <c r="E51" i="25"/>
  <c r="C51" i="25"/>
  <c r="E50" i="25"/>
  <c r="C50" i="25"/>
  <c r="E48" i="25"/>
  <c r="C48" i="25"/>
  <c r="B48" i="25"/>
  <c r="E46" i="25"/>
  <c r="C46" i="25"/>
  <c r="E45" i="25"/>
  <c r="C45" i="25"/>
  <c r="E44" i="25"/>
  <c r="C44" i="25"/>
  <c r="E43" i="25"/>
  <c r="C43" i="25"/>
  <c r="E42" i="25"/>
  <c r="C42" i="25"/>
  <c r="E41" i="25"/>
  <c r="C41" i="25"/>
  <c r="E40" i="25"/>
  <c r="C40" i="25"/>
  <c r="E39" i="25"/>
  <c r="C39" i="25"/>
  <c r="E38" i="25"/>
  <c r="C38" i="25"/>
  <c r="E37" i="25"/>
  <c r="C37" i="25"/>
  <c r="E36" i="25"/>
  <c r="C36" i="25"/>
  <c r="E35" i="25"/>
  <c r="C35" i="25"/>
  <c r="E34" i="25"/>
  <c r="C34" i="25"/>
  <c r="E33" i="25"/>
  <c r="C33" i="25"/>
  <c r="E32" i="25"/>
  <c r="C32" i="25"/>
  <c r="E31" i="25"/>
  <c r="C31" i="25"/>
  <c r="E30" i="25"/>
  <c r="C30" i="25"/>
  <c r="E29" i="25"/>
  <c r="C29" i="25"/>
  <c r="E28" i="25"/>
  <c r="C28" i="25"/>
  <c r="B27" i="25"/>
  <c r="C24" i="25"/>
  <c r="E23" i="25"/>
  <c r="C23" i="25"/>
  <c r="E22" i="25"/>
  <c r="C22" i="25"/>
  <c r="E21" i="25"/>
  <c r="C21" i="25"/>
  <c r="E20" i="25"/>
  <c r="C20" i="25"/>
  <c r="E19" i="25"/>
  <c r="C19" i="25"/>
  <c r="E18" i="25"/>
  <c r="C18" i="25"/>
  <c r="E17" i="25"/>
  <c r="C17" i="25"/>
  <c r="E16" i="25"/>
  <c r="C16" i="25"/>
  <c r="E15" i="25"/>
  <c r="C15" i="25"/>
  <c r="E14" i="25"/>
  <c r="C14" i="25"/>
  <c r="E13" i="25"/>
  <c r="C13" i="25"/>
  <c r="E12" i="25"/>
  <c r="C12" i="25"/>
  <c r="E11" i="25"/>
  <c r="C11" i="25"/>
  <c r="E10" i="25"/>
  <c r="C10" i="25"/>
  <c r="E9" i="25"/>
  <c r="C9" i="25"/>
  <c r="E8" i="25"/>
  <c r="C8" i="25"/>
  <c r="E7" i="25"/>
  <c r="C7" i="25"/>
  <c r="E6" i="25"/>
  <c r="C6" i="25"/>
  <c r="E5" i="25"/>
  <c r="C5" i="25"/>
  <c r="B4" i="25"/>
  <c r="E654" i="24"/>
  <c r="C654" i="24"/>
  <c r="E651" i="24"/>
  <c r="C651" i="24"/>
  <c r="E650" i="24"/>
  <c r="C650" i="24"/>
  <c r="E649" i="24"/>
  <c r="C649" i="24"/>
  <c r="E648" i="24"/>
  <c r="C648" i="24"/>
  <c r="E647" i="24"/>
  <c r="C647" i="24"/>
  <c r="E646" i="24"/>
  <c r="C646" i="24"/>
  <c r="E645" i="24"/>
  <c r="C645" i="24"/>
  <c r="E643" i="24"/>
  <c r="C643" i="24"/>
  <c r="E641" i="24"/>
  <c r="C641" i="24"/>
  <c r="E639" i="24"/>
  <c r="C639" i="24"/>
  <c r="B638" i="24"/>
  <c r="B636" i="24"/>
  <c r="B635" i="24"/>
  <c r="E633" i="24"/>
  <c r="C633" i="24"/>
  <c r="E631" i="24"/>
  <c r="C631" i="24"/>
  <c r="E630" i="24"/>
  <c r="C630" i="24"/>
  <c r="E629" i="24"/>
  <c r="C629" i="24"/>
  <c r="E628" i="24"/>
  <c r="C628" i="24"/>
  <c r="E627" i="24"/>
  <c r="C627" i="24"/>
  <c r="E626" i="24"/>
  <c r="C626" i="24"/>
  <c r="B625" i="24"/>
  <c r="B623" i="24"/>
  <c r="B622" i="24"/>
  <c r="E618" i="24"/>
  <c r="C618" i="24"/>
  <c r="E617" i="24"/>
  <c r="C617" i="24"/>
  <c r="E616" i="24"/>
  <c r="C616" i="24"/>
  <c r="E615" i="24"/>
  <c r="C615" i="24"/>
  <c r="E614" i="24"/>
  <c r="C614" i="24"/>
  <c r="E613" i="24"/>
  <c r="C613" i="24"/>
  <c r="E612" i="24"/>
  <c r="C612" i="24"/>
  <c r="E611" i="24"/>
  <c r="C611" i="24"/>
  <c r="E610" i="24"/>
  <c r="C610" i="24"/>
  <c r="E609" i="24"/>
  <c r="C609" i="24"/>
  <c r="E608" i="24"/>
  <c r="C608" i="24"/>
  <c r="E607" i="24"/>
  <c r="C607" i="24"/>
  <c r="E606" i="24"/>
  <c r="C606" i="24"/>
  <c r="E605" i="24"/>
  <c r="C605" i="24"/>
  <c r="E604" i="24"/>
  <c r="C604" i="24"/>
  <c r="E603" i="24"/>
  <c r="C603" i="24"/>
  <c r="E602" i="24"/>
  <c r="C602" i="24"/>
  <c r="E601" i="24"/>
  <c r="C601" i="24"/>
  <c r="E600" i="24"/>
  <c r="C600" i="24"/>
  <c r="E599" i="24"/>
  <c r="C599" i="24"/>
  <c r="B598" i="24"/>
  <c r="B596" i="24"/>
  <c r="B595" i="24"/>
  <c r="E593" i="24"/>
  <c r="C593" i="24"/>
  <c r="E591" i="24"/>
  <c r="C591" i="24"/>
  <c r="E590" i="24"/>
  <c r="C590" i="24"/>
  <c r="E589" i="24"/>
  <c r="C589" i="24"/>
  <c r="E588" i="24"/>
  <c r="C588" i="24"/>
  <c r="E587" i="24"/>
  <c r="C587" i="24"/>
  <c r="E586" i="24"/>
  <c r="C586" i="24"/>
  <c r="E585" i="24"/>
  <c r="C585" i="24"/>
  <c r="E584" i="24"/>
  <c r="C584" i="24"/>
  <c r="E583" i="24"/>
  <c r="C583" i="24"/>
  <c r="E582" i="24"/>
  <c r="C582" i="24"/>
  <c r="E581" i="24"/>
  <c r="C581" i="24"/>
  <c r="E580" i="24"/>
  <c r="C580" i="24"/>
  <c r="E579" i="24"/>
  <c r="C579" i="24"/>
  <c r="E578" i="24"/>
  <c r="C578" i="24"/>
  <c r="E577" i="24"/>
  <c r="C577" i="24"/>
  <c r="E576" i="24"/>
  <c r="C576" i="24"/>
  <c r="E575" i="24"/>
  <c r="C575" i="24"/>
  <c r="E574" i="24"/>
  <c r="C574" i="24"/>
  <c r="E573" i="24"/>
  <c r="C573" i="24"/>
  <c r="E572" i="24"/>
  <c r="C572" i="24"/>
  <c r="E571" i="24"/>
  <c r="C571" i="24"/>
  <c r="E570" i="24"/>
  <c r="C570" i="24"/>
  <c r="E569" i="24"/>
  <c r="C569" i="24"/>
  <c r="E568" i="24"/>
  <c r="C568" i="24"/>
  <c r="B567" i="24"/>
  <c r="E566" i="24"/>
  <c r="C566" i="24"/>
  <c r="B566" i="24"/>
  <c r="B565" i="24"/>
  <c r="B564" i="24"/>
  <c r="E561" i="24"/>
  <c r="E560" i="24"/>
  <c r="E559" i="24"/>
  <c r="C559" i="24"/>
  <c r="E558" i="24"/>
  <c r="C558" i="24"/>
  <c r="E557" i="24"/>
  <c r="C557" i="24"/>
  <c r="E556" i="24"/>
  <c r="C556" i="24"/>
  <c r="E555" i="24"/>
  <c r="C555" i="24"/>
  <c r="E554" i="24"/>
  <c r="C554" i="24"/>
  <c r="E553" i="24"/>
  <c r="C553" i="24"/>
  <c r="E552" i="24"/>
  <c r="C552" i="24"/>
  <c r="E551" i="24"/>
  <c r="C551" i="24"/>
  <c r="E550" i="24"/>
  <c r="C550" i="24"/>
  <c r="E549" i="24"/>
  <c r="C549" i="24"/>
  <c r="E548" i="24"/>
  <c r="C548" i="24"/>
  <c r="E547" i="24"/>
  <c r="C547" i="24"/>
  <c r="E546" i="24"/>
  <c r="C546" i="24"/>
  <c r="E545" i="24"/>
  <c r="C545" i="24"/>
  <c r="E544" i="24"/>
  <c r="C544" i="24"/>
  <c r="E543" i="24"/>
  <c r="C543" i="24"/>
  <c r="E542" i="24"/>
  <c r="C542" i="24"/>
  <c r="E541" i="24"/>
  <c r="C541" i="24"/>
  <c r="E540" i="24"/>
  <c r="C540" i="24"/>
  <c r="E539" i="24"/>
  <c r="C539" i="24"/>
  <c r="B538" i="24"/>
  <c r="E534" i="24"/>
  <c r="C534" i="24"/>
  <c r="E533" i="24"/>
  <c r="C533" i="24"/>
  <c r="E532" i="24"/>
  <c r="C532" i="24"/>
  <c r="E531" i="24"/>
  <c r="C531" i="24"/>
  <c r="E530" i="24"/>
  <c r="C530" i="24"/>
  <c r="B530" i="24"/>
  <c r="E529" i="24"/>
  <c r="C529" i="24"/>
  <c r="B529" i="24"/>
  <c r="E528" i="24"/>
  <c r="C528" i="24"/>
  <c r="E527" i="24"/>
  <c r="C527" i="24"/>
  <c r="E526" i="24"/>
  <c r="C526" i="24"/>
  <c r="E525" i="24"/>
  <c r="C525" i="24"/>
  <c r="B525" i="24"/>
  <c r="B524" i="24"/>
  <c r="B523" i="24"/>
  <c r="E521" i="24"/>
  <c r="C521" i="24"/>
  <c r="E519" i="24"/>
  <c r="C519" i="24"/>
  <c r="B519" i="24"/>
  <c r="E518" i="24"/>
  <c r="C518" i="24"/>
  <c r="B518" i="24"/>
  <c r="E516" i="24"/>
  <c r="C516" i="24"/>
  <c r="E514" i="24"/>
  <c r="C514" i="24"/>
  <c r="B514" i="24"/>
  <c r="B512" i="24"/>
  <c r="E509" i="24"/>
  <c r="C509" i="24"/>
  <c r="E508" i="24"/>
  <c r="C508" i="24"/>
  <c r="E507" i="24"/>
  <c r="C507" i="24"/>
  <c r="E506" i="24"/>
  <c r="C506" i="24"/>
  <c r="E505" i="24"/>
  <c r="C505" i="24"/>
  <c r="E504" i="24"/>
  <c r="C504" i="24"/>
  <c r="E503" i="24"/>
  <c r="C503" i="24"/>
  <c r="E502" i="24"/>
  <c r="C502" i="24"/>
  <c r="E501" i="24"/>
  <c r="C501" i="24"/>
  <c r="E500" i="24"/>
  <c r="C500" i="24"/>
  <c r="E499" i="24"/>
  <c r="C499" i="24"/>
  <c r="E498" i="24"/>
  <c r="C498" i="24"/>
  <c r="E497" i="24"/>
  <c r="C497" i="24"/>
  <c r="B496" i="24"/>
  <c r="B495" i="24"/>
  <c r="E492" i="24"/>
  <c r="C492" i="24"/>
  <c r="E488" i="24"/>
  <c r="C488" i="24"/>
  <c r="E487" i="24"/>
  <c r="C487" i="24"/>
  <c r="E486" i="24"/>
  <c r="C486" i="24"/>
  <c r="E485" i="24"/>
  <c r="C485" i="24"/>
  <c r="E484" i="24"/>
  <c r="C484" i="24"/>
  <c r="E483" i="24"/>
  <c r="C483" i="24"/>
  <c r="E482" i="24"/>
  <c r="C482" i="24"/>
  <c r="E481" i="24"/>
  <c r="C481" i="24"/>
  <c r="B480" i="24"/>
  <c r="B479" i="24"/>
  <c r="E478" i="24"/>
  <c r="C478" i="24"/>
  <c r="E477" i="24"/>
  <c r="C477" i="24"/>
  <c r="E476" i="24"/>
  <c r="C476" i="24"/>
  <c r="E475" i="24"/>
  <c r="C475" i="24"/>
  <c r="E474" i="24"/>
  <c r="C474" i="24"/>
  <c r="E473" i="24"/>
  <c r="C473" i="24"/>
  <c r="E472" i="24"/>
  <c r="C472" i="24"/>
  <c r="E471" i="24"/>
  <c r="C471" i="24"/>
  <c r="E470" i="24"/>
  <c r="C470" i="24"/>
  <c r="B469" i="24"/>
  <c r="B468" i="24"/>
  <c r="B467" i="24"/>
  <c r="E464" i="24"/>
  <c r="C464" i="24"/>
  <c r="E463" i="24"/>
  <c r="C463" i="24"/>
  <c r="E462" i="24"/>
  <c r="C462" i="24"/>
  <c r="E461" i="24"/>
  <c r="C461" i="24"/>
  <c r="E460" i="24"/>
  <c r="C460" i="24"/>
  <c r="E459" i="24"/>
  <c r="C459" i="24"/>
  <c r="E458" i="24"/>
  <c r="C458" i="24"/>
  <c r="E457" i="24"/>
  <c r="C457" i="24"/>
  <c r="E456" i="24"/>
  <c r="C456" i="24"/>
  <c r="E455" i="24"/>
  <c r="C455" i="24"/>
  <c r="E454" i="24"/>
  <c r="C454" i="24"/>
  <c r="E453" i="24"/>
  <c r="C453" i="24"/>
  <c r="E452" i="24"/>
  <c r="C452" i="24"/>
  <c r="E451" i="24"/>
  <c r="C451" i="24"/>
  <c r="E450" i="24"/>
  <c r="C450" i="24"/>
  <c r="B449" i="24"/>
  <c r="B448" i="24"/>
  <c r="E446" i="24"/>
  <c r="C446" i="24"/>
  <c r="E445" i="24"/>
  <c r="C445" i="24"/>
  <c r="E444" i="24"/>
  <c r="C444" i="24"/>
  <c r="E443" i="24"/>
  <c r="C443" i="24"/>
  <c r="E442" i="24"/>
  <c r="C442" i="24"/>
  <c r="E441" i="24"/>
  <c r="C441" i="24"/>
  <c r="E440" i="24"/>
  <c r="C440" i="24"/>
  <c r="E439" i="24"/>
  <c r="C439" i="24"/>
  <c r="E438" i="24"/>
  <c r="C438" i="24"/>
  <c r="E437" i="24"/>
  <c r="C437" i="24"/>
  <c r="E436" i="24"/>
  <c r="C436" i="24"/>
  <c r="E435" i="24"/>
  <c r="C435" i="24"/>
  <c r="E434" i="24"/>
  <c r="C434" i="24"/>
  <c r="E433" i="24"/>
  <c r="C433" i="24"/>
  <c r="E432" i="24"/>
  <c r="C432" i="24"/>
  <c r="E431" i="24"/>
  <c r="C431" i="24"/>
  <c r="E430" i="24"/>
  <c r="C430" i="24"/>
  <c r="B429" i="24"/>
  <c r="B428" i="24"/>
  <c r="E425" i="24"/>
  <c r="E424" i="24"/>
  <c r="E423" i="24"/>
  <c r="E422" i="24"/>
  <c r="E421" i="24"/>
  <c r="E420" i="24"/>
  <c r="E419" i="24"/>
  <c r="E418" i="24"/>
  <c r="C418" i="24"/>
  <c r="E417" i="24"/>
  <c r="E416" i="24"/>
  <c r="C416" i="24"/>
  <c r="B415" i="24"/>
  <c r="E411" i="24"/>
  <c r="C411" i="24"/>
  <c r="E410" i="24"/>
  <c r="C410" i="24"/>
  <c r="E409" i="24"/>
  <c r="C409" i="24"/>
  <c r="B408" i="24"/>
  <c r="E405" i="24"/>
  <c r="C405" i="24"/>
  <c r="E404" i="24"/>
  <c r="C404" i="24"/>
  <c r="E403" i="24"/>
  <c r="C403" i="24"/>
  <c r="B402" i="24"/>
  <c r="E399" i="24"/>
  <c r="C399" i="24"/>
  <c r="E398" i="24"/>
  <c r="C398" i="24"/>
  <c r="E397" i="24"/>
  <c r="C397" i="24"/>
  <c r="E396" i="24"/>
  <c r="C396" i="24"/>
  <c r="E395" i="24"/>
  <c r="C395" i="24"/>
  <c r="E394" i="24"/>
  <c r="C394" i="24"/>
  <c r="E393" i="24"/>
  <c r="C393" i="24"/>
  <c r="E392" i="24"/>
  <c r="C392" i="24"/>
  <c r="E391" i="24"/>
  <c r="C391" i="24"/>
  <c r="E390" i="24"/>
  <c r="C390" i="24"/>
  <c r="E389" i="24"/>
  <c r="C389" i="24"/>
  <c r="E388" i="24"/>
  <c r="C388" i="24"/>
  <c r="E387" i="24"/>
  <c r="C387" i="24"/>
  <c r="B386" i="24"/>
  <c r="E385" i="24"/>
  <c r="C385" i="24"/>
  <c r="B385" i="24"/>
  <c r="E384" i="24"/>
  <c r="C384" i="24"/>
  <c r="E383" i="24"/>
  <c r="C383" i="24"/>
  <c r="E382" i="24"/>
  <c r="C382" i="24"/>
  <c r="E381" i="24"/>
  <c r="C381" i="24"/>
  <c r="E380" i="24"/>
  <c r="C380" i="24"/>
  <c r="E379" i="24"/>
  <c r="C379" i="24"/>
  <c r="E378" i="24"/>
  <c r="C378" i="24"/>
  <c r="E377" i="24"/>
  <c r="C377" i="24"/>
  <c r="E376" i="24"/>
  <c r="C376" i="24"/>
  <c r="E375" i="24"/>
  <c r="C375" i="24"/>
  <c r="E374" i="24"/>
  <c r="C374" i="24"/>
  <c r="E373" i="24"/>
  <c r="C373" i="24"/>
  <c r="E372" i="24"/>
  <c r="C372" i="24"/>
  <c r="E371" i="24"/>
  <c r="C371" i="24"/>
  <c r="E370" i="24"/>
  <c r="C370" i="24"/>
  <c r="E369" i="24"/>
  <c r="C369" i="24"/>
  <c r="E368" i="24"/>
  <c r="C368" i="24"/>
  <c r="E366" i="24"/>
  <c r="C366" i="24"/>
  <c r="B364" i="24"/>
  <c r="B363" i="24"/>
  <c r="E362" i="24"/>
  <c r="C362" i="24"/>
  <c r="E360" i="24"/>
  <c r="C360" i="24"/>
  <c r="E359" i="24"/>
  <c r="C359" i="24"/>
  <c r="E358" i="24"/>
  <c r="C358" i="24"/>
  <c r="E357" i="24"/>
  <c r="C357" i="24"/>
  <c r="E356" i="24"/>
  <c r="C356" i="24"/>
  <c r="E354" i="24"/>
  <c r="C354" i="24"/>
  <c r="E353" i="24"/>
  <c r="C353" i="24"/>
  <c r="E352" i="24"/>
  <c r="C352" i="24"/>
  <c r="E351" i="24"/>
  <c r="C351" i="24"/>
  <c r="E350" i="24"/>
  <c r="C350" i="24"/>
  <c r="B349" i="24"/>
  <c r="E348" i="24"/>
  <c r="C348" i="24"/>
  <c r="B346" i="24"/>
  <c r="E345" i="24"/>
  <c r="C345" i="24"/>
  <c r="E344" i="24"/>
  <c r="C344" i="24"/>
  <c r="E343" i="24"/>
  <c r="C343" i="24"/>
  <c r="E342" i="24"/>
  <c r="C342" i="24"/>
  <c r="B340" i="24"/>
  <c r="E336" i="24"/>
  <c r="C336" i="24"/>
  <c r="E335" i="24"/>
  <c r="C335" i="24"/>
  <c r="E334" i="24"/>
  <c r="C334" i="24"/>
  <c r="E333" i="24"/>
  <c r="C333" i="24"/>
  <c r="E332" i="24"/>
  <c r="C332" i="24"/>
  <c r="E331" i="24"/>
  <c r="C331" i="24"/>
  <c r="E330" i="24"/>
  <c r="E329" i="24"/>
  <c r="C329" i="24"/>
  <c r="E328" i="24"/>
  <c r="E327" i="24"/>
  <c r="C327" i="24"/>
  <c r="B325" i="24"/>
  <c r="B324" i="24"/>
  <c r="E320" i="24"/>
  <c r="C320" i="24"/>
  <c r="E319" i="24"/>
  <c r="E318" i="24"/>
  <c r="C318" i="24"/>
  <c r="E317" i="24"/>
  <c r="C317" i="24"/>
  <c r="E316" i="24"/>
  <c r="C316" i="24"/>
  <c r="E315" i="24"/>
  <c r="C315" i="24"/>
  <c r="E314" i="24"/>
  <c r="C314" i="24"/>
  <c r="E313" i="24"/>
  <c r="C313" i="24"/>
  <c r="E312" i="24"/>
  <c r="C312" i="24"/>
  <c r="E311" i="24"/>
  <c r="C311" i="24"/>
  <c r="E310" i="24"/>
  <c r="C310" i="24"/>
  <c r="E309" i="24"/>
  <c r="C309" i="24"/>
  <c r="E308" i="24"/>
  <c r="C308" i="24"/>
  <c r="E307" i="24"/>
  <c r="C307" i="24"/>
  <c r="E306" i="24"/>
  <c r="E305" i="24"/>
  <c r="C305" i="24"/>
  <c r="E303" i="24"/>
  <c r="C303" i="24"/>
  <c r="B301" i="24"/>
  <c r="B300" i="24"/>
  <c r="E297" i="24"/>
  <c r="C297" i="24"/>
  <c r="E296" i="24"/>
  <c r="E295" i="24"/>
  <c r="E294" i="24"/>
  <c r="C294" i="24"/>
  <c r="E293" i="24"/>
  <c r="C293" i="24"/>
  <c r="E292" i="24"/>
  <c r="C292" i="24"/>
  <c r="E291" i="24"/>
  <c r="C291" i="24"/>
  <c r="E290" i="24"/>
  <c r="C290" i="24"/>
  <c r="E289" i="24"/>
  <c r="C289" i="24"/>
  <c r="E288" i="24"/>
  <c r="C288" i="24"/>
  <c r="E287" i="24"/>
  <c r="C287" i="24"/>
  <c r="E286" i="24"/>
  <c r="C286" i="24"/>
  <c r="E285" i="24"/>
  <c r="E284" i="24"/>
  <c r="C284" i="24"/>
  <c r="E283" i="24"/>
  <c r="E282" i="24"/>
  <c r="C282" i="24"/>
  <c r="B280" i="24"/>
  <c r="B279" i="24"/>
  <c r="E275" i="24"/>
  <c r="C275" i="24"/>
  <c r="E274" i="24"/>
  <c r="C274" i="24"/>
  <c r="E273" i="24"/>
  <c r="C273" i="24"/>
  <c r="E272" i="24"/>
  <c r="C272" i="24"/>
  <c r="E271" i="24"/>
  <c r="C271" i="24"/>
  <c r="E270" i="24"/>
  <c r="E269" i="24"/>
  <c r="C269" i="24"/>
  <c r="E267" i="24"/>
  <c r="C267" i="24"/>
  <c r="B265" i="24"/>
  <c r="B264" i="24"/>
  <c r="E260" i="24"/>
  <c r="C260" i="24"/>
  <c r="E259" i="24"/>
  <c r="C259" i="24"/>
  <c r="E258" i="24"/>
  <c r="C258" i="24"/>
  <c r="E257" i="24"/>
  <c r="C257" i="24"/>
  <c r="E256" i="24"/>
  <c r="C256" i="24"/>
  <c r="E255" i="24"/>
  <c r="C255" i="24"/>
  <c r="E254" i="24"/>
  <c r="C254" i="24"/>
  <c r="E253" i="24"/>
  <c r="C253" i="24"/>
  <c r="E252" i="24"/>
  <c r="C252" i="24"/>
  <c r="E251" i="24"/>
  <c r="C251" i="24"/>
  <c r="B250" i="24"/>
  <c r="E248" i="24"/>
  <c r="C248" i="24"/>
  <c r="E247" i="24"/>
  <c r="C247" i="24"/>
  <c r="E246" i="24"/>
  <c r="C246" i="24"/>
  <c r="E245" i="24"/>
  <c r="C245" i="24"/>
  <c r="E244" i="24"/>
  <c r="C244" i="24"/>
  <c r="E243" i="24"/>
  <c r="C243" i="24"/>
  <c r="E242" i="24"/>
  <c r="C242" i="24"/>
  <c r="E241" i="24"/>
  <c r="C241" i="24"/>
  <c r="E240" i="24"/>
  <c r="C240" i="24"/>
  <c r="E239" i="24"/>
  <c r="C239" i="24"/>
  <c r="E238" i="24"/>
  <c r="C238" i="24"/>
  <c r="E237" i="24"/>
  <c r="C237" i="24"/>
  <c r="E236" i="24"/>
  <c r="C236" i="24"/>
  <c r="E235" i="24"/>
  <c r="C235" i="24"/>
  <c r="E234" i="24"/>
  <c r="C234" i="24"/>
  <c r="E233" i="24"/>
  <c r="C233" i="24"/>
  <c r="B231" i="24"/>
  <c r="B230" i="24"/>
  <c r="E227" i="24"/>
  <c r="C227" i="24"/>
  <c r="E226" i="24"/>
  <c r="C226" i="24"/>
  <c r="E225" i="24"/>
  <c r="C225" i="24"/>
  <c r="E224" i="24"/>
  <c r="C224" i="24"/>
  <c r="E223" i="24"/>
  <c r="C223" i="24"/>
  <c r="B222" i="24"/>
  <c r="E221" i="24"/>
  <c r="E220" i="24"/>
  <c r="C220" i="24"/>
  <c r="E218" i="24"/>
  <c r="C218" i="24"/>
  <c r="B217" i="24"/>
  <c r="E213" i="24"/>
  <c r="E212" i="24"/>
  <c r="C212" i="24"/>
  <c r="E211" i="24"/>
  <c r="C211" i="24"/>
  <c r="E210" i="24"/>
  <c r="C210" i="24"/>
  <c r="E209" i="24"/>
  <c r="C209" i="24"/>
  <c r="E208" i="24"/>
  <c r="C208" i="24"/>
  <c r="E207" i="24"/>
  <c r="C207" i="24"/>
  <c r="E205" i="24"/>
  <c r="C205" i="24"/>
  <c r="B204" i="24"/>
  <c r="E201" i="24"/>
  <c r="C201" i="24"/>
  <c r="B200" i="24"/>
  <c r="E196" i="24"/>
  <c r="E195" i="24"/>
  <c r="C195" i="24"/>
  <c r="E194" i="24"/>
  <c r="C194" i="24"/>
  <c r="E193" i="24"/>
  <c r="C193" i="24"/>
  <c r="E192" i="24"/>
  <c r="C192" i="24"/>
  <c r="E190" i="24"/>
  <c r="C190" i="24"/>
  <c r="B188" i="24"/>
  <c r="B187" i="24"/>
  <c r="E183" i="24"/>
  <c r="E182" i="24"/>
  <c r="C182" i="24"/>
  <c r="E181" i="24"/>
  <c r="C181" i="24"/>
  <c r="E180" i="24"/>
  <c r="C180" i="24"/>
  <c r="E179" i="24"/>
  <c r="C179" i="24"/>
  <c r="E178" i="24"/>
  <c r="C178" i="24"/>
  <c r="E177" i="24"/>
  <c r="C177" i="24"/>
  <c r="E176" i="24"/>
  <c r="C176" i="24"/>
  <c r="E175" i="24"/>
  <c r="C175" i="24"/>
  <c r="E174" i="24"/>
  <c r="C174" i="24"/>
  <c r="E173" i="24"/>
  <c r="C173" i="24"/>
  <c r="E172" i="24"/>
  <c r="C172" i="24"/>
  <c r="E171" i="24"/>
  <c r="C171" i="24"/>
  <c r="E170" i="24"/>
  <c r="C170" i="24"/>
  <c r="B168" i="24"/>
  <c r="B167" i="24"/>
  <c r="E163" i="24"/>
  <c r="E162" i="24"/>
  <c r="E161" i="24"/>
  <c r="C161" i="24"/>
  <c r="E160" i="24"/>
  <c r="C160" i="24"/>
  <c r="E159" i="24"/>
  <c r="C159" i="24"/>
  <c r="E158" i="24"/>
  <c r="C158" i="24"/>
  <c r="E157" i="24"/>
  <c r="C157" i="24"/>
  <c r="E156" i="24"/>
  <c r="C156" i="24"/>
  <c r="E155" i="24"/>
  <c r="C155" i="24"/>
  <c r="E154" i="24"/>
  <c r="C154" i="24"/>
  <c r="E153" i="24"/>
  <c r="C153" i="24"/>
  <c r="E152" i="24"/>
  <c r="C152" i="24"/>
  <c r="E151" i="24"/>
  <c r="C151" i="24"/>
  <c r="E150" i="24"/>
  <c r="C150" i="24"/>
  <c r="E149" i="24"/>
  <c r="C149" i="24"/>
  <c r="E148" i="24"/>
  <c r="C148" i="24"/>
  <c r="B146" i="24"/>
  <c r="B145" i="24"/>
  <c r="E141" i="24"/>
  <c r="E140" i="24"/>
  <c r="E139" i="24"/>
  <c r="E138" i="24"/>
  <c r="C138" i="24"/>
  <c r="E137" i="24"/>
  <c r="C137" i="24"/>
  <c r="E136" i="24"/>
  <c r="C136" i="24"/>
  <c r="E135" i="24"/>
  <c r="C135" i="24"/>
  <c r="E134" i="24"/>
  <c r="C134" i="24"/>
  <c r="E133" i="24"/>
  <c r="C133" i="24"/>
  <c r="E132" i="24"/>
  <c r="C132" i="24"/>
  <c r="E131" i="24"/>
  <c r="C131" i="24"/>
  <c r="E130" i="24"/>
  <c r="C130" i="24"/>
  <c r="E129" i="24"/>
  <c r="C129" i="24"/>
  <c r="E128" i="24"/>
  <c r="C128" i="24"/>
  <c r="E127" i="24"/>
  <c r="C127" i="24"/>
  <c r="E126" i="24"/>
  <c r="C126" i="24"/>
  <c r="E125" i="24"/>
  <c r="C125" i="24"/>
  <c r="E124" i="24"/>
  <c r="C124" i="24"/>
  <c r="E123" i="24"/>
  <c r="C123" i="24"/>
  <c r="E122" i="24"/>
  <c r="C122" i="24"/>
  <c r="E121" i="24"/>
  <c r="C121" i="24"/>
  <c r="B119" i="24"/>
  <c r="B118" i="24"/>
  <c r="E116" i="24"/>
  <c r="C116" i="24"/>
  <c r="E114" i="24"/>
  <c r="C114" i="24"/>
  <c r="E113" i="24"/>
  <c r="C113" i="24"/>
  <c r="E112" i="24"/>
  <c r="C112" i="24"/>
  <c r="E111" i="24"/>
  <c r="C111" i="24"/>
  <c r="E110" i="24"/>
  <c r="C110" i="24"/>
  <c r="E109" i="24"/>
  <c r="C109" i="24"/>
  <c r="E108" i="24"/>
  <c r="C108" i="24"/>
  <c r="E107" i="24"/>
  <c r="C107" i="24"/>
  <c r="E106" i="24"/>
  <c r="C106" i="24"/>
  <c r="B105" i="24"/>
  <c r="E101" i="24"/>
  <c r="C101" i="24"/>
  <c r="E100" i="24"/>
  <c r="C100" i="24"/>
  <c r="E99" i="24"/>
  <c r="C99" i="24"/>
  <c r="E98" i="24"/>
  <c r="C98" i="24"/>
  <c r="B96" i="24"/>
  <c r="E95" i="24"/>
  <c r="C95" i="24"/>
  <c r="E94" i="24"/>
  <c r="E93" i="24"/>
  <c r="E92" i="24"/>
  <c r="E91" i="24"/>
  <c r="C91" i="24"/>
  <c r="E90" i="24"/>
  <c r="C90" i="24"/>
  <c r="E89" i="24"/>
  <c r="E88" i="24"/>
  <c r="C88" i="24"/>
  <c r="E87" i="24"/>
  <c r="C87" i="24"/>
  <c r="E86" i="24"/>
  <c r="C86" i="24"/>
  <c r="E85" i="24"/>
  <c r="C85" i="24"/>
  <c r="B84" i="24"/>
  <c r="E82" i="24"/>
  <c r="C82" i="24"/>
  <c r="B82" i="24"/>
  <c r="E80" i="24"/>
  <c r="C80" i="24"/>
  <c r="E79" i="24"/>
  <c r="C79" i="24"/>
  <c r="E78" i="24"/>
  <c r="C78" i="24"/>
  <c r="E77" i="24"/>
  <c r="C77" i="24"/>
  <c r="E76" i="24"/>
  <c r="C76" i="24"/>
  <c r="E75" i="24"/>
  <c r="C75" i="24"/>
  <c r="E74" i="24"/>
  <c r="C74" i="24"/>
  <c r="E73" i="24"/>
  <c r="C73" i="24"/>
  <c r="E71" i="24"/>
  <c r="C71" i="24"/>
  <c r="B71" i="24"/>
  <c r="E70" i="24"/>
  <c r="C70" i="24"/>
  <c r="E69" i="24"/>
  <c r="C69" i="24"/>
  <c r="E68" i="24"/>
  <c r="C68" i="24"/>
  <c r="E66" i="24"/>
  <c r="C66" i="24"/>
  <c r="B64" i="24"/>
  <c r="B63" i="24"/>
  <c r="E60" i="24"/>
  <c r="C60" i="24"/>
  <c r="E59" i="24"/>
  <c r="C59" i="24"/>
  <c r="E58" i="24"/>
  <c r="C58" i="24"/>
  <c r="E57" i="24"/>
  <c r="C57" i="24"/>
  <c r="E56" i="24"/>
  <c r="C56" i="24"/>
  <c r="E55" i="24"/>
  <c r="C55" i="24"/>
  <c r="E54" i="24"/>
  <c r="C54" i="24"/>
  <c r="E53" i="24"/>
  <c r="C53" i="24"/>
  <c r="E52" i="24"/>
  <c r="C52" i="24"/>
  <c r="E51" i="24"/>
  <c r="C51" i="24"/>
  <c r="E50" i="24"/>
  <c r="C50" i="24"/>
  <c r="E49" i="24"/>
  <c r="C49" i="24"/>
  <c r="E48" i="24"/>
  <c r="C48" i="24"/>
  <c r="E47" i="24"/>
  <c r="C47" i="24"/>
  <c r="E46" i="24"/>
  <c r="C46" i="24"/>
  <c r="E44" i="24"/>
  <c r="C44" i="24"/>
  <c r="B44" i="24"/>
  <c r="E42" i="24"/>
  <c r="C42" i="24"/>
  <c r="E41" i="24"/>
  <c r="C41" i="24"/>
  <c r="E40" i="24"/>
  <c r="C40" i="24"/>
  <c r="E39" i="24"/>
  <c r="C39" i="24"/>
  <c r="E38" i="24"/>
  <c r="C38" i="24"/>
  <c r="E37" i="24"/>
  <c r="C37" i="24"/>
  <c r="E36" i="24"/>
  <c r="C36" i="24"/>
  <c r="E35" i="24"/>
  <c r="C35" i="24"/>
  <c r="E34" i="24"/>
  <c r="C34" i="24"/>
  <c r="E33" i="24"/>
  <c r="C33" i="24"/>
  <c r="E32" i="24"/>
  <c r="C32" i="24"/>
  <c r="E31" i="24"/>
  <c r="C31" i="24"/>
  <c r="E30" i="24"/>
  <c r="C30" i="24"/>
  <c r="E29" i="24"/>
  <c r="C29" i="24"/>
  <c r="E28" i="24"/>
  <c r="C28" i="24"/>
  <c r="B27" i="24"/>
  <c r="C24" i="24"/>
  <c r="E23" i="24"/>
  <c r="C23" i="24"/>
  <c r="E22" i="24"/>
  <c r="C22" i="24"/>
  <c r="E21" i="24"/>
  <c r="C21" i="24"/>
  <c r="E20" i="24"/>
  <c r="C20" i="24"/>
  <c r="E19" i="24"/>
  <c r="C19" i="24"/>
  <c r="E18" i="24"/>
  <c r="C18" i="24"/>
  <c r="E17" i="24"/>
  <c r="C17" i="24"/>
  <c r="E16" i="24"/>
  <c r="C16" i="24"/>
  <c r="E15" i="24"/>
  <c r="C15" i="24"/>
  <c r="E14" i="24"/>
  <c r="C14" i="24"/>
  <c r="E13" i="24"/>
  <c r="C13" i="24"/>
  <c r="E12" i="24"/>
  <c r="C12" i="24"/>
  <c r="E11" i="24"/>
  <c r="C11" i="24"/>
  <c r="E10" i="24"/>
  <c r="C10" i="24"/>
  <c r="E9" i="24"/>
  <c r="C9" i="24"/>
  <c r="E8" i="24"/>
  <c r="C8" i="24"/>
  <c r="E7" i="24"/>
  <c r="C7" i="24"/>
  <c r="E6" i="24"/>
  <c r="C6" i="24"/>
  <c r="E5" i="24"/>
  <c r="C5" i="24"/>
  <c r="B4" i="24"/>
  <c r="E634" i="23"/>
  <c r="C634" i="23"/>
  <c r="E632" i="23"/>
  <c r="C632" i="23"/>
  <c r="E631" i="23"/>
  <c r="C631" i="23"/>
  <c r="E630" i="23"/>
  <c r="C630" i="23"/>
  <c r="E629" i="23"/>
  <c r="C629" i="23"/>
  <c r="E628" i="23"/>
  <c r="C628" i="23"/>
  <c r="E627" i="23"/>
  <c r="C627" i="23"/>
  <c r="E626" i="23"/>
  <c r="C626" i="23"/>
  <c r="E625" i="23"/>
  <c r="C625" i="23"/>
  <c r="E623" i="23"/>
  <c r="C623" i="23"/>
  <c r="E621" i="23"/>
  <c r="C621" i="23"/>
  <c r="E619" i="23"/>
  <c r="C619" i="23"/>
  <c r="B618" i="23"/>
  <c r="B616" i="23"/>
  <c r="B615" i="23"/>
  <c r="E613" i="23"/>
  <c r="C613" i="23"/>
  <c r="E612" i="23"/>
  <c r="C612" i="23"/>
  <c r="E611" i="23"/>
  <c r="C611" i="23"/>
  <c r="E610" i="23"/>
  <c r="C610" i="23"/>
  <c r="E609" i="23"/>
  <c r="C609" i="23"/>
  <c r="E608" i="23"/>
  <c r="C608" i="23"/>
  <c r="E607" i="23"/>
  <c r="C607" i="23"/>
  <c r="E606" i="23"/>
  <c r="C606" i="23"/>
  <c r="B605" i="23"/>
  <c r="B603" i="23"/>
  <c r="B602" i="23"/>
  <c r="E599" i="23"/>
  <c r="C599" i="23"/>
  <c r="E598" i="23"/>
  <c r="E597" i="23"/>
  <c r="C597" i="23"/>
  <c r="E596" i="23"/>
  <c r="C596" i="23"/>
  <c r="E595" i="23"/>
  <c r="C595" i="23"/>
  <c r="E594" i="23"/>
  <c r="C594" i="23"/>
  <c r="E593" i="23"/>
  <c r="C593" i="23"/>
  <c r="E592" i="23"/>
  <c r="E591" i="23"/>
  <c r="C591" i="23"/>
  <c r="E590" i="23"/>
  <c r="E589" i="23"/>
  <c r="C589" i="23"/>
  <c r="E588" i="23"/>
  <c r="C588" i="23"/>
  <c r="E587" i="23"/>
  <c r="C587" i="23"/>
  <c r="E586" i="23"/>
  <c r="C586" i="23"/>
  <c r="E585" i="23"/>
  <c r="E584" i="23"/>
  <c r="C584" i="23"/>
  <c r="E583" i="23"/>
  <c r="E582" i="23"/>
  <c r="C582" i="23"/>
  <c r="E581" i="23"/>
  <c r="E580" i="23"/>
  <c r="C580" i="23"/>
  <c r="B579" i="23"/>
  <c r="B577" i="23"/>
  <c r="B576" i="23"/>
  <c r="E574" i="23"/>
  <c r="C574" i="23"/>
  <c r="E572" i="23"/>
  <c r="C572" i="23"/>
  <c r="E571" i="23"/>
  <c r="C571" i="23"/>
  <c r="E570" i="23"/>
  <c r="C570" i="23"/>
  <c r="E569" i="23"/>
  <c r="C569" i="23"/>
  <c r="E568" i="23"/>
  <c r="C568" i="23"/>
  <c r="E567" i="23"/>
  <c r="C567" i="23"/>
  <c r="E566" i="23"/>
  <c r="C566" i="23"/>
  <c r="E565" i="23"/>
  <c r="C565" i="23"/>
  <c r="E564" i="23"/>
  <c r="C564" i="23"/>
  <c r="E563" i="23"/>
  <c r="C563" i="23"/>
  <c r="E562" i="23"/>
  <c r="C562" i="23"/>
  <c r="E561" i="23"/>
  <c r="C561" i="23"/>
  <c r="E560" i="23"/>
  <c r="C560" i="23"/>
  <c r="E559" i="23"/>
  <c r="C559" i="23"/>
  <c r="E558" i="23"/>
  <c r="C558" i="23"/>
  <c r="E557" i="23"/>
  <c r="C557" i="23"/>
  <c r="E556" i="23"/>
  <c r="C556" i="23"/>
  <c r="E555" i="23"/>
  <c r="C555" i="23"/>
  <c r="E554" i="23"/>
  <c r="C554" i="23"/>
  <c r="E553" i="23"/>
  <c r="C553" i="23"/>
  <c r="E552" i="23"/>
  <c r="C552" i="23"/>
  <c r="B551" i="23"/>
  <c r="E550" i="23"/>
  <c r="C550" i="23"/>
  <c r="B550" i="23"/>
  <c r="B549" i="23"/>
  <c r="B548" i="23"/>
  <c r="E545" i="23"/>
  <c r="E544" i="23"/>
  <c r="E543" i="23"/>
  <c r="C543" i="23"/>
  <c r="E542" i="23"/>
  <c r="C542" i="23"/>
  <c r="E541" i="23"/>
  <c r="C541" i="23"/>
  <c r="E540" i="23"/>
  <c r="C540" i="23"/>
  <c r="E539" i="23"/>
  <c r="C539" i="23"/>
  <c r="E538" i="23"/>
  <c r="C538" i="23"/>
  <c r="E537" i="23"/>
  <c r="C537" i="23"/>
  <c r="E536" i="23"/>
  <c r="C536" i="23"/>
  <c r="E535" i="23"/>
  <c r="C535" i="23"/>
  <c r="E534" i="23"/>
  <c r="C534" i="23"/>
  <c r="E533" i="23"/>
  <c r="C533" i="23"/>
  <c r="E532" i="23"/>
  <c r="C532" i="23"/>
  <c r="E531" i="23"/>
  <c r="C531" i="23"/>
  <c r="E530" i="23"/>
  <c r="C530" i="23"/>
  <c r="E529" i="23"/>
  <c r="C529" i="23"/>
  <c r="E528" i="23"/>
  <c r="C528" i="23"/>
  <c r="E527" i="23"/>
  <c r="C527" i="23"/>
  <c r="E526" i="23"/>
  <c r="C526" i="23"/>
  <c r="E525" i="23"/>
  <c r="C525" i="23"/>
  <c r="E524" i="23"/>
  <c r="C524" i="23"/>
  <c r="E523" i="23"/>
  <c r="C523" i="23"/>
  <c r="B522" i="23"/>
  <c r="E518" i="23"/>
  <c r="C518" i="23"/>
  <c r="E517" i="23"/>
  <c r="C517" i="23"/>
  <c r="E516" i="23"/>
  <c r="C516" i="23"/>
  <c r="E515" i="23"/>
  <c r="C515" i="23"/>
  <c r="E514" i="23"/>
  <c r="C514" i="23"/>
  <c r="B514" i="23"/>
  <c r="E513" i="23"/>
  <c r="C513" i="23"/>
  <c r="B513" i="23"/>
  <c r="E512" i="23"/>
  <c r="C512" i="23"/>
  <c r="E511" i="23"/>
  <c r="C511" i="23"/>
  <c r="E510" i="23"/>
  <c r="C510" i="23"/>
  <c r="E509" i="23"/>
  <c r="C509" i="23"/>
  <c r="B509" i="23"/>
  <c r="B508" i="23"/>
  <c r="B507" i="23"/>
  <c r="E505" i="23"/>
  <c r="C505" i="23"/>
  <c r="E503" i="23"/>
  <c r="C503" i="23"/>
  <c r="B503" i="23"/>
  <c r="E502" i="23"/>
  <c r="C502" i="23"/>
  <c r="B502" i="23"/>
  <c r="E500" i="23"/>
  <c r="C500" i="23"/>
  <c r="E498" i="23"/>
  <c r="C498" i="23"/>
  <c r="B498" i="23"/>
  <c r="B496" i="23"/>
  <c r="E493" i="23"/>
  <c r="C493" i="23"/>
  <c r="E492" i="23"/>
  <c r="C492" i="23"/>
  <c r="E491" i="23"/>
  <c r="C491" i="23"/>
  <c r="E490" i="23"/>
  <c r="C490" i="23"/>
  <c r="E489" i="23"/>
  <c r="C489" i="23"/>
  <c r="E488" i="23"/>
  <c r="C488" i="23"/>
  <c r="E487" i="23"/>
  <c r="C487" i="23"/>
  <c r="E486" i="23"/>
  <c r="C486" i="23"/>
  <c r="E485" i="23"/>
  <c r="C485" i="23"/>
  <c r="E484" i="23"/>
  <c r="C484" i="23"/>
  <c r="E483" i="23"/>
  <c r="C483" i="23"/>
  <c r="E482" i="23"/>
  <c r="C482" i="23"/>
  <c r="E481" i="23"/>
  <c r="C481" i="23"/>
  <c r="E480" i="23"/>
  <c r="C480" i="23"/>
  <c r="B479" i="23"/>
  <c r="B478" i="23"/>
  <c r="E474" i="23"/>
  <c r="C474" i="23"/>
  <c r="E473" i="23"/>
  <c r="C473" i="23"/>
  <c r="E472" i="23"/>
  <c r="C472" i="23"/>
  <c r="E471" i="23"/>
  <c r="C471" i="23"/>
  <c r="E470" i="23"/>
  <c r="C470" i="23"/>
  <c r="E469" i="23"/>
  <c r="C469" i="23"/>
  <c r="E468" i="23"/>
  <c r="C468" i="23"/>
  <c r="E467" i="23"/>
  <c r="C467" i="23"/>
  <c r="B466" i="23"/>
  <c r="B465" i="23"/>
  <c r="E464" i="23"/>
  <c r="C464" i="23"/>
  <c r="E463" i="23"/>
  <c r="C463" i="23"/>
  <c r="E462" i="23"/>
  <c r="C462" i="23"/>
  <c r="E461" i="23"/>
  <c r="C461" i="23"/>
  <c r="E460" i="23"/>
  <c r="C460" i="23"/>
  <c r="E459" i="23"/>
  <c r="C459" i="23"/>
  <c r="E458" i="23"/>
  <c r="C458" i="23"/>
  <c r="E457" i="23"/>
  <c r="C457" i="23"/>
  <c r="E456" i="23"/>
  <c r="C456" i="23"/>
  <c r="B455" i="23"/>
  <c r="B454" i="23"/>
  <c r="B453" i="23"/>
  <c r="E450" i="23"/>
  <c r="C450" i="23"/>
  <c r="E449" i="23"/>
  <c r="C449" i="23"/>
  <c r="E448" i="23"/>
  <c r="C448" i="23"/>
  <c r="E447" i="23"/>
  <c r="C447" i="23"/>
  <c r="E446" i="23"/>
  <c r="C446" i="23"/>
  <c r="E445" i="23"/>
  <c r="C445" i="23"/>
  <c r="E444" i="23"/>
  <c r="C444" i="23"/>
  <c r="E443" i="23"/>
  <c r="C443" i="23"/>
  <c r="E442" i="23"/>
  <c r="C442" i="23"/>
  <c r="E441" i="23"/>
  <c r="C441" i="23"/>
  <c r="E440" i="23"/>
  <c r="C440" i="23"/>
  <c r="E439" i="23"/>
  <c r="C439" i="23"/>
  <c r="E438" i="23"/>
  <c r="C438" i="23"/>
  <c r="E437" i="23"/>
  <c r="C437" i="23"/>
  <c r="E436" i="23"/>
  <c r="C436" i="23"/>
  <c r="B435" i="23"/>
  <c r="B434" i="23"/>
  <c r="E432" i="23"/>
  <c r="C432" i="23"/>
  <c r="E431" i="23"/>
  <c r="C431" i="23"/>
  <c r="E430" i="23"/>
  <c r="C430" i="23"/>
  <c r="E429" i="23"/>
  <c r="C429" i="23"/>
  <c r="E428" i="23"/>
  <c r="C428" i="23"/>
  <c r="E427" i="23"/>
  <c r="C427" i="23"/>
  <c r="E426" i="23"/>
  <c r="C426" i="23"/>
  <c r="E425" i="23"/>
  <c r="C425" i="23"/>
  <c r="E424" i="23"/>
  <c r="C424" i="23"/>
  <c r="E423" i="23"/>
  <c r="C423" i="23"/>
  <c r="E422" i="23"/>
  <c r="C422" i="23"/>
  <c r="E421" i="23"/>
  <c r="C421" i="23"/>
  <c r="E420" i="23"/>
  <c r="C420" i="23"/>
  <c r="E419" i="23"/>
  <c r="C419" i="23"/>
  <c r="E418" i="23"/>
  <c r="C418" i="23"/>
  <c r="E417" i="23"/>
  <c r="C417" i="23"/>
  <c r="E416" i="23"/>
  <c r="C416" i="23"/>
  <c r="B415" i="23"/>
  <c r="B414" i="23"/>
  <c r="E411" i="23"/>
  <c r="E410" i="23"/>
  <c r="E409" i="23"/>
  <c r="E408" i="23"/>
  <c r="E407" i="23"/>
  <c r="E406" i="23"/>
  <c r="E405" i="23"/>
  <c r="E404" i="23"/>
  <c r="C404" i="23"/>
  <c r="E403" i="23"/>
  <c r="E402" i="23"/>
  <c r="C402" i="23"/>
  <c r="B401" i="23"/>
  <c r="E397" i="23"/>
  <c r="C397" i="23"/>
  <c r="E396" i="23"/>
  <c r="C396" i="23"/>
  <c r="E395" i="23"/>
  <c r="C395" i="23"/>
  <c r="B394" i="23"/>
  <c r="E391" i="23"/>
  <c r="C391" i="23"/>
  <c r="E390" i="23"/>
  <c r="C390" i="23"/>
  <c r="E389" i="23"/>
  <c r="C389" i="23"/>
  <c r="B388" i="23"/>
  <c r="E385" i="23"/>
  <c r="C385" i="23"/>
  <c r="E384" i="23"/>
  <c r="C384" i="23"/>
  <c r="E383" i="23"/>
  <c r="C383" i="23"/>
  <c r="E382" i="23"/>
  <c r="C382" i="23"/>
  <c r="E381" i="23"/>
  <c r="C381" i="23"/>
  <c r="E380" i="23"/>
  <c r="C380" i="23"/>
  <c r="E379" i="23"/>
  <c r="C379" i="23"/>
  <c r="E378" i="23"/>
  <c r="C378" i="23"/>
  <c r="E377" i="23"/>
  <c r="C377" i="23"/>
  <c r="E376" i="23"/>
  <c r="C376" i="23"/>
  <c r="E375" i="23"/>
  <c r="C375" i="23"/>
  <c r="E374" i="23"/>
  <c r="C374" i="23"/>
  <c r="E373" i="23"/>
  <c r="C373" i="23"/>
  <c r="E372" i="23"/>
  <c r="C372" i="23"/>
  <c r="B371" i="23"/>
  <c r="E370" i="23"/>
  <c r="C370" i="23"/>
  <c r="B370" i="23"/>
  <c r="E369" i="23"/>
  <c r="C369" i="23"/>
  <c r="E368" i="23"/>
  <c r="C368" i="23"/>
  <c r="E367" i="23"/>
  <c r="C367" i="23"/>
  <c r="E366" i="23"/>
  <c r="C366" i="23"/>
  <c r="E365" i="23"/>
  <c r="C365" i="23"/>
  <c r="E364" i="23"/>
  <c r="C364" i="23"/>
  <c r="E363" i="23"/>
  <c r="C363" i="23"/>
  <c r="E362" i="23"/>
  <c r="C362" i="23"/>
  <c r="E361" i="23"/>
  <c r="C361" i="23"/>
  <c r="E360" i="23"/>
  <c r="C360" i="23"/>
  <c r="E359" i="23"/>
  <c r="C359" i="23"/>
  <c r="E358" i="23"/>
  <c r="C358" i="23"/>
  <c r="E357" i="23"/>
  <c r="C357" i="23"/>
  <c r="E356" i="23"/>
  <c r="C356" i="23"/>
  <c r="E355" i="23"/>
  <c r="C355" i="23"/>
  <c r="E354" i="23"/>
  <c r="C354" i="23"/>
  <c r="E353" i="23"/>
  <c r="C353" i="23"/>
  <c r="E351" i="23"/>
  <c r="C351" i="23"/>
  <c r="B349" i="23"/>
  <c r="B348" i="23"/>
  <c r="E347" i="23"/>
  <c r="C347" i="23"/>
  <c r="E345" i="23"/>
  <c r="C345" i="23"/>
  <c r="E344" i="23"/>
  <c r="C344" i="23"/>
  <c r="E343" i="23"/>
  <c r="C343" i="23"/>
  <c r="E342" i="23"/>
  <c r="C342" i="23"/>
  <c r="E341" i="23"/>
  <c r="C341" i="23"/>
  <c r="E339" i="23"/>
  <c r="C339" i="23"/>
  <c r="E338" i="23"/>
  <c r="C338" i="23"/>
  <c r="E337" i="23"/>
  <c r="C337" i="23"/>
  <c r="E336" i="23"/>
  <c r="C336" i="23"/>
  <c r="E335" i="23"/>
  <c r="C335" i="23"/>
  <c r="B334" i="23"/>
  <c r="E333" i="23"/>
  <c r="C333" i="23"/>
  <c r="B331" i="23"/>
  <c r="E330" i="23"/>
  <c r="C330" i="23"/>
  <c r="E329" i="23"/>
  <c r="C329" i="23"/>
  <c r="E328" i="23"/>
  <c r="C328" i="23"/>
  <c r="E327" i="23"/>
  <c r="C327" i="23"/>
  <c r="B325" i="23"/>
  <c r="E321" i="23"/>
  <c r="C321" i="23"/>
  <c r="E320" i="23"/>
  <c r="C320" i="23"/>
  <c r="E319" i="23"/>
  <c r="E318" i="23"/>
  <c r="C318" i="23"/>
  <c r="E317" i="23"/>
  <c r="E316" i="23"/>
  <c r="C316" i="23"/>
  <c r="B314" i="23"/>
  <c r="B313" i="23"/>
  <c r="E309" i="23"/>
  <c r="C309" i="23"/>
  <c r="E308" i="23"/>
  <c r="E307" i="23"/>
  <c r="C307" i="23"/>
  <c r="E306" i="23"/>
  <c r="C306" i="23"/>
  <c r="E305" i="23"/>
  <c r="C305" i="23"/>
  <c r="E304" i="23"/>
  <c r="C304" i="23"/>
  <c r="E303" i="23"/>
  <c r="C303" i="23"/>
  <c r="E302" i="23"/>
  <c r="C302" i="23"/>
  <c r="E301" i="23"/>
  <c r="C301" i="23"/>
  <c r="E300" i="23"/>
  <c r="C300" i="23"/>
  <c r="E299" i="23"/>
  <c r="C299" i="23"/>
  <c r="E298" i="23"/>
  <c r="C298" i="23"/>
  <c r="E297" i="23"/>
  <c r="C297" i="23"/>
  <c r="E296" i="23"/>
  <c r="C296" i="23"/>
  <c r="E294" i="23"/>
  <c r="C294" i="23"/>
  <c r="E292" i="23"/>
  <c r="C292" i="23"/>
  <c r="B290" i="23"/>
  <c r="B289" i="23"/>
  <c r="E286" i="23"/>
  <c r="C286" i="23"/>
  <c r="E285" i="23"/>
  <c r="E284" i="23"/>
  <c r="E283" i="23"/>
  <c r="E282" i="23"/>
  <c r="C282" i="23"/>
  <c r="E281" i="23"/>
  <c r="C281" i="23"/>
  <c r="E280" i="23"/>
  <c r="C280" i="23"/>
  <c r="E279" i="23"/>
  <c r="C279" i="23"/>
  <c r="E278" i="23"/>
  <c r="C278" i="23"/>
  <c r="E277" i="23"/>
  <c r="C277" i="23"/>
  <c r="E276" i="23"/>
  <c r="C276" i="23"/>
  <c r="E275" i="23"/>
  <c r="C275" i="23"/>
  <c r="E274" i="23"/>
  <c r="C274" i="23"/>
  <c r="E273" i="23"/>
  <c r="E272" i="23"/>
  <c r="C272" i="23"/>
  <c r="E271" i="23"/>
  <c r="E270" i="23"/>
  <c r="C270" i="23"/>
  <c r="B268" i="23"/>
  <c r="B267" i="23"/>
  <c r="E263" i="23"/>
  <c r="C263" i="23"/>
  <c r="E262" i="23"/>
  <c r="C262" i="23"/>
  <c r="E261" i="23"/>
  <c r="C261" i="23"/>
  <c r="E260" i="23"/>
  <c r="C260" i="23"/>
  <c r="E259" i="23"/>
  <c r="C259" i="23"/>
  <c r="E258" i="23"/>
  <c r="C258" i="23"/>
  <c r="E257" i="23"/>
  <c r="C257" i="23"/>
  <c r="E256" i="23"/>
  <c r="C256" i="23"/>
  <c r="E255" i="23"/>
  <c r="C255" i="23"/>
  <c r="E254" i="23"/>
  <c r="C254" i="23"/>
  <c r="B253" i="23"/>
  <c r="E251" i="23"/>
  <c r="C251" i="23"/>
  <c r="E249" i="23"/>
  <c r="E248" i="23"/>
  <c r="E247" i="23"/>
  <c r="E246" i="23"/>
  <c r="C246" i="23"/>
  <c r="E245" i="23"/>
  <c r="C245" i="23"/>
  <c r="E244" i="23"/>
  <c r="C244" i="23"/>
  <c r="E243" i="23"/>
  <c r="C243" i="23"/>
  <c r="E242" i="23"/>
  <c r="C242" i="23"/>
  <c r="E241" i="23"/>
  <c r="C241" i="23"/>
  <c r="E240" i="23"/>
  <c r="C240" i="23"/>
  <c r="E239" i="23"/>
  <c r="C239" i="23"/>
  <c r="E238" i="23"/>
  <c r="C238" i="23"/>
  <c r="E237" i="23"/>
  <c r="C237" i="23"/>
  <c r="E236" i="23"/>
  <c r="C236" i="23"/>
  <c r="E235" i="23"/>
  <c r="C235" i="23"/>
  <c r="E234" i="23"/>
  <c r="C234" i="23"/>
  <c r="E233" i="23"/>
  <c r="E232" i="23"/>
  <c r="C232" i="23"/>
  <c r="E231" i="23"/>
  <c r="C231" i="23"/>
  <c r="E230" i="23"/>
  <c r="E229" i="23"/>
  <c r="C229" i="23"/>
  <c r="B227" i="23"/>
  <c r="B226" i="23"/>
  <c r="E223" i="23"/>
  <c r="E222" i="23"/>
  <c r="E221" i="23"/>
  <c r="E220" i="23"/>
  <c r="E219" i="23"/>
  <c r="E218" i="23"/>
  <c r="E217" i="23"/>
  <c r="E216" i="23"/>
  <c r="E215" i="23"/>
  <c r="E214" i="23"/>
  <c r="E213" i="23"/>
  <c r="C213" i="23"/>
  <c r="E212" i="23"/>
  <c r="C212" i="23"/>
  <c r="E211" i="23"/>
  <c r="C211" i="23"/>
  <c r="E210" i="23"/>
  <c r="C210" i="23"/>
  <c r="E209" i="23"/>
  <c r="C209" i="23"/>
  <c r="E208" i="23"/>
  <c r="C208" i="23"/>
  <c r="E207" i="23"/>
  <c r="C207" i="23"/>
  <c r="B206" i="23"/>
  <c r="E205" i="23"/>
  <c r="E204" i="23"/>
  <c r="C204" i="23"/>
  <c r="E202" i="23"/>
  <c r="C202" i="23"/>
  <c r="B201" i="23"/>
  <c r="E198" i="23"/>
  <c r="C198" i="23"/>
  <c r="E197" i="23"/>
  <c r="C197" i="23"/>
  <c r="E196" i="23"/>
  <c r="C196" i="23"/>
  <c r="E195" i="23"/>
  <c r="C195" i="23"/>
  <c r="E194" i="23"/>
  <c r="C194" i="23"/>
  <c r="E193" i="23"/>
  <c r="C193" i="23"/>
  <c r="E191" i="23"/>
  <c r="C191" i="23"/>
  <c r="B190" i="23"/>
  <c r="E187" i="23"/>
  <c r="C187" i="23"/>
  <c r="B186" i="23"/>
  <c r="E182" i="23"/>
  <c r="E181" i="23"/>
  <c r="C181" i="23"/>
  <c r="E180" i="23"/>
  <c r="C180" i="23"/>
  <c r="E179" i="23"/>
  <c r="C179" i="23"/>
  <c r="E178" i="23"/>
  <c r="C178" i="23"/>
  <c r="E176" i="23"/>
  <c r="C176" i="23"/>
  <c r="B174" i="23"/>
  <c r="B173" i="23"/>
  <c r="E170" i="23"/>
  <c r="E169" i="23"/>
  <c r="E168" i="23"/>
  <c r="C168" i="23"/>
  <c r="E167" i="23"/>
  <c r="C167" i="23"/>
  <c r="E166" i="23"/>
  <c r="C166" i="23"/>
  <c r="E165" i="23"/>
  <c r="C165" i="23"/>
  <c r="E164" i="23"/>
  <c r="C164" i="23"/>
  <c r="E163" i="23"/>
  <c r="C163" i="23"/>
  <c r="E162" i="23"/>
  <c r="C162" i="23"/>
  <c r="E161" i="23"/>
  <c r="C161" i="23"/>
  <c r="E160" i="23"/>
  <c r="C160" i="23"/>
  <c r="E159" i="23"/>
  <c r="C159" i="23"/>
  <c r="E158" i="23"/>
  <c r="C158" i="23"/>
  <c r="E157" i="23"/>
  <c r="C157" i="23"/>
  <c r="E156" i="23"/>
  <c r="C156" i="23"/>
  <c r="B154" i="23"/>
  <c r="B153" i="23"/>
  <c r="E149" i="23"/>
  <c r="E148" i="23"/>
  <c r="E147" i="23"/>
  <c r="C147" i="23"/>
  <c r="E146" i="23"/>
  <c r="C146" i="23"/>
  <c r="E145" i="23"/>
  <c r="C145" i="23"/>
  <c r="E144" i="23"/>
  <c r="C144" i="23"/>
  <c r="E143" i="23"/>
  <c r="C143" i="23"/>
  <c r="E142" i="23"/>
  <c r="C142" i="23"/>
  <c r="E141" i="23"/>
  <c r="C141" i="23"/>
  <c r="E140" i="23"/>
  <c r="C140" i="23"/>
  <c r="E139" i="23"/>
  <c r="C139" i="23"/>
  <c r="E138" i="23"/>
  <c r="C138" i="23"/>
  <c r="E137" i="23"/>
  <c r="C137" i="23"/>
  <c r="E136" i="23"/>
  <c r="C136" i="23"/>
  <c r="E135" i="23"/>
  <c r="C135" i="23"/>
  <c r="E134" i="23"/>
  <c r="C134" i="23"/>
  <c r="B132" i="23"/>
  <c r="B131" i="23"/>
  <c r="E127" i="23"/>
  <c r="E126" i="23"/>
  <c r="E125" i="23"/>
  <c r="E124" i="23"/>
  <c r="C124" i="23"/>
  <c r="E123" i="23"/>
  <c r="C123" i="23"/>
  <c r="E122" i="23"/>
  <c r="C122" i="23"/>
  <c r="E121" i="23"/>
  <c r="C121" i="23"/>
  <c r="E120" i="23"/>
  <c r="C120" i="23"/>
  <c r="E119" i="23"/>
  <c r="C119" i="23"/>
  <c r="E118" i="23"/>
  <c r="C118" i="23"/>
  <c r="E117" i="23"/>
  <c r="C117" i="23"/>
  <c r="E116" i="23"/>
  <c r="C116" i="23"/>
  <c r="E115" i="23"/>
  <c r="C115" i="23"/>
  <c r="E114" i="23"/>
  <c r="C114" i="23"/>
  <c r="E113" i="23"/>
  <c r="C113" i="23"/>
  <c r="E112" i="23"/>
  <c r="C112" i="23"/>
  <c r="E111" i="23"/>
  <c r="C111" i="23"/>
  <c r="E110" i="23"/>
  <c r="C110" i="23"/>
  <c r="E109" i="23"/>
  <c r="C109" i="23"/>
  <c r="E108" i="23"/>
  <c r="C108" i="23"/>
  <c r="E107" i="23"/>
  <c r="C107" i="23"/>
  <c r="B105" i="23"/>
  <c r="B104" i="23"/>
  <c r="E102" i="23"/>
  <c r="C102" i="23"/>
  <c r="E100" i="23"/>
  <c r="C100" i="23"/>
  <c r="E99" i="23"/>
  <c r="C99" i="23"/>
  <c r="E98" i="23"/>
  <c r="C98" i="23"/>
  <c r="E97" i="23"/>
  <c r="C97" i="23"/>
  <c r="E96" i="23"/>
  <c r="C96" i="23"/>
  <c r="E95" i="23"/>
  <c r="C95" i="23"/>
  <c r="E94" i="23"/>
  <c r="C94" i="23"/>
  <c r="E93" i="23"/>
  <c r="C93" i="23"/>
  <c r="E92" i="23"/>
  <c r="C92" i="23"/>
  <c r="B91" i="23"/>
  <c r="E87" i="23"/>
  <c r="C87" i="23"/>
  <c r="E86" i="23"/>
  <c r="C86" i="23"/>
  <c r="E85" i="23"/>
  <c r="C85" i="23"/>
  <c r="E84" i="23"/>
  <c r="C84" i="23"/>
  <c r="B82" i="23"/>
  <c r="E81" i="23"/>
  <c r="C81" i="23"/>
  <c r="E80" i="23"/>
  <c r="E79" i="23"/>
  <c r="E78" i="23"/>
  <c r="E77" i="23"/>
  <c r="C77" i="23"/>
  <c r="E76" i="23"/>
  <c r="C76" i="23"/>
  <c r="E75" i="23"/>
  <c r="E74" i="23"/>
  <c r="C74" i="23"/>
  <c r="E73" i="23"/>
  <c r="C73" i="23"/>
  <c r="E72" i="23"/>
  <c r="C72" i="23"/>
  <c r="E71" i="23"/>
  <c r="C71" i="23"/>
  <c r="B70" i="23"/>
  <c r="E68" i="23"/>
  <c r="C68" i="23"/>
  <c r="B68" i="23"/>
  <c r="E66" i="23"/>
  <c r="C66" i="23"/>
  <c r="E65" i="23"/>
  <c r="C65" i="23"/>
  <c r="E64" i="23"/>
  <c r="C64" i="23"/>
  <c r="E63" i="23"/>
  <c r="C63" i="23"/>
  <c r="E62" i="23"/>
  <c r="C62" i="23"/>
  <c r="E61" i="23"/>
  <c r="C61" i="23"/>
  <c r="E60" i="23"/>
  <c r="C60" i="23"/>
  <c r="E59" i="23"/>
  <c r="C59" i="23"/>
  <c r="E57" i="23"/>
  <c r="C57" i="23"/>
  <c r="B57" i="23"/>
  <c r="E55" i="23"/>
  <c r="C55" i="23"/>
  <c r="B53" i="23"/>
  <c r="B52" i="23"/>
  <c r="E49" i="23"/>
  <c r="C49" i="23"/>
  <c r="E48" i="23"/>
  <c r="C48" i="23"/>
  <c r="E47" i="23"/>
  <c r="C47" i="23"/>
  <c r="E46" i="23"/>
  <c r="C46" i="23"/>
  <c r="E45" i="23"/>
  <c r="C45" i="23"/>
  <c r="E44" i="23"/>
  <c r="C44" i="23"/>
  <c r="E43" i="23"/>
  <c r="C43" i="23"/>
  <c r="E42" i="23"/>
  <c r="C42" i="23"/>
  <c r="E41" i="23"/>
  <c r="C41" i="23"/>
  <c r="E40" i="23"/>
  <c r="C40" i="23"/>
  <c r="E39" i="23"/>
  <c r="C39" i="23"/>
  <c r="E38" i="23"/>
  <c r="C38" i="23"/>
  <c r="E37" i="23"/>
  <c r="C37" i="23"/>
  <c r="E36" i="23"/>
  <c r="C36" i="23"/>
  <c r="E35" i="23"/>
  <c r="C35" i="23"/>
  <c r="E33" i="23"/>
  <c r="C33" i="23"/>
  <c r="B33" i="23"/>
  <c r="E32" i="23"/>
  <c r="C32" i="23"/>
  <c r="E31" i="23"/>
  <c r="C31" i="23"/>
  <c r="E30" i="23"/>
  <c r="C30" i="23"/>
  <c r="E29" i="23"/>
  <c r="C29" i="23"/>
  <c r="E28" i="23"/>
  <c r="C28" i="23"/>
  <c r="E27" i="23"/>
  <c r="C27" i="23"/>
  <c r="E26" i="23"/>
  <c r="C26" i="23"/>
  <c r="B25" i="23"/>
  <c r="E22" i="23"/>
  <c r="C22" i="23"/>
  <c r="E21" i="23"/>
  <c r="C21" i="23"/>
  <c r="E20" i="23"/>
  <c r="C20" i="23"/>
  <c r="E19" i="23"/>
  <c r="C19" i="23"/>
  <c r="E18" i="23"/>
  <c r="C18" i="23"/>
  <c r="E17" i="23"/>
  <c r="C17" i="23"/>
  <c r="E16" i="23"/>
  <c r="C16" i="23"/>
  <c r="E15" i="23"/>
  <c r="C15" i="23"/>
  <c r="E14" i="23"/>
  <c r="C14" i="23"/>
  <c r="E13" i="23"/>
  <c r="C13" i="23"/>
  <c r="E12" i="23"/>
  <c r="C12" i="23"/>
  <c r="E11" i="23"/>
  <c r="C11" i="23"/>
  <c r="E10" i="23"/>
  <c r="C10" i="23"/>
  <c r="E9" i="23"/>
  <c r="C9" i="23"/>
  <c r="E8" i="23"/>
  <c r="C8" i="23"/>
  <c r="E7" i="23"/>
  <c r="C7" i="23"/>
  <c r="E6" i="23"/>
  <c r="C6" i="23"/>
  <c r="E5" i="23"/>
  <c r="C5" i="23"/>
  <c r="B4" i="23"/>
  <c r="E644" i="22"/>
  <c r="C644" i="22"/>
  <c r="E641" i="22"/>
  <c r="C641" i="22"/>
  <c r="E640" i="22"/>
  <c r="C640" i="22"/>
  <c r="E639" i="22"/>
  <c r="C639" i="22"/>
  <c r="E638" i="22"/>
  <c r="C638" i="22"/>
  <c r="E637" i="22"/>
  <c r="C637" i="22"/>
  <c r="E636" i="22"/>
  <c r="C636" i="22"/>
  <c r="E635" i="22"/>
  <c r="C635" i="22"/>
  <c r="E633" i="22"/>
  <c r="C633" i="22"/>
  <c r="E631" i="22"/>
  <c r="C631" i="22"/>
  <c r="E629" i="22"/>
  <c r="C629" i="22"/>
  <c r="B628" i="22"/>
  <c r="B626" i="22"/>
  <c r="B625" i="22"/>
  <c r="E623" i="22"/>
  <c r="C623" i="22"/>
  <c r="E621" i="22"/>
  <c r="C621" i="22"/>
  <c r="E620" i="22"/>
  <c r="C620" i="22"/>
  <c r="E619" i="22"/>
  <c r="C619" i="22"/>
  <c r="E618" i="22"/>
  <c r="C618" i="22"/>
  <c r="E617" i="22"/>
  <c r="C617" i="22"/>
  <c r="E616" i="22"/>
  <c r="C616" i="22"/>
  <c r="B615" i="22"/>
  <c r="B613" i="22"/>
  <c r="B612" i="22"/>
  <c r="E608" i="22"/>
  <c r="E607" i="22"/>
  <c r="C607" i="22"/>
  <c r="E606" i="22"/>
  <c r="C606" i="22"/>
  <c r="E605" i="22"/>
  <c r="C605" i="22"/>
  <c r="E604" i="22"/>
  <c r="C604" i="22"/>
  <c r="E603" i="22"/>
  <c r="C603" i="22"/>
  <c r="E602" i="22"/>
  <c r="E601" i="22"/>
  <c r="C601" i="22"/>
  <c r="E600" i="22"/>
  <c r="E599" i="22"/>
  <c r="C599" i="22"/>
  <c r="E598" i="22"/>
  <c r="C598" i="22"/>
  <c r="E597" i="22"/>
  <c r="C597" i="22"/>
  <c r="E596" i="22"/>
  <c r="C596" i="22"/>
  <c r="E595" i="22"/>
  <c r="E594" i="22"/>
  <c r="C594" i="22"/>
  <c r="E593" i="22"/>
  <c r="E592" i="22"/>
  <c r="C592" i="22"/>
  <c r="E591" i="22"/>
  <c r="E590" i="22"/>
  <c r="C590" i="22"/>
  <c r="B589" i="22"/>
  <c r="B587" i="22"/>
  <c r="B586" i="22"/>
  <c r="E584" i="22"/>
  <c r="C584" i="22"/>
  <c r="E582" i="22"/>
  <c r="C582" i="22"/>
  <c r="E581" i="22"/>
  <c r="C581" i="22"/>
  <c r="E580" i="22"/>
  <c r="C580" i="22"/>
  <c r="E579" i="22"/>
  <c r="C579" i="22"/>
  <c r="E578" i="22"/>
  <c r="C578" i="22"/>
  <c r="E577" i="22"/>
  <c r="C577" i="22"/>
  <c r="E576" i="22"/>
  <c r="C576" i="22"/>
  <c r="E575" i="22"/>
  <c r="C575" i="22"/>
  <c r="E574" i="22"/>
  <c r="C574" i="22"/>
  <c r="E573" i="22"/>
  <c r="C573" i="22"/>
  <c r="E572" i="22"/>
  <c r="C572" i="22"/>
  <c r="E571" i="22"/>
  <c r="C571" i="22"/>
  <c r="E570" i="22"/>
  <c r="C570" i="22"/>
  <c r="E569" i="22"/>
  <c r="C569" i="22"/>
  <c r="E568" i="22"/>
  <c r="C568" i="22"/>
  <c r="E567" i="22"/>
  <c r="C567" i="22"/>
  <c r="E566" i="22"/>
  <c r="C566" i="22"/>
  <c r="E565" i="22"/>
  <c r="C565" i="22"/>
  <c r="E564" i="22"/>
  <c r="C564" i="22"/>
  <c r="E563" i="22"/>
  <c r="C563" i="22"/>
  <c r="E562" i="22"/>
  <c r="C562" i="22"/>
  <c r="E561" i="22"/>
  <c r="C561" i="22"/>
  <c r="E560" i="22"/>
  <c r="C560" i="22"/>
  <c r="B559" i="22"/>
  <c r="E558" i="22"/>
  <c r="C558" i="22"/>
  <c r="B558" i="22"/>
  <c r="B557" i="22"/>
  <c r="B556" i="22"/>
  <c r="E553" i="22"/>
  <c r="E552" i="22"/>
  <c r="C552" i="22"/>
  <c r="E551" i="22"/>
  <c r="C551" i="22"/>
  <c r="E550" i="22"/>
  <c r="C550" i="22"/>
  <c r="E549" i="22"/>
  <c r="C549" i="22"/>
  <c r="E548" i="22"/>
  <c r="C548" i="22"/>
  <c r="E547" i="22"/>
  <c r="C547" i="22"/>
  <c r="E546" i="22"/>
  <c r="C546" i="22"/>
  <c r="E545" i="22"/>
  <c r="C545" i="22"/>
  <c r="E544" i="22"/>
  <c r="C544" i="22"/>
  <c r="E543" i="22"/>
  <c r="C543" i="22"/>
  <c r="E542" i="22"/>
  <c r="C542" i="22"/>
  <c r="E541" i="22"/>
  <c r="C541" i="22"/>
  <c r="E540" i="22"/>
  <c r="C540" i="22"/>
  <c r="E539" i="22"/>
  <c r="C539" i="22"/>
  <c r="E538" i="22"/>
  <c r="C538" i="22"/>
  <c r="E537" i="22"/>
  <c r="C537" i="22"/>
  <c r="E536" i="22"/>
  <c r="C536" i="22"/>
  <c r="E535" i="22"/>
  <c r="C535" i="22"/>
  <c r="E534" i="22"/>
  <c r="C534" i="22"/>
  <c r="E533" i="22"/>
  <c r="C533" i="22"/>
  <c r="E532" i="22"/>
  <c r="C532" i="22"/>
  <c r="B531" i="22"/>
  <c r="E527" i="22"/>
  <c r="C527" i="22"/>
  <c r="E526" i="22"/>
  <c r="C526" i="22"/>
  <c r="E525" i="22"/>
  <c r="C525" i="22"/>
  <c r="E524" i="22"/>
  <c r="C524" i="22"/>
  <c r="E523" i="22"/>
  <c r="C523" i="22"/>
  <c r="B523" i="22"/>
  <c r="E522" i="22"/>
  <c r="C522" i="22"/>
  <c r="B522" i="22"/>
  <c r="E521" i="22"/>
  <c r="C521" i="22"/>
  <c r="E520" i="22"/>
  <c r="C520" i="22"/>
  <c r="E519" i="22"/>
  <c r="C519" i="22"/>
  <c r="E518" i="22"/>
  <c r="C518" i="22"/>
  <c r="B518" i="22"/>
  <c r="B517" i="22"/>
  <c r="B516" i="22"/>
  <c r="E514" i="22"/>
  <c r="C514" i="22"/>
  <c r="E512" i="22"/>
  <c r="C512" i="22"/>
  <c r="B512" i="22"/>
  <c r="E511" i="22"/>
  <c r="C511" i="22"/>
  <c r="B511" i="22"/>
  <c r="E509" i="22"/>
  <c r="C509" i="22"/>
  <c r="E507" i="22"/>
  <c r="C507" i="22"/>
  <c r="B507" i="22"/>
  <c r="B505" i="22"/>
  <c r="E502" i="22"/>
  <c r="C502" i="22"/>
  <c r="E501" i="22"/>
  <c r="C501" i="22"/>
  <c r="E500" i="22"/>
  <c r="C500" i="22"/>
  <c r="E499" i="22"/>
  <c r="C499" i="22"/>
  <c r="E498" i="22"/>
  <c r="C498" i="22"/>
  <c r="E497" i="22"/>
  <c r="C497" i="22"/>
  <c r="E496" i="22"/>
  <c r="C496" i="22"/>
  <c r="E495" i="22"/>
  <c r="C495" i="22"/>
  <c r="E494" i="22"/>
  <c r="C494" i="22"/>
  <c r="E493" i="22"/>
  <c r="C493" i="22"/>
  <c r="E492" i="22"/>
  <c r="C492" i="22"/>
  <c r="E491" i="22"/>
  <c r="C491" i="22"/>
  <c r="E490" i="22"/>
  <c r="C490" i="22"/>
  <c r="E489" i="22"/>
  <c r="C489" i="22"/>
  <c r="B488" i="22"/>
  <c r="B487" i="22"/>
  <c r="E483" i="22"/>
  <c r="C483" i="22"/>
  <c r="E482" i="22"/>
  <c r="C482" i="22"/>
  <c r="E481" i="22"/>
  <c r="C481" i="22"/>
  <c r="E480" i="22"/>
  <c r="C480" i="22"/>
  <c r="E479" i="22"/>
  <c r="C479" i="22"/>
  <c r="E478" i="22"/>
  <c r="C478" i="22"/>
  <c r="E477" i="22"/>
  <c r="C477" i="22"/>
  <c r="E476" i="22"/>
  <c r="C476" i="22"/>
  <c r="B475" i="22"/>
  <c r="B474" i="22"/>
  <c r="E473" i="22"/>
  <c r="C473" i="22"/>
  <c r="E472" i="22"/>
  <c r="C472" i="22"/>
  <c r="E471" i="22"/>
  <c r="C471" i="22"/>
  <c r="E470" i="22"/>
  <c r="C470" i="22"/>
  <c r="E469" i="22"/>
  <c r="C469" i="22"/>
  <c r="E468" i="22"/>
  <c r="C468" i="22"/>
  <c r="E467" i="22"/>
  <c r="C467" i="22"/>
  <c r="E466" i="22"/>
  <c r="C466" i="22"/>
  <c r="E465" i="22"/>
  <c r="C465" i="22"/>
  <c r="B464" i="22"/>
  <c r="B463" i="22"/>
  <c r="B462" i="22"/>
  <c r="E459" i="22"/>
  <c r="C459" i="22"/>
  <c r="E458" i="22"/>
  <c r="C458" i="22"/>
  <c r="E457" i="22"/>
  <c r="C457" i="22"/>
  <c r="E456" i="22"/>
  <c r="C456" i="22"/>
  <c r="E455" i="22"/>
  <c r="C455" i="22"/>
  <c r="E454" i="22"/>
  <c r="C454" i="22"/>
  <c r="E453" i="22"/>
  <c r="C453" i="22"/>
  <c r="E452" i="22"/>
  <c r="C452" i="22"/>
  <c r="E451" i="22"/>
  <c r="C451" i="22"/>
  <c r="E450" i="22"/>
  <c r="C450" i="22"/>
  <c r="E449" i="22"/>
  <c r="C449" i="22"/>
  <c r="E448" i="22"/>
  <c r="C448" i="22"/>
  <c r="E447" i="22"/>
  <c r="C447" i="22"/>
  <c r="E446" i="22"/>
  <c r="C446" i="22"/>
  <c r="E445" i="22"/>
  <c r="C445" i="22"/>
  <c r="B444" i="22"/>
  <c r="B443" i="22"/>
  <c r="E441" i="22"/>
  <c r="C441" i="22"/>
  <c r="E440" i="22"/>
  <c r="C440" i="22"/>
  <c r="E439" i="22"/>
  <c r="C439" i="22"/>
  <c r="E438" i="22"/>
  <c r="C438" i="22"/>
  <c r="E437" i="22"/>
  <c r="C437" i="22"/>
  <c r="E436" i="22"/>
  <c r="C436" i="22"/>
  <c r="E435" i="22"/>
  <c r="C435" i="22"/>
  <c r="E434" i="22"/>
  <c r="C434" i="22"/>
  <c r="E433" i="22"/>
  <c r="C433" i="22"/>
  <c r="E432" i="22"/>
  <c r="C432" i="22"/>
  <c r="E431" i="22"/>
  <c r="C431" i="22"/>
  <c r="E430" i="22"/>
  <c r="C430" i="22"/>
  <c r="E429" i="22"/>
  <c r="C429" i="22"/>
  <c r="E428" i="22"/>
  <c r="C428" i="22"/>
  <c r="E427" i="22"/>
  <c r="C427" i="22"/>
  <c r="E426" i="22"/>
  <c r="C426" i="22"/>
  <c r="E425" i="22"/>
  <c r="C425" i="22"/>
  <c r="B424" i="22"/>
  <c r="B423" i="22"/>
  <c r="E420" i="22"/>
  <c r="E419" i="22"/>
  <c r="E418" i="22"/>
  <c r="E417" i="22"/>
  <c r="E416" i="22"/>
  <c r="E415" i="22"/>
  <c r="E414" i="22"/>
  <c r="E413" i="22"/>
  <c r="C413" i="22"/>
  <c r="E412" i="22"/>
  <c r="E411" i="22"/>
  <c r="C411" i="22"/>
  <c r="B410" i="22"/>
  <c r="E406" i="22"/>
  <c r="C406" i="22"/>
  <c r="E405" i="22"/>
  <c r="C405" i="22"/>
  <c r="E404" i="22"/>
  <c r="C404" i="22"/>
  <c r="B403" i="22"/>
  <c r="E400" i="22"/>
  <c r="C400" i="22"/>
  <c r="E399" i="22"/>
  <c r="C399" i="22"/>
  <c r="E398" i="22"/>
  <c r="C398" i="22"/>
  <c r="B397" i="22"/>
  <c r="E394" i="22"/>
  <c r="C394" i="22"/>
  <c r="E393" i="22"/>
  <c r="C393" i="22"/>
  <c r="E392" i="22"/>
  <c r="C392" i="22"/>
  <c r="E391" i="22"/>
  <c r="C391" i="22"/>
  <c r="E390" i="22"/>
  <c r="C390" i="22"/>
  <c r="E389" i="22"/>
  <c r="C389" i="22"/>
  <c r="E388" i="22"/>
  <c r="C388" i="22"/>
  <c r="E387" i="22"/>
  <c r="C387" i="22"/>
  <c r="E386" i="22"/>
  <c r="C386" i="22"/>
  <c r="E385" i="22"/>
  <c r="C385" i="22"/>
  <c r="E384" i="22"/>
  <c r="C384" i="22"/>
  <c r="E383" i="22"/>
  <c r="C383" i="22"/>
  <c r="E382" i="22"/>
  <c r="C382" i="22"/>
  <c r="B381" i="22"/>
  <c r="E380" i="22"/>
  <c r="C380" i="22"/>
  <c r="B380" i="22"/>
  <c r="E379" i="22"/>
  <c r="C379" i="22"/>
  <c r="E378" i="22"/>
  <c r="C378" i="22"/>
  <c r="E377" i="22"/>
  <c r="C377" i="22"/>
  <c r="E376" i="22"/>
  <c r="C376" i="22"/>
  <c r="E375" i="22"/>
  <c r="C375" i="22"/>
  <c r="E374" i="22"/>
  <c r="C374" i="22"/>
  <c r="E373" i="22"/>
  <c r="C373" i="22"/>
  <c r="E372" i="22"/>
  <c r="C372" i="22"/>
  <c r="E371" i="22"/>
  <c r="C371" i="22"/>
  <c r="E370" i="22"/>
  <c r="C370" i="22"/>
  <c r="E369" i="22"/>
  <c r="C369" i="22"/>
  <c r="E368" i="22"/>
  <c r="C368" i="22"/>
  <c r="E367" i="22"/>
  <c r="C367" i="22"/>
  <c r="E366" i="22"/>
  <c r="C366" i="22"/>
  <c r="E365" i="22"/>
  <c r="C365" i="22"/>
  <c r="E364" i="22"/>
  <c r="C364" i="22"/>
  <c r="E363" i="22"/>
  <c r="C363" i="22"/>
  <c r="E361" i="22"/>
  <c r="C361" i="22"/>
  <c r="B359" i="22"/>
  <c r="B358" i="22"/>
  <c r="E357" i="22"/>
  <c r="C357" i="22"/>
  <c r="E355" i="22"/>
  <c r="C355" i="22"/>
  <c r="E354" i="22"/>
  <c r="C354" i="22"/>
  <c r="E353" i="22"/>
  <c r="C353" i="22"/>
  <c r="E352" i="22"/>
  <c r="C352" i="22"/>
  <c r="E351" i="22"/>
  <c r="C351" i="22"/>
  <c r="E349" i="22"/>
  <c r="C349" i="22"/>
  <c r="E348" i="22"/>
  <c r="C348" i="22"/>
  <c r="E347" i="22"/>
  <c r="C347" i="22"/>
  <c r="E346" i="22"/>
  <c r="C346" i="22"/>
  <c r="E345" i="22"/>
  <c r="C345" i="22"/>
  <c r="B344" i="22"/>
  <c r="E343" i="22"/>
  <c r="C343" i="22"/>
  <c r="B341" i="22"/>
  <c r="E340" i="22"/>
  <c r="C340" i="22"/>
  <c r="E339" i="22"/>
  <c r="C339" i="22"/>
  <c r="E338" i="22"/>
  <c r="C338" i="22"/>
  <c r="E337" i="22"/>
  <c r="C337" i="22"/>
  <c r="B335" i="22"/>
  <c r="E331" i="22"/>
  <c r="C331" i="22"/>
  <c r="E330" i="22"/>
  <c r="C330" i="22"/>
  <c r="E329" i="22"/>
  <c r="E328" i="22"/>
  <c r="C328" i="22"/>
  <c r="E327" i="22"/>
  <c r="E326" i="22"/>
  <c r="C326" i="22"/>
  <c r="B324" i="22"/>
  <c r="B323" i="22"/>
  <c r="E319" i="22"/>
  <c r="C319" i="22"/>
  <c r="E318" i="22"/>
  <c r="E317" i="22"/>
  <c r="C317" i="22"/>
  <c r="E316" i="22"/>
  <c r="C316" i="22"/>
  <c r="E315" i="22"/>
  <c r="C315" i="22"/>
  <c r="E314" i="22"/>
  <c r="C314" i="22"/>
  <c r="E313" i="22"/>
  <c r="C313" i="22"/>
  <c r="E312" i="22"/>
  <c r="C312" i="22"/>
  <c r="E311" i="22"/>
  <c r="C311" i="22"/>
  <c r="E310" i="22"/>
  <c r="C310" i="22"/>
  <c r="E309" i="22"/>
  <c r="C309" i="22"/>
  <c r="E308" i="22"/>
  <c r="C308" i="22"/>
  <c r="E307" i="22"/>
  <c r="C307" i="22"/>
  <c r="E306" i="22"/>
  <c r="C306" i="22"/>
  <c r="E304" i="22"/>
  <c r="C304" i="22"/>
  <c r="E302" i="22"/>
  <c r="C302" i="22"/>
  <c r="B300" i="22"/>
  <c r="B299" i="22"/>
  <c r="E296" i="22"/>
  <c r="C296" i="22"/>
  <c r="E295" i="22"/>
  <c r="C295" i="22"/>
  <c r="E294" i="22"/>
  <c r="C294" i="22"/>
  <c r="E293" i="22"/>
  <c r="E292" i="22"/>
  <c r="C292" i="22"/>
  <c r="E291" i="22"/>
  <c r="E290" i="22"/>
  <c r="C290" i="22"/>
  <c r="B288" i="22"/>
  <c r="B287" i="22"/>
  <c r="E283" i="22"/>
  <c r="C283" i="22"/>
  <c r="E282" i="22"/>
  <c r="C282" i="22"/>
  <c r="E281" i="22"/>
  <c r="C281" i="22"/>
  <c r="E280" i="22"/>
  <c r="C280" i="22"/>
  <c r="E279" i="22"/>
  <c r="C279" i="22"/>
  <c r="E278" i="22"/>
  <c r="E277" i="22"/>
  <c r="C277" i="22"/>
  <c r="E275" i="22"/>
  <c r="C275" i="22"/>
  <c r="B273" i="22"/>
  <c r="B272" i="22"/>
  <c r="E268" i="22"/>
  <c r="C268" i="22"/>
  <c r="E267" i="22"/>
  <c r="C267" i="22"/>
  <c r="E266" i="22"/>
  <c r="C266" i="22"/>
  <c r="E265" i="22"/>
  <c r="C265" i="22"/>
  <c r="E264" i="22"/>
  <c r="C264" i="22"/>
  <c r="E263" i="22"/>
  <c r="C263" i="22"/>
  <c r="E262" i="22"/>
  <c r="C262" i="22"/>
  <c r="E261" i="22"/>
  <c r="C261" i="22"/>
  <c r="E260" i="22"/>
  <c r="C260" i="22"/>
  <c r="E259" i="22"/>
  <c r="C259" i="22"/>
  <c r="B258" i="22"/>
  <c r="E256" i="22"/>
  <c r="C256" i="22"/>
  <c r="E254" i="22"/>
  <c r="C254" i="22"/>
  <c r="E253" i="22"/>
  <c r="C253" i="22"/>
  <c r="E252" i="22"/>
  <c r="E251" i="22"/>
  <c r="C251" i="22"/>
  <c r="E250" i="22"/>
  <c r="C250" i="22"/>
  <c r="E249" i="22"/>
  <c r="E248" i="22"/>
  <c r="C248" i="22"/>
  <c r="B246" i="22"/>
  <c r="B245" i="22"/>
  <c r="E241" i="22"/>
  <c r="E240" i="22"/>
  <c r="E239" i="22"/>
  <c r="E238" i="22"/>
  <c r="E237" i="22"/>
  <c r="E236" i="22"/>
  <c r="E235" i="22"/>
  <c r="E234" i="22"/>
  <c r="E233" i="22"/>
  <c r="E232" i="22"/>
  <c r="E231" i="22"/>
  <c r="E230" i="22"/>
  <c r="E229" i="22"/>
  <c r="C229" i="22"/>
  <c r="E228" i="22"/>
  <c r="C228" i="22"/>
  <c r="E227" i="22"/>
  <c r="C227" i="22"/>
  <c r="E226" i="22"/>
  <c r="C226" i="22"/>
  <c r="E225" i="22"/>
  <c r="C225" i="22"/>
  <c r="E224" i="22"/>
  <c r="C224" i="22"/>
  <c r="E223" i="22"/>
  <c r="C223" i="22"/>
  <c r="B222" i="22"/>
  <c r="B221" i="22"/>
  <c r="E217" i="22"/>
  <c r="C217" i="22"/>
  <c r="E216" i="22"/>
  <c r="C216" i="22"/>
  <c r="E215" i="22"/>
  <c r="C215" i="22"/>
  <c r="E214" i="22"/>
  <c r="C214" i="22"/>
  <c r="E213" i="22"/>
  <c r="C213" i="22"/>
  <c r="E212" i="22"/>
  <c r="C212" i="22"/>
  <c r="E211" i="22"/>
  <c r="C211" i="22"/>
  <c r="E210" i="22"/>
  <c r="C210" i="22"/>
  <c r="E209" i="22"/>
  <c r="E208" i="22"/>
  <c r="C208" i="22"/>
  <c r="E206" i="22"/>
  <c r="C206" i="22"/>
  <c r="B205" i="22"/>
  <c r="E203" i="22"/>
  <c r="C203" i="22"/>
  <c r="E201" i="22"/>
  <c r="E200" i="22"/>
  <c r="C200" i="22"/>
  <c r="E199" i="22"/>
  <c r="C199" i="22"/>
  <c r="E198" i="22"/>
  <c r="C198" i="22"/>
  <c r="E197" i="22"/>
  <c r="C197" i="22"/>
  <c r="E196" i="22"/>
  <c r="C196" i="22"/>
  <c r="E195" i="22"/>
  <c r="C195" i="22"/>
  <c r="E193" i="22"/>
  <c r="C193" i="22"/>
  <c r="B192" i="22"/>
  <c r="E189" i="22"/>
  <c r="C189" i="22"/>
  <c r="B188" i="22"/>
  <c r="E184" i="22"/>
  <c r="E183" i="22"/>
  <c r="C183" i="22"/>
  <c r="E182" i="22"/>
  <c r="C182" i="22"/>
  <c r="E181" i="22"/>
  <c r="C181" i="22"/>
  <c r="E180" i="22"/>
  <c r="C180" i="22"/>
  <c r="E178" i="22"/>
  <c r="C178" i="22"/>
  <c r="B176" i="22"/>
  <c r="B175" i="22"/>
  <c r="E172" i="22"/>
  <c r="E171" i="22"/>
  <c r="E170" i="22"/>
  <c r="C170" i="22"/>
  <c r="E169" i="22"/>
  <c r="C169" i="22"/>
  <c r="E168" i="22"/>
  <c r="C168" i="22"/>
  <c r="E167" i="22"/>
  <c r="C167" i="22"/>
  <c r="E166" i="22"/>
  <c r="C166" i="22"/>
  <c r="E165" i="22"/>
  <c r="C165" i="22"/>
  <c r="E164" i="22"/>
  <c r="C164" i="22"/>
  <c r="E163" i="22"/>
  <c r="C163" i="22"/>
  <c r="E162" i="22"/>
  <c r="C162" i="22"/>
  <c r="E161" i="22"/>
  <c r="C161" i="22"/>
  <c r="E160" i="22"/>
  <c r="C160" i="22"/>
  <c r="E159" i="22"/>
  <c r="C159" i="22"/>
  <c r="E158" i="22"/>
  <c r="C158" i="22"/>
  <c r="B156" i="22"/>
  <c r="B155" i="22"/>
  <c r="E151" i="22"/>
  <c r="E150" i="22"/>
  <c r="E149" i="22"/>
  <c r="C149" i="22"/>
  <c r="E148" i="22"/>
  <c r="C148" i="22"/>
  <c r="E147" i="22"/>
  <c r="C147" i="22"/>
  <c r="E146" i="22"/>
  <c r="C146" i="22"/>
  <c r="E145" i="22"/>
  <c r="C145" i="22"/>
  <c r="E144" i="22"/>
  <c r="C144" i="22"/>
  <c r="E143" i="22"/>
  <c r="C143" i="22"/>
  <c r="E142" i="22"/>
  <c r="C142" i="22"/>
  <c r="E141" i="22"/>
  <c r="C141" i="22"/>
  <c r="E140" i="22"/>
  <c r="C140" i="22"/>
  <c r="E139" i="22"/>
  <c r="C139" i="22"/>
  <c r="E138" i="22"/>
  <c r="C138" i="22"/>
  <c r="E137" i="22"/>
  <c r="C137" i="22"/>
  <c r="E136" i="22"/>
  <c r="C136" i="22"/>
  <c r="B134" i="22"/>
  <c r="B133" i="22"/>
  <c r="E129" i="22"/>
  <c r="E128" i="22"/>
  <c r="E127" i="22"/>
  <c r="E126" i="22"/>
  <c r="C126" i="22"/>
  <c r="E125" i="22"/>
  <c r="C125" i="22"/>
  <c r="E124" i="22"/>
  <c r="C124" i="22"/>
  <c r="E123" i="22"/>
  <c r="C123" i="22"/>
  <c r="E122" i="22"/>
  <c r="C122" i="22"/>
  <c r="E121" i="22"/>
  <c r="C121" i="22"/>
  <c r="E120" i="22"/>
  <c r="C120" i="22"/>
  <c r="E119" i="22"/>
  <c r="C119" i="22"/>
  <c r="E118" i="22"/>
  <c r="C118" i="22"/>
  <c r="E117" i="22"/>
  <c r="C117" i="22"/>
  <c r="E116" i="22"/>
  <c r="C116" i="22"/>
  <c r="E115" i="22"/>
  <c r="C115" i="22"/>
  <c r="E114" i="22"/>
  <c r="C114" i="22"/>
  <c r="E113" i="22"/>
  <c r="C113" i="22"/>
  <c r="E112" i="22"/>
  <c r="C112" i="22"/>
  <c r="E111" i="22"/>
  <c r="C111" i="22"/>
  <c r="E110" i="22"/>
  <c r="C110" i="22"/>
  <c r="E109" i="22"/>
  <c r="C109" i="22"/>
  <c r="B107" i="22"/>
  <c r="B106" i="22"/>
  <c r="E104" i="22"/>
  <c r="C104" i="22"/>
  <c r="E102" i="22"/>
  <c r="C102" i="22"/>
  <c r="E101" i="22"/>
  <c r="C101" i="22"/>
  <c r="E100" i="22"/>
  <c r="C100" i="22"/>
  <c r="E99" i="22"/>
  <c r="C99" i="22"/>
  <c r="E98" i="22"/>
  <c r="C98" i="22"/>
  <c r="E97" i="22"/>
  <c r="C97" i="22"/>
  <c r="E96" i="22"/>
  <c r="C96" i="22"/>
  <c r="E95" i="22"/>
  <c r="C95" i="22"/>
  <c r="E94" i="22"/>
  <c r="C94" i="22"/>
  <c r="B93" i="22"/>
  <c r="E89" i="22"/>
  <c r="C89" i="22"/>
  <c r="E88" i="22"/>
  <c r="C88" i="22"/>
  <c r="E87" i="22"/>
  <c r="C87" i="22"/>
  <c r="E86" i="22"/>
  <c r="C86" i="22"/>
  <c r="B84" i="22"/>
  <c r="E83" i="22"/>
  <c r="C83" i="22"/>
  <c r="E82" i="22"/>
  <c r="E81" i="22"/>
  <c r="E80" i="22"/>
  <c r="E79" i="22"/>
  <c r="C79" i="22"/>
  <c r="E78" i="22"/>
  <c r="C78" i="22"/>
  <c r="E77" i="22"/>
  <c r="E76" i="22"/>
  <c r="C76" i="22"/>
  <c r="E75" i="22"/>
  <c r="C75" i="22"/>
  <c r="E74" i="22"/>
  <c r="C74" i="22"/>
  <c r="E73" i="22"/>
  <c r="C73" i="22"/>
  <c r="B72" i="22"/>
  <c r="E70" i="22"/>
  <c r="C70" i="22"/>
  <c r="B70" i="22"/>
  <c r="E68" i="22"/>
  <c r="C68" i="22"/>
  <c r="E67" i="22"/>
  <c r="C67" i="22"/>
  <c r="E66" i="22"/>
  <c r="C66" i="22"/>
  <c r="E65" i="22"/>
  <c r="C65" i="22"/>
  <c r="E64" i="22"/>
  <c r="C64" i="22"/>
  <c r="E63" i="22"/>
  <c r="C63" i="22"/>
  <c r="E62" i="22"/>
  <c r="C62" i="22"/>
  <c r="E61" i="22"/>
  <c r="C61" i="22"/>
  <c r="E59" i="22"/>
  <c r="C59" i="22"/>
  <c r="E58" i="22"/>
  <c r="C58" i="22"/>
  <c r="B58" i="22"/>
  <c r="E56" i="22"/>
  <c r="C56" i="22"/>
  <c r="B54" i="22"/>
  <c r="B53" i="22"/>
  <c r="E50" i="22"/>
  <c r="C50" i="22"/>
  <c r="E49" i="22"/>
  <c r="C49" i="22"/>
  <c r="E48" i="22"/>
  <c r="C48" i="22"/>
  <c r="E47" i="22"/>
  <c r="C47" i="22"/>
  <c r="E46" i="22"/>
  <c r="C46" i="22"/>
  <c r="E45" i="22"/>
  <c r="C45" i="22"/>
  <c r="E44" i="22"/>
  <c r="C44" i="22"/>
  <c r="E43" i="22"/>
  <c r="C43" i="22"/>
  <c r="E42" i="22"/>
  <c r="C42" i="22"/>
  <c r="E41" i="22"/>
  <c r="C41" i="22"/>
  <c r="E40" i="22"/>
  <c r="C40" i="22"/>
  <c r="E39" i="22"/>
  <c r="C39" i="22"/>
  <c r="E38" i="22"/>
  <c r="C38" i="22"/>
  <c r="E37" i="22"/>
  <c r="C37" i="22"/>
  <c r="E36" i="22"/>
  <c r="C36" i="22"/>
  <c r="E34" i="22"/>
  <c r="C34" i="22"/>
  <c r="B34" i="22"/>
  <c r="E33" i="22"/>
  <c r="C33" i="22"/>
  <c r="E32" i="22"/>
  <c r="C32" i="22"/>
  <c r="E31" i="22"/>
  <c r="C31" i="22"/>
  <c r="E30" i="22"/>
  <c r="C30" i="22"/>
  <c r="E29" i="22"/>
  <c r="C29" i="22"/>
  <c r="E28" i="22"/>
  <c r="C28" i="22"/>
  <c r="B27" i="22"/>
  <c r="C24" i="22"/>
  <c r="E23" i="22"/>
  <c r="C23" i="22"/>
  <c r="E22" i="22"/>
  <c r="C22" i="22"/>
  <c r="E21" i="22"/>
  <c r="C21" i="22"/>
  <c r="E20" i="22"/>
  <c r="C20" i="22"/>
  <c r="E19" i="22"/>
  <c r="C19" i="22"/>
  <c r="E18" i="22"/>
  <c r="C18" i="22"/>
  <c r="E17" i="22"/>
  <c r="C17" i="22"/>
  <c r="E16" i="22"/>
  <c r="C16" i="22"/>
  <c r="E15" i="22"/>
  <c r="C15" i="22"/>
  <c r="E14" i="22"/>
  <c r="C14" i="22"/>
  <c r="E13" i="22"/>
  <c r="C13" i="22"/>
  <c r="E12" i="22"/>
  <c r="C12" i="22"/>
  <c r="E11" i="22"/>
  <c r="C11" i="22"/>
  <c r="E10" i="22"/>
  <c r="C10" i="22"/>
  <c r="E9" i="22"/>
  <c r="C9" i="22"/>
  <c r="E8" i="22"/>
  <c r="C8" i="22"/>
  <c r="E7" i="22"/>
  <c r="C7" i="22"/>
  <c r="E6" i="22"/>
  <c r="C6" i="22"/>
  <c r="E5" i="22"/>
  <c r="C5" i="22"/>
  <c r="B4" i="22"/>
  <c r="E639" i="21"/>
  <c r="C639" i="21"/>
  <c r="E637" i="21"/>
  <c r="C637" i="21"/>
  <c r="E636" i="21"/>
  <c r="C636" i="21"/>
  <c r="E635" i="21"/>
  <c r="C635" i="21"/>
  <c r="E634" i="21"/>
  <c r="C634" i="21"/>
  <c r="E633" i="21"/>
  <c r="C633" i="21"/>
  <c r="E632" i="21"/>
  <c r="C632" i="21"/>
  <c r="E631" i="21"/>
  <c r="C631" i="21"/>
  <c r="E630" i="21"/>
  <c r="C630" i="21"/>
  <c r="E628" i="21"/>
  <c r="C628" i="21"/>
  <c r="E626" i="21"/>
  <c r="C626" i="21"/>
  <c r="E624" i="21"/>
  <c r="C624" i="21"/>
  <c r="B623" i="21"/>
  <c r="B621" i="21"/>
  <c r="B620" i="21"/>
  <c r="E618" i="21"/>
  <c r="C618" i="21"/>
  <c r="E617" i="21"/>
  <c r="C617" i="21"/>
  <c r="E616" i="21"/>
  <c r="C616" i="21"/>
  <c r="E615" i="21"/>
  <c r="C615" i="21"/>
  <c r="E614" i="21"/>
  <c r="C614" i="21"/>
  <c r="E613" i="21"/>
  <c r="C613" i="21"/>
  <c r="E612" i="21"/>
  <c r="C612" i="21"/>
  <c r="E611" i="21"/>
  <c r="C611" i="21"/>
  <c r="B610" i="21"/>
  <c r="B608" i="21"/>
  <c r="B607" i="21"/>
  <c r="E603" i="21"/>
  <c r="E602" i="21"/>
  <c r="C602" i="21"/>
  <c r="E601" i="21"/>
  <c r="C601" i="21"/>
  <c r="E600" i="21"/>
  <c r="C600" i="21"/>
  <c r="E599" i="21"/>
  <c r="C599" i="21"/>
  <c r="E598" i="21"/>
  <c r="C598" i="21"/>
  <c r="E597" i="21"/>
  <c r="E596" i="21"/>
  <c r="C596" i="21"/>
  <c r="E595" i="21"/>
  <c r="E594" i="21"/>
  <c r="C594" i="21"/>
  <c r="E593" i="21"/>
  <c r="C593" i="21"/>
  <c r="E592" i="21"/>
  <c r="C592" i="21"/>
  <c r="E591" i="21"/>
  <c r="C591" i="21"/>
  <c r="E590" i="21"/>
  <c r="E589" i="21"/>
  <c r="C589" i="21"/>
  <c r="E588" i="21"/>
  <c r="E587" i="21"/>
  <c r="C587" i="21"/>
  <c r="E586" i="21"/>
  <c r="E585" i="21"/>
  <c r="C585" i="21"/>
  <c r="B584" i="21"/>
  <c r="B582" i="21"/>
  <c r="B581" i="21"/>
  <c r="E579" i="21"/>
  <c r="C579" i="21"/>
  <c r="E577" i="21"/>
  <c r="C577" i="21"/>
  <c r="E576" i="21"/>
  <c r="C576" i="21"/>
  <c r="E575" i="21"/>
  <c r="C575" i="21"/>
  <c r="E574" i="21"/>
  <c r="C574" i="21"/>
  <c r="E573" i="21"/>
  <c r="C573" i="21"/>
  <c r="E572" i="21"/>
  <c r="C572" i="21"/>
  <c r="E571" i="21"/>
  <c r="C571" i="21"/>
  <c r="E570" i="21"/>
  <c r="C570" i="21"/>
  <c r="E569" i="21"/>
  <c r="C569" i="21"/>
  <c r="E568" i="21"/>
  <c r="C568" i="21"/>
  <c r="E567" i="21"/>
  <c r="C567" i="21"/>
  <c r="E566" i="21"/>
  <c r="C566" i="21"/>
  <c r="E565" i="21"/>
  <c r="C565" i="21"/>
  <c r="E564" i="21"/>
  <c r="C564" i="21"/>
  <c r="E563" i="21"/>
  <c r="C563" i="21"/>
  <c r="E562" i="21"/>
  <c r="C562" i="21"/>
  <c r="E561" i="21"/>
  <c r="C561" i="21"/>
  <c r="E560" i="21"/>
  <c r="C560" i="21"/>
  <c r="E559" i="21"/>
  <c r="C559" i="21"/>
  <c r="E558" i="21"/>
  <c r="C558" i="21"/>
  <c r="E557" i="21"/>
  <c r="C557" i="21"/>
  <c r="E556" i="21"/>
  <c r="C556" i="21"/>
  <c r="B555" i="21"/>
  <c r="E554" i="21"/>
  <c r="C554" i="21"/>
  <c r="B554" i="21"/>
  <c r="B553" i="21"/>
  <c r="B552" i="21"/>
  <c r="E549" i="21"/>
  <c r="E548" i="21"/>
  <c r="E547" i="21"/>
  <c r="C547" i="21"/>
  <c r="E546" i="21"/>
  <c r="C546" i="21"/>
  <c r="E545" i="21"/>
  <c r="C545" i="21"/>
  <c r="E544" i="21"/>
  <c r="C544" i="21"/>
  <c r="E543" i="21"/>
  <c r="C543" i="21"/>
  <c r="E542" i="21"/>
  <c r="C542" i="21"/>
  <c r="E541" i="21"/>
  <c r="C541" i="21"/>
  <c r="E540" i="21"/>
  <c r="C540" i="21"/>
  <c r="E539" i="21"/>
  <c r="C539" i="21"/>
  <c r="E538" i="21"/>
  <c r="C538" i="21"/>
  <c r="E537" i="21"/>
  <c r="C537" i="21"/>
  <c r="E536" i="21"/>
  <c r="C536" i="21"/>
  <c r="E535" i="21"/>
  <c r="C535" i="21"/>
  <c r="E534" i="21"/>
  <c r="C534" i="21"/>
  <c r="E533" i="21"/>
  <c r="C533" i="21"/>
  <c r="E532" i="21"/>
  <c r="C532" i="21"/>
  <c r="E531" i="21"/>
  <c r="C531" i="21"/>
  <c r="E530" i="21"/>
  <c r="C530" i="21"/>
  <c r="E529" i="21"/>
  <c r="C529" i="21"/>
  <c r="E528" i="21"/>
  <c r="C528" i="21"/>
  <c r="E527" i="21"/>
  <c r="C527" i="21"/>
  <c r="B526" i="21"/>
  <c r="E522" i="21"/>
  <c r="C522" i="21"/>
  <c r="E521" i="21"/>
  <c r="C521" i="21"/>
  <c r="E520" i="21"/>
  <c r="C520" i="21"/>
  <c r="E519" i="21"/>
  <c r="C519" i="21"/>
  <c r="E518" i="21"/>
  <c r="C518" i="21"/>
  <c r="B518" i="21"/>
  <c r="E517" i="21"/>
  <c r="C517" i="21"/>
  <c r="B517" i="21"/>
  <c r="E516" i="21"/>
  <c r="C516" i="21"/>
  <c r="E515" i="21"/>
  <c r="C515" i="21"/>
  <c r="E514" i="21"/>
  <c r="C514" i="21"/>
  <c r="E513" i="21"/>
  <c r="C513" i="21"/>
  <c r="B513" i="21"/>
  <c r="B512" i="21"/>
  <c r="B511" i="21"/>
  <c r="E509" i="21"/>
  <c r="C509" i="21"/>
  <c r="E507" i="21"/>
  <c r="C507" i="21"/>
  <c r="B507" i="21"/>
  <c r="E506" i="21"/>
  <c r="C506" i="21"/>
  <c r="B506" i="21"/>
  <c r="E504" i="21"/>
  <c r="C504" i="21"/>
  <c r="E502" i="21"/>
  <c r="C502" i="21"/>
  <c r="B502" i="21"/>
  <c r="B500" i="21"/>
  <c r="E497" i="21"/>
  <c r="C497" i="21"/>
  <c r="E496" i="21"/>
  <c r="C496" i="21"/>
  <c r="E495" i="21"/>
  <c r="C495" i="21"/>
  <c r="E494" i="21"/>
  <c r="C494" i="21"/>
  <c r="E493" i="21"/>
  <c r="C493" i="21"/>
  <c r="E492" i="21"/>
  <c r="C492" i="21"/>
  <c r="E491" i="21"/>
  <c r="C491" i="21"/>
  <c r="E490" i="21"/>
  <c r="C490" i="21"/>
  <c r="E489" i="21"/>
  <c r="C489" i="21"/>
  <c r="E488" i="21"/>
  <c r="C488" i="21"/>
  <c r="E487" i="21"/>
  <c r="C487" i="21"/>
  <c r="E486" i="21"/>
  <c r="C486" i="21"/>
  <c r="B485" i="21"/>
  <c r="B484" i="21"/>
  <c r="E481" i="21"/>
  <c r="C481" i="21"/>
  <c r="E480" i="21"/>
  <c r="C480" i="21"/>
  <c r="E479" i="21"/>
  <c r="C479" i="21"/>
  <c r="E478" i="21"/>
  <c r="C478" i="21"/>
  <c r="E477" i="21"/>
  <c r="C477" i="21"/>
  <c r="E476" i="21"/>
  <c r="C476" i="21"/>
  <c r="E475" i="21"/>
  <c r="C475" i="21"/>
  <c r="E474" i="21"/>
  <c r="C474" i="21"/>
  <c r="E473" i="21"/>
  <c r="C473" i="21"/>
  <c r="B472" i="21"/>
  <c r="B471" i="21"/>
  <c r="E470" i="21"/>
  <c r="C470" i="21"/>
  <c r="E469" i="21"/>
  <c r="C469" i="21"/>
  <c r="E468" i="21"/>
  <c r="C468" i="21"/>
  <c r="E467" i="21"/>
  <c r="C467" i="21"/>
  <c r="E466" i="21"/>
  <c r="C466" i="21"/>
  <c r="E465" i="21"/>
  <c r="C465" i="21"/>
  <c r="E464" i="21"/>
  <c r="C464" i="21"/>
  <c r="E463" i="21"/>
  <c r="C463" i="21"/>
  <c r="E462" i="21"/>
  <c r="C462" i="21"/>
  <c r="B461" i="21"/>
  <c r="B460" i="21"/>
  <c r="B459" i="21"/>
  <c r="E456" i="21"/>
  <c r="C456" i="21"/>
  <c r="E455" i="21"/>
  <c r="C455" i="21"/>
  <c r="E454" i="21"/>
  <c r="C454" i="21"/>
  <c r="E453" i="21"/>
  <c r="C453" i="21"/>
  <c r="E452" i="21"/>
  <c r="C452" i="21"/>
  <c r="E451" i="21"/>
  <c r="C451" i="21"/>
  <c r="E450" i="21"/>
  <c r="C450" i="21"/>
  <c r="E449" i="21"/>
  <c r="C449" i="21"/>
  <c r="E448" i="21"/>
  <c r="C448" i="21"/>
  <c r="E447" i="21"/>
  <c r="C447" i="21"/>
  <c r="E446" i="21"/>
  <c r="C446" i="21"/>
  <c r="E445" i="21"/>
  <c r="C445" i="21"/>
  <c r="E444" i="21"/>
  <c r="C444" i="21"/>
  <c r="E443" i="21"/>
  <c r="C443" i="21"/>
  <c r="E442" i="21"/>
  <c r="C442" i="21"/>
  <c r="B441" i="21"/>
  <c r="B440" i="21"/>
  <c r="E438" i="21"/>
  <c r="C438" i="21"/>
  <c r="E437" i="21"/>
  <c r="C437" i="21"/>
  <c r="E436" i="21"/>
  <c r="C436" i="21"/>
  <c r="E435" i="21"/>
  <c r="C435" i="21"/>
  <c r="E434" i="21"/>
  <c r="C434" i="21"/>
  <c r="E433" i="21"/>
  <c r="C433" i="21"/>
  <c r="E432" i="21"/>
  <c r="C432" i="21"/>
  <c r="E431" i="21"/>
  <c r="C431" i="21"/>
  <c r="E430" i="21"/>
  <c r="C430" i="21"/>
  <c r="E429" i="21"/>
  <c r="C429" i="21"/>
  <c r="E428" i="21"/>
  <c r="C428" i="21"/>
  <c r="E427" i="21"/>
  <c r="C427" i="21"/>
  <c r="E426" i="21"/>
  <c r="C426" i="21"/>
  <c r="E425" i="21"/>
  <c r="C425" i="21"/>
  <c r="E424" i="21"/>
  <c r="C424" i="21"/>
  <c r="E423" i="21"/>
  <c r="C423" i="21"/>
  <c r="E422" i="21"/>
  <c r="C422" i="21"/>
  <c r="B421" i="21"/>
  <c r="B420" i="21"/>
  <c r="E417" i="21"/>
  <c r="E416" i="21"/>
  <c r="E415" i="21"/>
  <c r="E414" i="21"/>
  <c r="E413" i="21"/>
  <c r="E412" i="21"/>
  <c r="E411" i="21"/>
  <c r="E410" i="21"/>
  <c r="C410" i="21"/>
  <c r="E409" i="21"/>
  <c r="E408" i="21"/>
  <c r="C408" i="21"/>
  <c r="B407" i="21"/>
  <c r="E403" i="21"/>
  <c r="C403" i="21"/>
  <c r="E402" i="21"/>
  <c r="C402" i="21"/>
  <c r="E401" i="21"/>
  <c r="C401" i="21"/>
  <c r="B400" i="21"/>
  <c r="E397" i="21"/>
  <c r="C397" i="21"/>
  <c r="E396" i="21"/>
  <c r="C396" i="21"/>
  <c r="E395" i="21"/>
  <c r="C395" i="21"/>
  <c r="B394" i="21"/>
  <c r="E390" i="21"/>
  <c r="C390" i="21"/>
  <c r="E389" i="21"/>
  <c r="C389" i="21"/>
  <c r="E388" i="21"/>
  <c r="C388" i="21"/>
  <c r="E387" i="21"/>
  <c r="C387" i="21"/>
  <c r="E386" i="21"/>
  <c r="C386" i="21"/>
  <c r="E385" i="21"/>
  <c r="C385" i="21"/>
  <c r="E384" i="21"/>
  <c r="C384" i="21"/>
  <c r="E383" i="21"/>
  <c r="C383" i="21"/>
  <c r="E382" i="21"/>
  <c r="C382" i="21"/>
  <c r="E381" i="21"/>
  <c r="C381" i="21"/>
  <c r="E380" i="21"/>
  <c r="C380" i="21"/>
  <c r="E379" i="21"/>
  <c r="C379" i="21"/>
  <c r="E378" i="21"/>
  <c r="C378" i="21"/>
  <c r="B377" i="21"/>
  <c r="E376" i="21"/>
  <c r="C376" i="21"/>
  <c r="B376" i="21"/>
  <c r="E375" i="21"/>
  <c r="C375" i="21"/>
  <c r="E374" i="21"/>
  <c r="C374" i="21"/>
  <c r="E373" i="21"/>
  <c r="C373" i="21"/>
  <c r="E372" i="21"/>
  <c r="C372" i="21"/>
  <c r="E371" i="21"/>
  <c r="C371" i="21"/>
  <c r="E370" i="21"/>
  <c r="C370" i="21"/>
  <c r="E369" i="21"/>
  <c r="C369" i="21"/>
  <c r="E368" i="21"/>
  <c r="C368" i="21"/>
  <c r="E367" i="21"/>
  <c r="C367" i="21"/>
  <c r="E366" i="21"/>
  <c r="C366" i="21"/>
  <c r="E365" i="21"/>
  <c r="C365" i="21"/>
  <c r="E364" i="21"/>
  <c r="C364" i="21"/>
  <c r="E363" i="21"/>
  <c r="C363" i="21"/>
  <c r="E362" i="21"/>
  <c r="C362" i="21"/>
  <c r="E361" i="21"/>
  <c r="C361" i="21"/>
  <c r="E360" i="21"/>
  <c r="C360" i="21"/>
  <c r="E359" i="21"/>
  <c r="C359" i="21"/>
  <c r="E357" i="21"/>
  <c r="C357" i="21"/>
  <c r="B355" i="21"/>
  <c r="B354" i="21"/>
  <c r="E353" i="21"/>
  <c r="C353" i="21"/>
  <c r="E351" i="21"/>
  <c r="C351" i="21"/>
  <c r="E350" i="21"/>
  <c r="C350" i="21"/>
  <c r="E349" i="21"/>
  <c r="C349" i="21"/>
  <c r="E348" i="21"/>
  <c r="C348" i="21"/>
  <c r="E347" i="21"/>
  <c r="C347" i="21"/>
  <c r="E345" i="21"/>
  <c r="C345" i="21"/>
  <c r="E344" i="21"/>
  <c r="C344" i="21"/>
  <c r="E343" i="21"/>
  <c r="C343" i="21"/>
  <c r="E342" i="21"/>
  <c r="C342" i="21"/>
  <c r="E341" i="21"/>
  <c r="C341" i="21"/>
  <c r="B340" i="21"/>
  <c r="E339" i="21"/>
  <c r="C339" i="21"/>
  <c r="B337" i="21"/>
  <c r="E336" i="21"/>
  <c r="C336" i="21"/>
  <c r="E335" i="21"/>
  <c r="C335" i="21"/>
  <c r="E334" i="21"/>
  <c r="C334" i="21"/>
  <c r="E333" i="21"/>
  <c r="C333" i="21"/>
  <c r="B331" i="21"/>
  <c r="E328" i="21"/>
  <c r="C328" i="21"/>
  <c r="E327" i="21"/>
  <c r="C327" i="21"/>
  <c r="E326" i="21"/>
  <c r="C326" i="21"/>
  <c r="E325" i="21"/>
  <c r="E324" i="21"/>
  <c r="C324" i="21"/>
  <c r="E323" i="21"/>
  <c r="E322" i="21"/>
  <c r="C322" i="21"/>
  <c r="B320" i="21"/>
  <c r="B319" i="21"/>
  <c r="E315" i="21"/>
  <c r="C315" i="21"/>
  <c r="E314" i="21"/>
  <c r="E313" i="21"/>
  <c r="C313" i="21"/>
  <c r="E312" i="21"/>
  <c r="C312" i="21"/>
  <c r="E311" i="21"/>
  <c r="C311" i="21"/>
  <c r="E310" i="21"/>
  <c r="C310" i="21"/>
  <c r="E309" i="21"/>
  <c r="C309" i="21"/>
  <c r="E308" i="21"/>
  <c r="C308" i="21"/>
  <c r="E307" i="21"/>
  <c r="C307" i="21"/>
  <c r="E306" i="21"/>
  <c r="C306" i="21"/>
  <c r="E305" i="21"/>
  <c r="C305" i="21"/>
  <c r="E304" i="21"/>
  <c r="C304" i="21"/>
  <c r="E303" i="21"/>
  <c r="C303" i="21"/>
  <c r="E302" i="21"/>
  <c r="C302" i="21"/>
  <c r="E300" i="21"/>
  <c r="C300" i="21"/>
  <c r="E298" i="21"/>
  <c r="C298" i="21"/>
  <c r="B296" i="21"/>
  <c r="B295" i="21"/>
  <c r="E292" i="21"/>
  <c r="C292" i="21"/>
  <c r="E291" i="21"/>
  <c r="C291" i="21"/>
  <c r="E290" i="21"/>
  <c r="C290" i="21"/>
  <c r="E289" i="21"/>
  <c r="E288" i="21"/>
  <c r="C288" i="21"/>
  <c r="E287" i="21"/>
  <c r="E286" i="21"/>
  <c r="C286" i="21"/>
  <c r="B284" i="21"/>
  <c r="B283" i="21"/>
  <c r="E280" i="21"/>
  <c r="C280" i="21"/>
  <c r="E279" i="21"/>
  <c r="C279" i="21"/>
  <c r="E278" i="21"/>
  <c r="C278" i="21"/>
  <c r="E277" i="21"/>
  <c r="C277" i="21"/>
  <c r="E276" i="21"/>
  <c r="C276" i="21"/>
  <c r="E275" i="21"/>
  <c r="C275" i="21"/>
  <c r="E274" i="21"/>
  <c r="E273" i="21"/>
  <c r="C273" i="21"/>
  <c r="E271" i="21"/>
  <c r="C271" i="21"/>
  <c r="B269" i="21"/>
  <c r="B268" i="21"/>
  <c r="E264" i="21"/>
  <c r="C264" i="21"/>
  <c r="E263" i="21"/>
  <c r="C263" i="21"/>
  <c r="E262" i="21"/>
  <c r="C262" i="21"/>
  <c r="E261" i="21"/>
  <c r="C261" i="21"/>
  <c r="E260" i="21"/>
  <c r="C260" i="21"/>
  <c r="E259" i="21"/>
  <c r="C259" i="21"/>
  <c r="E258" i="21"/>
  <c r="C258" i="21"/>
  <c r="E257" i="21"/>
  <c r="C257" i="21"/>
  <c r="E256" i="21"/>
  <c r="C256" i="21"/>
  <c r="E255" i="21"/>
  <c r="C255" i="21"/>
  <c r="B254" i="21"/>
  <c r="E252" i="21"/>
  <c r="C252" i="21"/>
  <c r="E250" i="21"/>
  <c r="C250" i="21"/>
  <c r="E249" i="21"/>
  <c r="C249" i="21"/>
  <c r="E248" i="21"/>
  <c r="C248" i="21"/>
  <c r="E247" i="21"/>
  <c r="C247" i="21"/>
  <c r="E246" i="21"/>
  <c r="C246" i="21"/>
  <c r="E245" i="21"/>
  <c r="C245" i="21"/>
  <c r="E244" i="21"/>
  <c r="C244" i="21"/>
  <c r="E243" i="21"/>
  <c r="C243" i="21"/>
  <c r="E242" i="21"/>
  <c r="C242" i="21"/>
  <c r="E241" i="21"/>
  <c r="E240" i="21"/>
  <c r="C240" i="21"/>
  <c r="E239" i="21"/>
  <c r="C239" i="21"/>
  <c r="E238" i="21"/>
  <c r="E237" i="21"/>
  <c r="C237" i="21"/>
  <c r="B235" i="21"/>
  <c r="B234" i="21"/>
  <c r="E230" i="21"/>
  <c r="E229" i="21"/>
  <c r="E228" i="21"/>
  <c r="E227" i="21"/>
  <c r="E226" i="21"/>
  <c r="E225" i="21"/>
  <c r="E224" i="21"/>
  <c r="E223" i="21"/>
  <c r="E222" i="21"/>
  <c r="C222" i="21"/>
  <c r="E221" i="21"/>
  <c r="C221" i="21"/>
  <c r="E220" i="21"/>
  <c r="C220" i="21"/>
  <c r="E219" i="21"/>
  <c r="C219" i="21"/>
  <c r="E218" i="21"/>
  <c r="C218" i="21"/>
  <c r="E217" i="21"/>
  <c r="C217" i="21"/>
  <c r="E216" i="21"/>
  <c r="C216" i="21"/>
  <c r="B215" i="21"/>
  <c r="E214" i="21"/>
  <c r="E213" i="21"/>
  <c r="C213" i="21"/>
  <c r="E211" i="21"/>
  <c r="C211" i="21"/>
  <c r="B210" i="21"/>
  <c r="E207" i="21"/>
  <c r="C207" i="21"/>
  <c r="E206" i="21"/>
  <c r="C206" i="21"/>
  <c r="E205" i="21"/>
  <c r="C205" i="21"/>
  <c r="E204" i="21"/>
  <c r="C204" i="21"/>
  <c r="E203" i="21"/>
  <c r="C203" i="21"/>
  <c r="E202" i="21"/>
  <c r="C202" i="21"/>
  <c r="E200" i="21"/>
  <c r="C200" i="21"/>
  <c r="B199" i="21"/>
  <c r="E196" i="21"/>
  <c r="C196" i="21"/>
  <c r="B195" i="21"/>
  <c r="E191" i="21"/>
  <c r="E190" i="21"/>
  <c r="C190" i="21"/>
  <c r="E189" i="21"/>
  <c r="C189" i="21"/>
  <c r="E188" i="21"/>
  <c r="C188" i="21"/>
  <c r="E187" i="21"/>
  <c r="C187" i="21"/>
  <c r="E185" i="21"/>
  <c r="C185" i="21"/>
  <c r="B183" i="21"/>
  <c r="B182" i="21"/>
  <c r="E178" i="21"/>
  <c r="E177" i="21"/>
  <c r="C177" i="21"/>
  <c r="E176" i="21"/>
  <c r="C176" i="21"/>
  <c r="E175" i="21"/>
  <c r="C175" i="21"/>
  <c r="E174" i="21"/>
  <c r="C174" i="21"/>
  <c r="E173" i="21"/>
  <c r="C173" i="21"/>
  <c r="E172" i="21"/>
  <c r="C172" i="21"/>
  <c r="E171" i="21"/>
  <c r="C171" i="21"/>
  <c r="E170" i="21"/>
  <c r="C170" i="21"/>
  <c r="E169" i="21"/>
  <c r="C169" i="21"/>
  <c r="E168" i="21"/>
  <c r="C168" i="21"/>
  <c r="E167" i="21"/>
  <c r="C167" i="21"/>
  <c r="E166" i="21"/>
  <c r="C166" i="21"/>
  <c r="E165" i="21"/>
  <c r="C165" i="21"/>
  <c r="B163" i="21"/>
  <c r="B162" i="21"/>
  <c r="E158" i="21"/>
  <c r="E157" i="21"/>
  <c r="E156" i="21"/>
  <c r="C156" i="21"/>
  <c r="E155" i="21"/>
  <c r="C155" i="21"/>
  <c r="E154" i="21"/>
  <c r="C154" i="21"/>
  <c r="E153" i="21"/>
  <c r="C153" i="21"/>
  <c r="E152" i="21"/>
  <c r="C152" i="21"/>
  <c r="E151" i="21"/>
  <c r="C151" i="21"/>
  <c r="E150" i="21"/>
  <c r="C150" i="21"/>
  <c r="E149" i="21"/>
  <c r="C149" i="21"/>
  <c r="E148" i="21"/>
  <c r="C148" i="21"/>
  <c r="E147" i="21"/>
  <c r="C147" i="21"/>
  <c r="E146" i="21"/>
  <c r="C146" i="21"/>
  <c r="E145" i="21"/>
  <c r="C145" i="21"/>
  <c r="E144" i="21"/>
  <c r="C144" i="21"/>
  <c r="E143" i="21"/>
  <c r="C143" i="21"/>
  <c r="B141" i="21"/>
  <c r="B140" i="21"/>
  <c r="E136" i="21"/>
  <c r="E135" i="21"/>
  <c r="E134" i="21"/>
  <c r="E133" i="21"/>
  <c r="C133" i="21"/>
  <c r="E132" i="21"/>
  <c r="C132" i="21"/>
  <c r="E131" i="21"/>
  <c r="C131" i="21"/>
  <c r="E130" i="21"/>
  <c r="C130" i="21"/>
  <c r="E129" i="21"/>
  <c r="C129" i="21"/>
  <c r="E128" i="21"/>
  <c r="C128" i="21"/>
  <c r="E127" i="21"/>
  <c r="C127" i="21"/>
  <c r="E126" i="21"/>
  <c r="C126" i="21"/>
  <c r="E125" i="21"/>
  <c r="C125" i="21"/>
  <c r="E124" i="21"/>
  <c r="C124" i="21"/>
  <c r="E123" i="21"/>
  <c r="C123" i="21"/>
  <c r="E122" i="21"/>
  <c r="C122" i="21"/>
  <c r="E121" i="21"/>
  <c r="C121" i="21"/>
  <c r="E120" i="21"/>
  <c r="C120" i="21"/>
  <c r="E119" i="21"/>
  <c r="C119" i="21"/>
  <c r="E118" i="21"/>
  <c r="C118" i="21"/>
  <c r="E117" i="21"/>
  <c r="C117" i="21"/>
  <c r="E116" i="21"/>
  <c r="C116" i="21"/>
  <c r="B114" i="21"/>
  <c r="B113" i="21"/>
  <c r="E111" i="21"/>
  <c r="C111" i="21"/>
  <c r="E109" i="21"/>
  <c r="C109" i="21"/>
  <c r="E108" i="21"/>
  <c r="C108" i="21"/>
  <c r="E107" i="21"/>
  <c r="C107" i="21"/>
  <c r="E106" i="21"/>
  <c r="C106" i="21"/>
  <c r="E105" i="21"/>
  <c r="C105" i="21"/>
  <c r="E104" i="21"/>
  <c r="C104" i="21"/>
  <c r="E103" i="21"/>
  <c r="C103" i="21"/>
  <c r="E102" i="21"/>
  <c r="C102" i="21"/>
  <c r="E101" i="21"/>
  <c r="C101" i="21"/>
  <c r="B100" i="21"/>
  <c r="E96" i="21"/>
  <c r="C96" i="21"/>
  <c r="E95" i="21"/>
  <c r="C95" i="21"/>
  <c r="E94" i="21"/>
  <c r="C94" i="21"/>
  <c r="E93" i="21"/>
  <c r="C93" i="21"/>
  <c r="B91" i="21"/>
  <c r="E90" i="21"/>
  <c r="C90" i="21"/>
  <c r="E89" i="21"/>
  <c r="E88" i="21"/>
  <c r="E87" i="21"/>
  <c r="E86" i="21"/>
  <c r="C86" i="21"/>
  <c r="E85" i="21"/>
  <c r="C85" i="21"/>
  <c r="E84" i="21"/>
  <c r="E83" i="21"/>
  <c r="C83" i="21"/>
  <c r="E82" i="21"/>
  <c r="C82" i="21"/>
  <c r="E81" i="21"/>
  <c r="C81" i="21"/>
  <c r="E80" i="21"/>
  <c r="C80" i="21"/>
  <c r="B79" i="21"/>
  <c r="E77" i="21"/>
  <c r="C77" i="21"/>
  <c r="B77" i="21"/>
  <c r="E76" i="21"/>
  <c r="C76" i="21"/>
  <c r="E75" i="21"/>
  <c r="C75" i="21"/>
  <c r="E74" i="21"/>
  <c r="C74" i="21"/>
  <c r="E73" i="21"/>
  <c r="C73" i="21"/>
  <c r="E72" i="21"/>
  <c r="C72" i="21"/>
  <c r="E71" i="21"/>
  <c r="C71" i="21"/>
  <c r="E70" i="21"/>
  <c r="C70" i="21"/>
  <c r="E69" i="21"/>
  <c r="C69" i="21"/>
  <c r="E68" i="21"/>
  <c r="C68" i="21"/>
  <c r="E66" i="21"/>
  <c r="C66" i="21"/>
  <c r="B66" i="21"/>
  <c r="E65" i="21"/>
  <c r="C65" i="21"/>
  <c r="B65" i="21"/>
  <c r="E63" i="21"/>
  <c r="C63" i="21"/>
  <c r="B61" i="21"/>
  <c r="B60" i="21"/>
  <c r="E57" i="21"/>
  <c r="C57" i="21"/>
  <c r="E56" i="21"/>
  <c r="C56" i="21"/>
  <c r="E55" i="21"/>
  <c r="C55" i="21"/>
  <c r="E54" i="21"/>
  <c r="C54" i="21"/>
  <c r="E53" i="21"/>
  <c r="C53" i="21"/>
  <c r="E52" i="21"/>
  <c r="C52" i="21"/>
  <c r="E51" i="21"/>
  <c r="C51" i="21"/>
  <c r="E50" i="21"/>
  <c r="C50" i="21"/>
  <c r="E49" i="21"/>
  <c r="C49" i="21"/>
  <c r="E48" i="21"/>
  <c r="C48" i="21"/>
  <c r="E47" i="21"/>
  <c r="C47" i="21"/>
  <c r="E46" i="21"/>
  <c r="C46" i="21"/>
  <c r="E45" i="21"/>
  <c r="C45" i="21"/>
  <c r="E44" i="21"/>
  <c r="C44" i="21"/>
  <c r="E43" i="21"/>
  <c r="C43" i="21"/>
  <c r="E41" i="21"/>
  <c r="C41" i="21"/>
  <c r="B41" i="21"/>
  <c r="E40" i="21"/>
  <c r="C40" i="21"/>
  <c r="E39" i="21"/>
  <c r="C39" i="21"/>
  <c r="E38" i="21"/>
  <c r="C38" i="21"/>
  <c r="E37" i="21"/>
  <c r="C37" i="21"/>
  <c r="E36" i="21"/>
  <c r="C36" i="21"/>
  <c r="E35" i="21"/>
  <c r="C35" i="21"/>
  <c r="E34" i="21"/>
  <c r="C34" i="21"/>
  <c r="E33" i="21"/>
  <c r="C33" i="21"/>
  <c r="E32" i="21"/>
  <c r="C32" i="21"/>
  <c r="E31" i="21"/>
  <c r="C31" i="21"/>
  <c r="E30" i="21"/>
  <c r="C30" i="21"/>
  <c r="E29" i="21"/>
  <c r="C29" i="21"/>
  <c r="E28" i="21"/>
  <c r="C28" i="21"/>
  <c r="B27" i="21"/>
  <c r="C24" i="21"/>
  <c r="E23" i="21"/>
  <c r="C23" i="21"/>
  <c r="E22" i="21"/>
  <c r="C22" i="21"/>
  <c r="E21" i="21"/>
  <c r="C21" i="21"/>
  <c r="E20" i="21"/>
  <c r="C20" i="21"/>
  <c r="E19" i="21"/>
  <c r="C19" i="21"/>
  <c r="E18" i="21"/>
  <c r="C18" i="21"/>
  <c r="E17" i="21"/>
  <c r="C17" i="21"/>
  <c r="E16" i="21"/>
  <c r="C16" i="21"/>
  <c r="E15" i="21"/>
  <c r="C15" i="21"/>
  <c r="E14" i="21"/>
  <c r="C14" i="21"/>
  <c r="E13" i="21"/>
  <c r="C13" i="21"/>
  <c r="E12" i="21"/>
  <c r="C12" i="21"/>
  <c r="E11" i="21"/>
  <c r="C11" i="21"/>
  <c r="E10" i="21"/>
  <c r="C10" i="21"/>
  <c r="E9" i="21"/>
  <c r="C9" i="21"/>
  <c r="E8" i="21"/>
  <c r="C8" i="21"/>
  <c r="E7" i="21"/>
  <c r="C7" i="21"/>
  <c r="E6" i="21"/>
  <c r="C6" i="21"/>
  <c r="E5" i="21"/>
  <c r="C5" i="21"/>
  <c r="B4" i="21"/>
  <c r="E652" i="20"/>
  <c r="C652" i="20"/>
  <c r="E650" i="20"/>
  <c r="C650" i="20"/>
  <c r="E649" i="20"/>
  <c r="C649" i="20"/>
  <c r="E648" i="20"/>
  <c r="C648" i="20"/>
  <c r="E647" i="20"/>
  <c r="C647" i="20"/>
  <c r="E646" i="20"/>
  <c r="C646" i="20"/>
  <c r="E645" i="20"/>
  <c r="C645" i="20"/>
  <c r="E644" i="20"/>
  <c r="C644" i="20"/>
  <c r="E643" i="20"/>
  <c r="C643" i="20"/>
  <c r="E641" i="20"/>
  <c r="C641" i="20"/>
  <c r="E639" i="20"/>
  <c r="C639" i="20"/>
  <c r="E637" i="20"/>
  <c r="C637" i="20"/>
  <c r="B636" i="20"/>
  <c r="B634" i="20"/>
  <c r="B633" i="20"/>
  <c r="E631" i="20"/>
  <c r="C631" i="20"/>
  <c r="E630" i="20"/>
  <c r="C630" i="20"/>
  <c r="E629" i="20"/>
  <c r="C629" i="20"/>
  <c r="E628" i="20"/>
  <c r="C628" i="20"/>
  <c r="E627" i="20"/>
  <c r="C627" i="20"/>
  <c r="E626" i="20"/>
  <c r="C626" i="20"/>
  <c r="E625" i="20"/>
  <c r="C625" i="20"/>
  <c r="E624" i="20"/>
  <c r="C624" i="20"/>
  <c r="B623" i="20"/>
  <c r="B621" i="20"/>
  <c r="B620" i="20"/>
  <c r="E616" i="20"/>
  <c r="E615" i="20"/>
  <c r="C615" i="20"/>
  <c r="E614" i="20"/>
  <c r="C614" i="20"/>
  <c r="E613" i="20"/>
  <c r="C613" i="20"/>
  <c r="E612" i="20"/>
  <c r="C612" i="20"/>
  <c r="E611" i="20"/>
  <c r="C611" i="20"/>
  <c r="E610" i="20"/>
  <c r="E609" i="20"/>
  <c r="C609" i="20"/>
  <c r="E608" i="20"/>
  <c r="E607" i="20"/>
  <c r="C607" i="20"/>
  <c r="E606" i="20"/>
  <c r="C606" i="20"/>
  <c r="E605" i="20"/>
  <c r="C605" i="20"/>
  <c r="E604" i="20"/>
  <c r="C604" i="20"/>
  <c r="E603" i="20"/>
  <c r="E602" i="20"/>
  <c r="C602" i="20"/>
  <c r="E601" i="20"/>
  <c r="E600" i="20"/>
  <c r="C600" i="20"/>
  <c r="E599" i="20"/>
  <c r="E598" i="20"/>
  <c r="C598" i="20"/>
  <c r="B597" i="20"/>
  <c r="B595" i="20"/>
  <c r="B594" i="20"/>
  <c r="E592" i="20"/>
  <c r="C592" i="20"/>
  <c r="E590" i="20"/>
  <c r="C590" i="20"/>
  <c r="E589" i="20"/>
  <c r="C589" i="20"/>
  <c r="E588" i="20"/>
  <c r="C588" i="20"/>
  <c r="E587" i="20"/>
  <c r="C587" i="20"/>
  <c r="E586" i="20"/>
  <c r="C586" i="20"/>
  <c r="E585" i="20"/>
  <c r="C585" i="20"/>
  <c r="E584" i="20"/>
  <c r="C584" i="20"/>
  <c r="E583" i="20"/>
  <c r="C583" i="20"/>
  <c r="E582" i="20"/>
  <c r="C582" i="20"/>
  <c r="E581" i="20"/>
  <c r="C581" i="20"/>
  <c r="E580" i="20"/>
  <c r="C580" i="20"/>
  <c r="E579" i="20"/>
  <c r="C579" i="20"/>
  <c r="E578" i="20"/>
  <c r="C578" i="20"/>
  <c r="E577" i="20"/>
  <c r="C577" i="20"/>
  <c r="E576" i="20"/>
  <c r="C576" i="20"/>
  <c r="E575" i="20"/>
  <c r="C575" i="20"/>
  <c r="E574" i="20"/>
  <c r="C574" i="20"/>
  <c r="E573" i="20"/>
  <c r="C573" i="20"/>
  <c r="E572" i="20"/>
  <c r="C572" i="20"/>
  <c r="E571" i="20"/>
  <c r="C571" i="20"/>
  <c r="E570" i="20"/>
  <c r="C570" i="20"/>
  <c r="E569" i="20"/>
  <c r="C569" i="20"/>
  <c r="B568" i="20"/>
  <c r="E567" i="20"/>
  <c r="C567" i="20"/>
  <c r="B567" i="20"/>
  <c r="B566" i="20"/>
  <c r="B565" i="20"/>
  <c r="E562" i="20"/>
  <c r="E561" i="20"/>
  <c r="E560" i="20"/>
  <c r="C560" i="20"/>
  <c r="E559" i="20"/>
  <c r="C559" i="20"/>
  <c r="E558" i="20"/>
  <c r="C558" i="20"/>
  <c r="E557" i="20"/>
  <c r="C557" i="20"/>
  <c r="E556" i="20"/>
  <c r="C556" i="20"/>
  <c r="E555" i="20"/>
  <c r="C555" i="20"/>
  <c r="E554" i="20"/>
  <c r="C554" i="20"/>
  <c r="E553" i="20"/>
  <c r="C553" i="20"/>
  <c r="E552" i="20"/>
  <c r="C552" i="20"/>
  <c r="E551" i="20"/>
  <c r="C551" i="20"/>
  <c r="E550" i="20"/>
  <c r="C550" i="20"/>
  <c r="E549" i="20"/>
  <c r="C549" i="20"/>
  <c r="E548" i="20"/>
  <c r="C548" i="20"/>
  <c r="E547" i="20"/>
  <c r="C547" i="20"/>
  <c r="E546" i="20"/>
  <c r="C546" i="20"/>
  <c r="E545" i="20"/>
  <c r="C545" i="20"/>
  <c r="E544" i="20"/>
  <c r="C544" i="20"/>
  <c r="E543" i="20"/>
  <c r="C543" i="20"/>
  <c r="E542" i="20"/>
  <c r="C542" i="20"/>
  <c r="E541" i="20"/>
  <c r="C541" i="20"/>
  <c r="E540" i="20"/>
  <c r="C540" i="20"/>
  <c r="B539" i="20"/>
  <c r="E535" i="20"/>
  <c r="C535" i="20"/>
  <c r="E534" i="20"/>
  <c r="C534" i="20"/>
  <c r="E533" i="20"/>
  <c r="C533" i="20"/>
  <c r="E532" i="20"/>
  <c r="C532" i="20"/>
  <c r="E531" i="20"/>
  <c r="C531" i="20"/>
  <c r="B531" i="20"/>
  <c r="E530" i="20"/>
  <c r="C530" i="20"/>
  <c r="B530" i="20"/>
  <c r="E529" i="20"/>
  <c r="C529" i="20"/>
  <c r="E528" i="20"/>
  <c r="C528" i="20"/>
  <c r="E527" i="20"/>
  <c r="C527" i="20"/>
  <c r="E526" i="20"/>
  <c r="C526" i="20"/>
  <c r="B526" i="20"/>
  <c r="B525" i="20"/>
  <c r="B524" i="20"/>
  <c r="E522" i="20"/>
  <c r="C522" i="20"/>
  <c r="E520" i="20"/>
  <c r="C520" i="20"/>
  <c r="B520" i="20"/>
  <c r="E519" i="20"/>
  <c r="C519" i="20"/>
  <c r="B519" i="20"/>
  <c r="E517" i="20"/>
  <c r="C517" i="20"/>
  <c r="E515" i="20"/>
  <c r="C515" i="20"/>
  <c r="B515" i="20"/>
  <c r="B513" i="20"/>
  <c r="E510" i="20"/>
  <c r="C510" i="20"/>
  <c r="E509" i="20"/>
  <c r="C509" i="20"/>
  <c r="E508" i="20"/>
  <c r="C508" i="20"/>
  <c r="E507" i="20"/>
  <c r="C507" i="20"/>
  <c r="E506" i="20"/>
  <c r="C506" i="20"/>
  <c r="E505" i="20"/>
  <c r="C505" i="20"/>
  <c r="E504" i="20"/>
  <c r="C504" i="20"/>
  <c r="E503" i="20"/>
  <c r="C503" i="20"/>
  <c r="E502" i="20"/>
  <c r="C502" i="20"/>
  <c r="E501" i="20"/>
  <c r="C501" i="20"/>
  <c r="E500" i="20"/>
  <c r="C500" i="20"/>
  <c r="E499" i="20"/>
  <c r="C499" i="20"/>
  <c r="E498" i="20"/>
  <c r="C498" i="20"/>
  <c r="E497" i="20"/>
  <c r="C497" i="20"/>
  <c r="E496" i="20"/>
  <c r="C496" i="20"/>
  <c r="E495" i="20"/>
  <c r="C495" i="20"/>
  <c r="E494" i="20"/>
  <c r="C494" i="20"/>
  <c r="B493" i="20"/>
  <c r="B492" i="20"/>
  <c r="B491" i="20"/>
  <c r="B490" i="20"/>
  <c r="E487" i="20"/>
  <c r="C487" i="20"/>
  <c r="E486" i="20"/>
  <c r="C486" i="20"/>
  <c r="E485" i="20"/>
  <c r="C485" i="20"/>
  <c r="E484" i="20"/>
  <c r="C484" i="20"/>
  <c r="E483" i="20"/>
  <c r="C483" i="20"/>
  <c r="E482" i="20"/>
  <c r="C482" i="20"/>
  <c r="E481" i="20"/>
  <c r="C481" i="20"/>
  <c r="E480" i="20"/>
  <c r="C480" i="20"/>
  <c r="E479" i="20"/>
  <c r="C479" i="20"/>
  <c r="E478" i="20"/>
  <c r="C478" i="20"/>
  <c r="E477" i="20"/>
  <c r="C477" i="20"/>
  <c r="E476" i="20"/>
  <c r="C476" i="20"/>
  <c r="E475" i="20"/>
  <c r="C475" i="20"/>
  <c r="B475" i="20"/>
  <c r="B474" i="20"/>
  <c r="B473" i="20"/>
  <c r="E470" i="20"/>
  <c r="C470" i="20"/>
  <c r="E469" i="20"/>
  <c r="C469" i="20"/>
  <c r="E468" i="20"/>
  <c r="C468" i="20"/>
  <c r="E467" i="20"/>
  <c r="C467" i="20"/>
  <c r="E466" i="20"/>
  <c r="C466" i="20"/>
  <c r="E465" i="20"/>
  <c r="C465" i="20"/>
  <c r="E464" i="20"/>
  <c r="C464" i="20"/>
  <c r="E463" i="20"/>
  <c r="C463" i="20"/>
  <c r="E462" i="20"/>
  <c r="C462" i="20"/>
  <c r="B461" i="20"/>
  <c r="B460" i="20"/>
  <c r="E459" i="20"/>
  <c r="C459" i="20"/>
  <c r="E458" i="20"/>
  <c r="C458" i="20"/>
  <c r="E457" i="20"/>
  <c r="C457" i="20"/>
  <c r="E456" i="20"/>
  <c r="C456" i="20"/>
  <c r="E455" i="20"/>
  <c r="C455" i="20"/>
  <c r="E454" i="20"/>
  <c r="C454" i="20"/>
  <c r="E453" i="20"/>
  <c r="C453" i="20"/>
  <c r="E452" i="20"/>
  <c r="C452" i="20"/>
  <c r="E451" i="20"/>
  <c r="C451" i="20"/>
  <c r="B450" i="20"/>
  <c r="B449" i="20"/>
  <c r="B448" i="20"/>
  <c r="E445" i="20"/>
  <c r="C445" i="20"/>
  <c r="E444" i="20"/>
  <c r="C444" i="20"/>
  <c r="E443" i="20"/>
  <c r="C443" i="20"/>
  <c r="E442" i="20"/>
  <c r="C442" i="20"/>
  <c r="E441" i="20"/>
  <c r="C441" i="20"/>
  <c r="E440" i="20"/>
  <c r="C440" i="20"/>
  <c r="E439" i="20"/>
  <c r="C439" i="20"/>
  <c r="E438" i="20"/>
  <c r="C438" i="20"/>
  <c r="E437" i="20"/>
  <c r="C437" i="20"/>
  <c r="E436" i="20"/>
  <c r="C436" i="20"/>
  <c r="E435" i="20"/>
  <c r="C435" i="20"/>
  <c r="E434" i="20"/>
  <c r="C434" i="20"/>
  <c r="E433" i="20"/>
  <c r="C433" i="20"/>
  <c r="E432" i="20"/>
  <c r="C432" i="20"/>
  <c r="E431" i="20"/>
  <c r="C431" i="20"/>
  <c r="B430" i="20"/>
  <c r="B429" i="20"/>
  <c r="E427" i="20"/>
  <c r="C427" i="20"/>
  <c r="E426" i="20"/>
  <c r="C426" i="20"/>
  <c r="E425" i="20"/>
  <c r="C425" i="20"/>
  <c r="E424" i="20"/>
  <c r="C424" i="20"/>
  <c r="E423" i="20"/>
  <c r="C423" i="20"/>
  <c r="E422" i="20"/>
  <c r="C422" i="20"/>
  <c r="E421" i="20"/>
  <c r="C421" i="20"/>
  <c r="E420" i="20"/>
  <c r="C420" i="20"/>
  <c r="E419" i="20"/>
  <c r="C419" i="20"/>
  <c r="E418" i="20"/>
  <c r="C418" i="20"/>
  <c r="E417" i="20"/>
  <c r="C417" i="20"/>
  <c r="E416" i="20"/>
  <c r="C416" i="20"/>
  <c r="E415" i="20"/>
  <c r="C415" i="20"/>
  <c r="E414" i="20"/>
  <c r="C414" i="20"/>
  <c r="E413" i="20"/>
  <c r="C413" i="20"/>
  <c r="E412" i="20"/>
  <c r="C412" i="20"/>
  <c r="E411" i="20"/>
  <c r="C411" i="20"/>
  <c r="B410" i="20"/>
  <c r="B409" i="20"/>
  <c r="E406" i="20"/>
  <c r="E405" i="20"/>
  <c r="E404" i="20"/>
  <c r="E403" i="20"/>
  <c r="E402" i="20"/>
  <c r="E401" i="20"/>
  <c r="E400" i="20"/>
  <c r="E399" i="20"/>
  <c r="C399" i="20"/>
  <c r="E398" i="20"/>
  <c r="E397" i="20"/>
  <c r="C397" i="20"/>
  <c r="B396" i="20"/>
  <c r="E392" i="20"/>
  <c r="C392" i="20"/>
  <c r="E391" i="20"/>
  <c r="C391" i="20"/>
  <c r="E390" i="20"/>
  <c r="C390" i="20"/>
  <c r="B389" i="20"/>
  <c r="E386" i="20"/>
  <c r="C386" i="20"/>
  <c r="E385" i="20"/>
  <c r="C385" i="20"/>
  <c r="E384" i="20"/>
  <c r="C384" i="20"/>
  <c r="B383" i="20"/>
  <c r="E380" i="20"/>
  <c r="C380" i="20"/>
  <c r="E379" i="20"/>
  <c r="C379" i="20"/>
  <c r="E378" i="20"/>
  <c r="C378" i="20"/>
  <c r="E377" i="20"/>
  <c r="C377" i="20"/>
  <c r="E376" i="20"/>
  <c r="C376" i="20"/>
  <c r="E375" i="20"/>
  <c r="C375" i="20"/>
  <c r="E374" i="20"/>
  <c r="C374" i="20"/>
  <c r="E373" i="20"/>
  <c r="C373" i="20"/>
  <c r="E372" i="20"/>
  <c r="C372" i="20"/>
  <c r="E371" i="20"/>
  <c r="C371" i="20"/>
  <c r="E370" i="20"/>
  <c r="C370" i="20"/>
  <c r="E369" i="20"/>
  <c r="C369" i="20"/>
  <c r="E368" i="20"/>
  <c r="C368" i="20"/>
  <c r="B367" i="20"/>
  <c r="E366" i="20"/>
  <c r="C366" i="20"/>
  <c r="B366" i="20"/>
  <c r="E365" i="20"/>
  <c r="C365" i="20"/>
  <c r="E364" i="20"/>
  <c r="C364" i="20"/>
  <c r="E363" i="20"/>
  <c r="C363" i="20"/>
  <c r="E362" i="20"/>
  <c r="C362" i="20"/>
  <c r="E361" i="20"/>
  <c r="C361" i="20"/>
  <c r="E360" i="20"/>
  <c r="C360" i="20"/>
  <c r="E359" i="20"/>
  <c r="C359" i="20"/>
  <c r="E358" i="20"/>
  <c r="C358" i="20"/>
  <c r="E357" i="20"/>
  <c r="C357" i="20"/>
  <c r="E356" i="20"/>
  <c r="C356" i="20"/>
  <c r="E355" i="20"/>
  <c r="C355" i="20"/>
  <c r="E354" i="20"/>
  <c r="C354" i="20"/>
  <c r="E353" i="20"/>
  <c r="C353" i="20"/>
  <c r="E352" i="20"/>
  <c r="C352" i="20"/>
  <c r="E351" i="20"/>
  <c r="C351" i="20"/>
  <c r="E350" i="20"/>
  <c r="C350" i="20"/>
  <c r="E349" i="20"/>
  <c r="C349" i="20"/>
  <c r="E347" i="20"/>
  <c r="C347" i="20"/>
  <c r="B345" i="20"/>
  <c r="B344" i="20"/>
  <c r="E343" i="20"/>
  <c r="C343" i="20"/>
  <c r="E341" i="20"/>
  <c r="C341" i="20"/>
  <c r="E340" i="20"/>
  <c r="C340" i="20"/>
  <c r="E339" i="20"/>
  <c r="C339" i="20"/>
  <c r="E338" i="20"/>
  <c r="C338" i="20"/>
  <c r="E337" i="20"/>
  <c r="C337" i="20"/>
  <c r="E335" i="20"/>
  <c r="C335" i="20"/>
  <c r="E334" i="20"/>
  <c r="C334" i="20"/>
  <c r="E333" i="20"/>
  <c r="C333" i="20"/>
  <c r="E332" i="20"/>
  <c r="C332" i="20"/>
  <c r="E331" i="20"/>
  <c r="C331" i="20"/>
  <c r="B330" i="20"/>
  <c r="E329" i="20"/>
  <c r="C329" i="20"/>
  <c r="B327" i="20"/>
  <c r="E326" i="20"/>
  <c r="C326" i="20"/>
  <c r="E325" i="20"/>
  <c r="C325" i="20"/>
  <c r="E324" i="20"/>
  <c r="C324" i="20"/>
  <c r="E323" i="20"/>
  <c r="C323" i="20"/>
  <c r="B321" i="20"/>
  <c r="E317" i="20"/>
  <c r="C317" i="20"/>
  <c r="E316" i="20"/>
  <c r="C316" i="20"/>
  <c r="E315" i="20"/>
  <c r="C315" i="20"/>
  <c r="E314" i="20"/>
  <c r="C314" i="20"/>
  <c r="E313" i="20"/>
  <c r="C313" i="20"/>
  <c r="E312" i="20"/>
  <c r="C312" i="20"/>
  <c r="E311" i="20"/>
  <c r="C311" i="20"/>
  <c r="B309" i="20"/>
  <c r="B308" i="20"/>
  <c r="E304" i="20"/>
  <c r="C304" i="20"/>
  <c r="E303" i="20"/>
  <c r="E302" i="20"/>
  <c r="C302" i="20"/>
  <c r="E301" i="20"/>
  <c r="C301" i="20"/>
  <c r="E300" i="20"/>
  <c r="C300" i="20"/>
  <c r="E299" i="20"/>
  <c r="C299" i="20"/>
  <c r="E298" i="20"/>
  <c r="C298" i="20"/>
  <c r="E297" i="20"/>
  <c r="C297" i="20"/>
  <c r="E296" i="20"/>
  <c r="C296" i="20"/>
  <c r="E295" i="20"/>
  <c r="C295" i="20"/>
  <c r="E294" i="20"/>
  <c r="C294" i="20"/>
  <c r="E293" i="20"/>
  <c r="C293" i="20"/>
  <c r="E292" i="20"/>
  <c r="C292" i="20"/>
  <c r="E291" i="20"/>
  <c r="C291" i="20"/>
  <c r="E289" i="20"/>
  <c r="C289" i="20"/>
  <c r="E287" i="20"/>
  <c r="C287" i="20"/>
  <c r="B285" i="20"/>
  <c r="B284" i="20"/>
  <c r="E281" i="20"/>
  <c r="C281" i="20"/>
  <c r="E280" i="20"/>
  <c r="C280" i="20"/>
  <c r="E279" i="20"/>
  <c r="C279" i="20"/>
  <c r="E278" i="20"/>
  <c r="C278" i="20"/>
  <c r="E277" i="20"/>
  <c r="C277" i="20"/>
  <c r="E276" i="20"/>
  <c r="C276" i="20"/>
  <c r="E275" i="20"/>
  <c r="C275" i="20"/>
  <c r="E274" i="20"/>
  <c r="C274" i="20"/>
  <c r="E272" i="20"/>
  <c r="C272" i="20"/>
  <c r="E270" i="20"/>
  <c r="C270" i="20"/>
  <c r="B268" i="20"/>
  <c r="B267" i="20"/>
  <c r="E263" i="20"/>
  <c r="C263" i="20"/>
  <c r="E262" i="20"/>
  <c r="C262" i="20"/>
  <c r="E261" i="20"/>
  <c r="C261" i="20"/>
  <c r="E260" i="20"/>
  <c r="C260" i="20"/>
  <c r="E259" i="20"/>
  <c r="C259" i="20"/>
  <c r="E258" i="20"/>
  <c r="C258" i="20"/>
  <c r="E257" i="20"/>
  <c r="C257" i="20"/>
  <c r="E256" i="20"/>
  <c r="C256" i="20"/>
  <c r="E255" i="20"/>
  <c r="C255" i="20"/>
  <c r="E254" i="20"/>
  <c r="C254" i="20"/>
  <c r="B253" i="20"/>
  <c r="E251" i="20"/>
  <c r="C251" i="20"/>
  <c r="E249" i="20"/>
  <c r="C249" i="20"/>
  <c r="E248" i="20"/>
  <c r="C248" i="20"/>
  <c r="E247" i="20"/>
  <c r="E246" i="20"/>
  <c r="C246" i="20"/>
  <c r="B244" i="20"/>
  <c r="B243" i="20"/>
  <c r="E239" i="20"/>
  <c r="E238" i="20"/>
  <c r="E237" i="20"/>
  <c r="E236" i="20"/>
  <c r="E235" i="20"/>
  <c r="E234" i="20"/>
  <c r="E233" i="20"/>
  <c r="E232" i="20"/>
  <c r="E231" i="20"/>
  <c r="E230" i="20"/>
  <c r="E229" i="20"/>
  <c r="E228" i="20"/>
  <c r="E227" i="20"/>
  <c r="C227" i="20"/>
  <c r="E226" i="20"/>
  <c r="C226" i="20"/>
  <c r="E225" i="20"/>
  <c r="C225" i="20"/>
  <c r="E224" i="20"/>
  <c r="C224" i="20"/>
  <c r="E223" i="20"/>
  <c r="C223" i="20"/>
  <c r="E222" i="20"/>
  <c r="C222" i="20"/>
  <c r="E221" i="20"/>
  <c r="C221" i="20"/>
  <c r="B220" i="20"/>
  <c r="B219" i="20"/>
  <c r="E215" i="20"/>
  <c r="C215" i="20"/>
  <c r="E214" i="20"/>
  <c r="C214" i="20"/>
  <c r="E213" i="20"/>
  <c r="C213" i="20"/>
  <c r="E212" i="20"/>
  <c r="C212" i="20"/>
  <c r="E211" i="20"/>
  <c r="C211" i="20"/>
  <c r="E210" i="20"/>
  <c r="C210" i="20"/>
  <c r="E209" i="20"/>
  <c r="C209" i="20"/>
  <c r="E208" i="20"/>
  <c r="C208" i="20"/>
  <c r="E207" i="20"/>
  <c r="E206" i="20"/>
  <c r="C206" i="20"/>
  <c r="E204" i="20"/>
  <c r="C204" i="20"/>
  <c r="B203" i="20"/>
  <c r="E201" i="20"/>
  <c r="C201" i="20"/>
  <c r="E199" i="20"/>
  <c r="C199" i="20"/>
  <c r="E198" i="20"/>
  <c r="C198" i="20"/>
  <c r="E197" i="20"/>
  <c r="C197" i="20"/>
  <c r="E196" i="20"/>
  <c r="C196" i="20"/>
  <c r="E195" i="20"/>
  <c r="C195" i="20"/>
  <c r="E194" i="20"/>
  <c r="C194" i="20"/>
  <c r="E192" i="20"/>
  <c r="C192" i="20"/>
  <c r="B191" i="20"/>
  <c r="E188" i="20"/>
  <c r="C188" i="20"/>
  <c r="B187" i="20"/>
  <c r="E183" i="20"/>
  <c r="E182" i="20"/>
  <c r="C182" i="20"/>
  <c r="E181" i="20"/>
  <c r="C181" i="20"/>
  <c r="E180" i="20"/>
  <c r="C180" i="20"/>
  <c r="E179" i="20"/>
  <c r="C179" i="20"/>
  <c r="E177" i="20"/>
  <c r="C177" i="20"/>
  <c r="B175" i="20"/>
  <c r="B174" i="20"/>
  <c r="E170" i="20"/>
  <c r="E169" i="20"/>
  <c r="C169" i="20"/>
  <c r="E168" i="20"/>
  <c r="C168" i="20"/>
  <c r="E167" i="20"/>
  <c r="C167" i="20"/>
  <c r="E166" i="20"/>
  <c r="C166" i="20"/>
  <c r="E165" i="20"/>
  <c r="C165" i="20"/>
  <c r="E164" i="20"/>
  <c r="C164" i="20"/>
  <c r="E163" i="20"/>
  <c r="C163" i="20"/>
  <c r="E162" i="20"/>
  <c r="C162" i="20"/>
  <c r="E161" i="20"/>
  <c r="C161" i="20"/>
  <c r="E160" i="20"/>
  <c r="C160" i="20"/>
  <c r="E159" i="20"/>
  <c r="C159" i="20"/>
  <c r="E158" i="20"/>
  <c r="C158" i="20"/>
  <c r="E157" i="20"/>
  <c r="C157" i="20"/>
  <c r="B155" i="20"/>
  <c r="B154" i="20"/>
  <c r="E150" i="20"/>
  <c r="E149" i="20"/>
  <c r="E148" i="20"/>
  <c r="C148" i="20"/>
  <c r="E147" i="20"/>
  <c r="C147" i="20"/>
  <c r="E146" i="20"/>
  <c r="C146" i="20"/>
  <c r="E145" i="20"/>
  <c r="C145" i="20"/>
  <c r="E144" i="20"/>
  <c r="C144" i="20"/>
  <c r="E143" i="20"/>
  <c r="C143" i="20"/>
  <c r="E142" i="20"/>
  <c r="C142" i="20"/>
  <c r="E141" i="20"/>
  <c r="C141" i="20"/>
  <c r="E140" i="20"/>
  <c r="C140" i="20"/>
  <c r="E139" i="20"/>
  <c r="C139" i="20"/>
  <c r="E138" i="20"/>
  <c r="C138" i="20"/>
  <c r="E137" i="20"/>
  <c r="C137" i="20"/>
  <c r="E136" i="20"/>
  <c r="C136" i="20"/>
  <c r="E135" i="20"/>
  <c r="C135" i="20"/>
  <c r="B133" i="20"/>
  <c r="B132" i="20"/>
  <c r="E128" i="20"/>
  <c r="E127" i="20"/>
  <c r="E126" i="20"/>
  <c r="E125" i="20"/>
  <c r="C125" i="20"/>
  <c r="E124" i="20"/>
  <c r="C124" i="20"/>
  <c r="E123" i="20"/>
  <c r="C123" i="20"/>
  <c r="E122" i="20"/>
  <c r="C122" i="20"/>
  <c r="E121" i="20"/>
  <c r="C121" i="20"/>
  <c r="E120" i="20"/>
  <c r="C120" i="20"/>
  <c r="E119" i="20"/>
  <c r="C119" i="20"/>
  <c r="E118" i="20"/>
  <c r="C118" i="20"/>
  <c r="E117" i="20"/>
  <c r="C117" i="20"/>
  <c r="E116" i="20"/>
  <c r="C116" i="20"/>
  <c r="E115" i="20"/>
  <c r="C115" i="20"/>
  <c r="E114" i="20"/>
  <c r="C114" i="20"/>
  <c r="E113" i="20"/>
  <c r="C113" i="20"/>
  <c r="E112" i="20"/>
  <c r="C112" i="20"/>
  <c r="E111" i="20"/>
  <c r="C111" i="20"/>
  <c r="E110" i="20"/>
  <c r="C110" i="20"/>
  <c r="E109" i="20"/>
  <c r="C109" i="20"/>
  <c r="E108" i="20"/>
  <c r="C108" i="20"/>
  <c r="B106" i="20"/>
  <c r="B105" i="20"/>
  <c r="E103" i="20"/>
  <c r="C103" i="20"/>
  <c r="E101" i="20"/>
  <c r="C101" i="20"/>
  <c r="E100" i="20"/>
  <c r="C100" i="20"/>
  <c r="E99" i="20"/>
  <c r="C99" i="20"/>
  <c r="E98" i="20"/>
  <c r="C98" i="20"/>
  <c r="E97" i="20"/>
  <c r="C97" i="20"/>
  <c r="E96" i="20"/>
  <c r="C96" i="20"/>
  <c r="E95" i="20"/>
  <c r="C95" i="20"/>
  <c r="E94" i="20"/>
  <c r="C94" i="20"/>
  <c r="E93" i="20"/>
  <c r="C93" i="20"/>
  <c r="B92" i="20"/>
  <c r="E88" i="20"/>
  <c r="C88" i="20"/>
  <c r="E87" i="20"/>
  <c r="C87" i="20"/>
  <c r="E86" i="20"/>
  <c r="C86" i="20"/>
  <c r="E85" i="20"/>
  <c r="C85" i="20"/>
  <c r="B83" i="20"/>
  <c r="E82" i="20"/>
  <c r="C82" i="20"/>
  <c r="E81" i="20"/>
  <c r="E80" i="20"/>
  <c r="E79" i="20"/>
  <c r="E78" i="20"/>
  <c r="C78" i="20"/>
  <c r="E77" i="20"/>
  <c r="C77" i="20"/>
  <c r="E76" i="20"/>
  <c r="E75" i="20"/>
  <c r="C75" i="20"/>
  <c r="E74" i="20"/>
  <c r="C74" i="20"/>
  <c r="E73" i="20"/>
  <c r="C73" i="20"/>
  <c r="E72" i="20"/>
  <c r="C72" i="20"/>
  <c r="B71" i="20"/>
  <c r="E69" i="20"/>
  <c r="C69" i="20"/>
  <c r="B69" i="20"/>
  <c r="E67" i="20"/>
  <c r="C67" i="20"/>
  <c r="E66" i="20"/>
  <c r="C66" i="20"/>
  <c r="E65" i="20"/>
  <c r="C65" i="20"/>
  <c r="E64" i="20"/>
  <c r="C64" i="20"/>
  <c r="E63" i="20"/>
  <c r="C63" i="20"/>
  <c r="E62" i="20"/>
  <c r="C62" i="20"/>
  <c r="E61" i="20"/>
  <c r="C61" i="20"/>
  <c r="E60" i="20"/>
  <c r="C60" i="20"/>
  <c r="E58" i="20"/>
  <c r="C58" i="20"/>
  <c r="B58" i="20"/>
  <c r="E56" i="20"/>
  <c r="C56" i="20"/>
  <c r="E55" i="20"/>
  <c r="C55" i="20"/>
  <c r="B54" i="20"/>
  <c r="B53" i="20"/>
  <c r="E49" i="20"/>
  <c r="C49" i="20"/>
  <c r="E48" i="20"/>
  <c r="C48" i="20"/>
  <c r="E47" i="20"/>
  <c r="C47" i="20"/>
  <c r="E46" i="20"/>
  <c r="C46" i="20"/>
  <c r="E45" i="20"/>
  <c r="C45" i="20"/>
  <c r="E44" i="20"/>
  <c r="C44" i="20"/>
  <c r="E43" i="20"/>
  <c r="C43" i="20"/>
  <c r="E42" i="20"/>
  <c r="C42" i="20"/>
  <c r="E41" i="20"/>
  <c r="C41" i="20"/>
  <c r="E40" i="20"/>
  <c r="C40" i="20"/>
  <c r="E39" i="20"/>
  <c r="C39" i="20"/>
  <c r="E38" i="20"/>
  <c r="C38" i="20"/>
  <c r="E37" i="20"/>
  <c r="C37" i="20"/>
  <c r="E36" i="20"/>
  <c r="C36" i="20"/>
  <c r="E34" i="20"/>
  <c r="C34" i="20"/>
  <c r="B34" i="20"/>
  <c r="E33" i="20"/>
  <c r="C33" i="20"/>
  <c r="E32" i="20"/>
  <c r="C32" i="20"/>
  <c r="E31" i="20"/>
  <c r="C31" i="20"/>
  <c r="E30" i="20"/>
  <c r="C30" i="20"/>
  <c r="E29" i="20"/>
  <c r="C29" i="20"/>
  <c r="E28" i="20"/>
  <c r="C28" i="20"/>
  <c r="B27" i="20"/>
  <c r="C24" i="20"/>
  <c r="E23" i="20"/>
  <c r="C23" i="20"/>
  <c r="E22" i="20"/>
  <c r="C22" i="20"/>
  <c r="E21" i="20"/>
  <c r="C21" i="20"/>
  <c r="E20" i="20"/>
  <c r="C20" i="20"/>
  <c r="E19" i="20"/>
  <c r="C19" i="20"/>
  <c r="E18" i="20"/>
  <c r="C18" i="20"/>
  <c r="E17" i="20"/>
  <c r="C17" i="20"/>
  <c r="E16" i="20"/>
  <c r="C16" i="20"/>
  <c r="E15" i="20"/>
  <c r="C15" i="20"/>
  <c r="E14" i="20"/>
  <c r="C14" i="20"/>
  <c r="E13" i="20"/>
  <c r="C13" i="20"/>
  <c r="E12" i="20"/>
  <c r="C12" i="20"/>
  <c r="E11" i="20"/>
  <c r="C11" i="20"/>
  <c r="E10" i="20"/>
  <c r="C10" i="20"/>
  <c r="E9" i="20"/>
  <c r="C9" i="20"/>
  <c r="E8" i="20"/>
  <c r="C8" i="20"/>
  <c r="E7" i="20"/>
  <c r="C7" i="20"/>
  <c r="E6" i="20"/>
  <c r="C6" i="20"/>
  <c r="E5" i="20"/>
  <c r="C5" i="20"/>
  <c r="B4" i="20"/>
  <c r="E629" i="19"/>
  <c r="C629" i="19"/>
  <c r="E627" i="19"/>
  <c r="C627" i="19"/>
  <c r="E626" i="19"/>
  <c r="C626" i="19"/>
  <c r="E625" i="19"/>
  <c r="C625" i="19"/>
  <c r="E624" i="19"/>
  <c r="C624" i="19"/>
  <c r="E623" i="19"/>
  <c r="C623" i="19"/>
  <c r="E622" i="19"/>
  <c r="C622" i="19"/>
  <c r="E621" i="19"/>
  <c r="C621" i="19"/>
  <c r="E620" i="19"/>
  <c r="C620" i="19"/>
  <c r="E618" i="19"/>
  <c r="C618" i="19"/>
  <c r="E616" i="19"/>
  <c r="C616" i="19"/>
  <c r="E614" i="19"/>
  <c r="C614" i="19"/>
  <c r="B613" i="19"/>
  <c r="B611" i="19"/>
  <c r="B610" i="19"/>
  <c r="E608" i="19"/>
  <c r="C608" i="19"/>
  <c r="E607" i="19"/>
  <c r="C607" i="19"/>
  <c r="E606" i="19"/>
  <c r="C606" i="19"/>
  <c r="E605" i="19"/>
  <c r="C605" i="19"/>
  <c r="E604" i="19"/>
  <c r="C604" i="19"/>
  <c r="E603" i="19"/>
  <c r="C603" i="19"/>
  <c r="E602" i="19"/>
  <c r="C602" i="19"/>
  <c r="E601" i="19"/>
  <c r="C601" i="19"/>
  <c r="B600" i="19"/>
  <c r="B598" i="19"/>
  <c r="B597" i="19"/>
  <c r="E593" i="19"/>
  <c r="C593" i="19"/>
  <c r="E592" i="19"/>
  <c r="C592" i="19"/>
  <c r="E591" i="19"/>
  <c r="C591" i="19"/>
  <c r="E590" i="19"/>
  <c r="C590" i="19"/>
  <c r="E589" i="19"/>
  <c r="C589" i="19"/>
  <c r="E588" i="19"/>
  <c r="C588" i="19"/>
  <c r="E587" i="19"/>
  <c r="C587" i="19"/>
  <c r="E586" i="19"/>
  <c r="C586" i="19"/>
  <c r="E585" i="19"/>
  <c r="C585" i="19"/>
  <c r="E584" i="19"/>
  <c r="C584" i="19"/>
  <c r="E583" i="19"/>
  <c r="C583" i="19"/>
  <c r="E582" i="19"/>
  <c r="C582" i="19"/>
  <c r="E581" i="19"/>
  <c r="C581" i="19"/>
  <c r="E580" i="19"/>
  <c r="C580" i="19"/>
  <c r="E579" i="19"/>
  <c r="C579" i="19"/>
  <c r="E578" i="19"/>
  <c r="C578" i="19"/>
  <c r="C577" i="19"/>
  <c r="E576" i="19"/>
  <c r="C576" i="19"/>
  <c r="E574" i="19"/>
  <c r="C574" i="19"/>
  <c r="B573" i="19"/>
  <c r="B571" i="19"/>
  <c r="B570" i="19"/>
  <c r="E568" i="19"/>
  <c r="C568" i="19"/>
  <c r="E566" i="19"/>
  <c r="C566" i="19"/>
  <c r="E565" i="19"/>
  <c r="C565" i="19"/>
  <c r="E564" i="19"/>
  <c r="C564" i="19"/>
  <c r="E563" i="19"/>
  <c r="C563" i="19"/>
  <c r="E562" i="19"/>
  <c r="C562" i="19"/>
  <c r="E561" i="19"/>
  <c r="C561" i="19"/>
  <c r="E560" i="19"/>
  <c r="C560" i="19"/>
  <c r="E559" i="19"/>
  <c r="C559" i="19"/>
  <c r="E558" i="19"/>
  <c r="C558" i="19"/>
  <c r="E557" i="19"/>
  <c r="C557" i="19"/>
  <c r="E556" i="19"/>
  <c r="C556" i="19"/>
  <c r="E555" i="19"/>
  <c r="C555" i="19"/>
  <c r="E554" i="19"/>
  <c r="C554" i="19"/>
  <c r="E553" i="19"/>
  <c r="C553" i="19"/>
  <c r="E552" i="19"/>
  <c r="C552" i="19"/>
  <c r="E551" i="19"/>
  <c r="C551" i="19"/>
  <c r="E550" i="19"/>
  <c r="C550" i="19"/>
  <c r="E549" i="19"/>
  <c r="C549" i="19"/>
  <c r="E548" i="19"/>
  <c r="C548" i="19"/>
  <c r="E547" i="19"/>
  <c r="C547" i="19"/>
  <c r="E546" i="19"/>
  <c r="C546" i="19"/>
  <c r="E545" i="19"/>
  <c r="C545" i="19"/>
  <c r="B544" i="19"/>
  <c r="E543" i="19"/>
  <c r="C543" i="19"/>
  <c r="B543" i="19"/>
  <c r="B542" i="19"/>
  <c r="B541" i="19"/>
  <c r="E538" i="19"/>
  <c r="E537" i="19"/>
  <c r="E536" i="19"/>
  <c r="C536" i="19"/>
  <c r="E535" i="19"/>
  <c r="C535" i="19"/>
  <c r="E534" i="19"/>
  <c r="C534" i="19"/>
  <c r="E533" i="19"/>
  <c r="C533" i="19"/>
  <c r="E532" i="19"/>
  <c r="C532" i="19"/>
  <c r="E531" i="19"/>
  <c r="C531" i="19"/>
  <c r="E530" i="19"/>
  <c r="C530" i="19"/>
  <c r="E529" i="19"/>
  <c r="C529" i="19"/>
  <c r="E528" i="19"/>
  <c r="C528" i="19"/>
  <c r="E527" i="19"/>
  <c r="C527" i="19"/>
  <c r="E526" i="19"/>
  <c r="C526" i="19"/>
  <c r="E525" i="19"/>
  <c r="C525" i="19"/>
  <c r="E524" i="19"/>
  <c r="C524" i="19"/>
  <c r="E523" i="19"/>
  <c r="C523" i="19"/>
  <c r="E522" i="19"/>
  <c r="C522" i="19"/>
  <c r="E521" i="19"/>
  <c r="C521" i="19"/>
  <c r="E520" i="19"/>
  <c r="C520" i="19"/>
  <c r="E519" i="19"/>
  <c r="C519" i="19"/>
  <c r="E518" i="19"/>
  <c r="C518" i="19"/>
  <c r="E517" i="19"/>
  <c r="C517" i="19"/>
  <c r="E516" i="19"/>
  <c r="C516" i="19"/>
  <c r="B515" i="19"/>
  <c r="E511" i="19"/>
  <c r="C511" i="19"/>
  <c r="E510" i="19"/>
  <c r="C510" i="19"/>
  <c r="E509" i="19"/>
  <c r="C509" i="19"/>
  <c r="E508" i="19"/>
  <c r="C508" i="19"/>
  <c r="E507" i="19"/>
  <c r="C507" i="19"/>
  <c r="B507" i="19"/>
  <c r="E506" i="19"/>
  <c r="C506" i="19"/>
  <c r="B506" i="19"/>
  <c r="E505" i="19"/>
  <c r="C505" i="19"/>
  <c r="E504" i="19"/>
  <c r="C504" i="19"/>
  <c r="E503" i="19"/>
  <c r="C503" i="19"/>
  <c r="E502" i="19"/>
  <c r="C502" i="19"/>
  <c r="B502" i="19"/>
  <c r="B501" i="19"/>
  <c r="B500" i="19"/>
  <c r="E498" i="19"/>
  <c r="C498" i="19"/>
  <c r="E496" i="19"/>
  <c r="C496" i="19"/>
  <c r="B496" i="19"/>
  <c r="E495" i="19"/>
  <c r="C495" i="19"/>
  <c r="B495" i="19"/>
  <c r="E493" i="19"/>
  <c r="C493" i="19"/>
  <c r="E491" i="19"/>
  <c r="C491" i="19"/>
  <c r="B491" i="19"/>
  <c r="B489" i="19"/>
  <c r="E486" i="19"/>
  <c r="C486" i="19"/>
  <c r="E485" i="19"/>
  <c r="C485" i="19"/>
  <c r="E484" i="19"/>
  <c r="C484" i="19"/>
  <c r="E483" i="19"/>
  <c r="C483" i="19"/>
  <c r="E482" i="19"/>
  <c r="C482" i="19"/>
  <c r="E481" i="19"/>
  <c r="C481" i="19"/>
  <c r="E480" i="19"/>
  <c r="C480" i="19"/>
  <c r="E479" i="19"/>
  <c r="C479" i="19"/>
  <c r="E478" i="19"/>
  <c r="C478" i="19"/>
  <c r="E477" i="19"/>
  <c r="C477" i="19"/>
  <c r="E476" i="19"/>
  <c r="C476" i="19"/>
  <c r="B475" i="19"/>
  <c r="B474" i="19"/>
  <c r="B473" i="19"/>
  <c r="E470" i="19"/>
  <c r="C470" i="19"/>
  <c r="E469" i="19"/>
  <c r="C469" i="19"/>
  <c r="E468" i="19"/>
  <c r="C468" i="19"/>
  <c r="E467" i="19"/>
  <c r="C467" i="19"/>
  <c r="E466" i="19"/>
  <c r="C466" i="19"/>
  <c r="E465" i="19"/>
  <c r="C465" i="19"/>
  <c r="E464" i="19"/>
  <c r="C464" i="19"/>
  <c r="E463" i="19"/>
  <c r="C463" i="19"/>
  <c r="E462" i="19"/>
  <c r="C462" i="19"/>
  <c r="B461" i="19"/>
  <c r="B460" i="19"/>
  <c r="E459" i="19"/>
  <c r="C459" i="19"/>
  <c r="E458" i="19"/>
  <c r="C458" i="19"/>
  <c r="E457" i="19"/>
  <c r="C457" i="19"/>
  <c r="E456" i="19"/>
  <c r="C456" i="19"/>
  <c r="E455" i="19"/>
  <c r="C455" i="19"/>
  <c r="E454" i="19"/>
  <c r="C454" i="19"/>
  <c r="E453" i="19"/>
  <c r="C453" i="19"/>
  <c r="E452" i="19"/>
  <c r="C452" i="19"/>
  <c r="E451" i="19"/>
  <c r="C451" i="19"/>
  <c r="B450" i="19"/>
  <c r="B449" i="19"/>
  <c r="B448" i="19"/>
  <c r="E445" i="19"/>
  <c r="C445" i="19"/>
  <c r="E444" i="19"/>
  <c r="C444" i="19"/>
  <c r="E443" i="19"/>
  <c r="C443" i="19"/>
  <c r="E442" i="19"/>
  <c r="C442" i="19"/>
  <c r="E441" i="19"/>
  <c r="C441" i="19"/>
  <c r="E440" i="19"/>
  <c r="C440" i="19"/>
  <c r="E439" i="19"/>
  <c r="C439" i="19"/>
  <c r="E438" i="19"/>
  <c r="C438" i="19"/>
  <c r="E437" i="19"/>
  <c r="C437" i="19"/>
  <c r="E436" i="19"/>
  <c r="C436" i="19"/>
  <c r="E435" i="19"/>
  <c r="C435" i="19"/>
  <c r="E434" i="19"/>
  <c r="C434" i="19"/>
  <c r="E433" i="19"/>
  <c r="C433" i="19"/>
  <c r="E432" i="19"/>
  <c r="C432" i="19"/>
  <c r="E431" i="19"/>
  <c r="C431" i="19"/>
  <c r="B430" i="19"/>
  <c r="B429" i="19"/>
  <c r="E427" i="19"/>
  <c r="C427" i="19"/>
  <c r="E426" i="19"/>
  <c r="C426" i="19"/>
  <c r="E425" i="19"/>
  <c r="C425" i="19"/>
  <c r="E424" i="19"/>
  <c r="C424" i="19"/>
  <c r="E423" i="19"/>
  <c r="C423" i="19"/>
  <c r="E422" i="19"/>
  <c r="C422" i="19"/>
  <c r="E421" i="19"/>
  <c r="C421" i="19"/>
  <c r="E420" i="19"/>
  <c r="C420" i="19"/>
  <c r="E419" i="19"/>
  <c r="C419" i="19"/>
  <c r="E418" i="19"/>
  <c r="C418" i="19"/>
  <c r="E417" i="19"/>
  <c r="C417" i="19"/>
  <c r="E416" i="19"/>
  <c r="C416" i="19"/>
  <c r="E415" i="19"/>
  <c r="C415" i="19"/>
  <c r="E414" i="19"/>
  <c r="C414" i="19"/>
  <c r="E413" i="19"/>
  <c r="C413" i="19"/>
  <c r="E412" i="19"/>
  <c r="C412" i="19"/>
  <c r="E411" i="19"/>
  <c r="C411" i="19"/>
  <c r="B410" i="19"/>
  <c r="B409" i="19"/>
  <c r="E406" i="19"/>
  <c r="E405" i="19"/>
  <c r="E404" i="19"/>
  <c r="E403" i="19"/>
  <c r="E402" i="19"/>
  <c r="E401" i="19"/>
  <c r="E400" i="19"/>
  <c r="E399" i="19"/>
  <c r="C399" i="19"/>
  <c r="E398" i="19"/>
  <c r="E397" i="19"/>
  <c r="C397" i="19"/>
  <c r="B396" i="19"/>
  <c r="E392" i="19"/>
  <c r="C392" i="19"/>
  <c r="E391" i="19"/>
  <c r="C391" i="19"/>
  <c r="E390" i="19"/>
  <c r="C390" i="19"/>
  <c r="B389" i="19"/>
  <c r="E386" i="19"/>
  <c r="C386" i="19"/>
  <c r="E385" i="19"/>
  <c r="C385" i="19"/>
  <c r="E384" i="19"/>
  <c r="C384" i="19"/>
  <c r="B383" i="19"/>
  <c r="E380" i="19"/>
  <c r="C380" i="19"/>
  <c r="E379" i="19"/>
  <c r="C379" i="19"/>
  <c r="E378" i="19"/>
  <c r="C378" i="19"/>
  <c r="E377" i="19"/>
  <c r="C377" i="19"/>
  <c r="E376" i="19"/>
  <c r="C376" i="19"/>
  <c r="E375" i="19"/>
  <c r="C375" i="19"/>
  <c r="E374" i="19"/>
  <c r="C374" i="19"/>
  <c r="E373" i="19"/>
  <c r="C373" i="19"/>
  <c r="E372" i="19"/>
  <c r="C372" i="19"/>
  <c r="E371" i="19"/>
  <c r="C371" i="19"/>
  <c r="E370" i="19"/>
  <c r="C370" i="19"/>
  <c r="E369" i="19"/>
  <c r="C369" i="19"/>
  <c r="E368" i="19"/>
  <c r="C368" i="19"/>
  <c r="B367" i="19"/>
  <c r="E366" i="19"/>
  <c r="C366" i="19"/>
  <c r="B366" i="19"/>
  <c r="E365" i="19"/>
  <c r="C365" i="19"/>
  <c r="E363" i="19"/>
  <c r="C363" i="19"/>
  <c r="E362" i="19"/>
  <c r="C362" i="19"/>
  <c r="E361" i="19"/>
  <c r="C361" i="19"/>
  <c r="E360" i="19"/>
  <c r="C360" i="19"/>
  <c r="E359" i="19"/>
  <c r="C359" i="19"/>
  <c r="E358" i="19"/>
  <c r="C358" i="19"/>
  <c r="E357" i="19"/>
  <c r="C357" i="19"/>
  <c r="E356" i="19"/>
  <c r="C356" i="19"/>
  <c r="E355" i="19"/>
  <c r="C355" i="19"/>
  <c r="E354" i="19"/>
  <c r="C354" i="19"/>
  <c r="E353" i="19"/>
  <c r="C353" i="19"/>
  <c r="E352" i="19"/>
  <c r="C352" i="19"/>
  <c r="E351" i="19"/>
  <c r="C351" i="19"/>
  <c r="E350" i="19"/>
  <c r="C350" i="19"/>
  <c r="E349" i="19"/>
  <c r="C349" i="19"/>
  <c r="E347" i="19"/>
  <c r="C347" i="19"/>
  <c r="B345" i="19"/>
  <c r="B344" i="19"/>
  <c r="E343" i="19"/>
  <c r="C343" i="19"/>
  <c r="E341" i="19"/>
  <c r="C341" i="19"/>
  <c r="E340" i="19"/>
  <c r="C340" i="19"/>
  <c r="E339" i="19"/>
  <c r="C339" i="19"/>
  <c r="E338" i="19"/>
  <c r="C338" i="19"/>
  <c r="E337" i="19"/>
  <c r="C337" i="19"/>
  <c r="E335" i="19"/>
  <c r="C335" i="19"/>
  <c r="E334" i="19"/>
  <c r="C334" i="19"/>
  <c r="E333" i="19"/>
  <c r="C333" i="19"/>
  <c r="E332" i="19"/>
  <c r="C332" i="19"/>
  <c r="E331" i="19"/>
  <c r="C331" i="19"/>
  <c r="B330" i="19"/>
  <c r="E329" i="19"/>
  <c r="C329" i="19"/>
  <c r="B327" i="19"/>
  <c r="E326" i="19"/>
  <c r="C326" i="19"/>
  <c r="E325" i="19"/>
  <c r="C325" i="19"/>
  <c r="E324" i="19"/>
  <c r="C324" i="19"/>
  <c r="E323" i="19"/>
  <c r="C323" i="19"/>
  <c r="B321" i="19"/>
  <c r="E318" i="19"/>
  <c r="E317" i="19"/>
  <c r="C317" i="19"/>
  <c r="E316" i="19"/>
  <c r="C316" i="19"/>
  <c r="E315" i="19"/>
  <c r="C315" i="19"/>
  <c r="E314" i="19"/>
  <c r="C314" i="19"/>
  <c r="E313" i="19"/>
  <c r="C313" i="19"/>
  <c r="E312" i="19"/>
  <c r="C312" i="19"/>
  <c r="E311" i="19"/>
  <c r="C311" i="19"/>
  <c r="E310" i="19"/>
  <c r="C310" i="19"/>
  <c r="E309" i="19"/>
  <c r="C309" i="19"/>
  <c r="E308" i="19"/>
  <c r="C308" i="19"/>
  <c r="E307" i="19"/>
  <c r="C307" i="19"/>
  <c r="E306" i="19"/>
  <c r="C306" i="19"/>
  <c r="E304" i="19"/>
  <c r="C304" i="19"/>
  <c r="E302" i="19"/>
  <c r="C302" i="19"/>
  <c r="B300" i="19"/>
  <c r="B299" i="19"/>
  <c r="E296" i="19"/>
  <c r="C296" i="19"/>
  <c r="E295" i="19"/>
  <c r="C295" i="19"/>
  <c r="E294" i="19"/>
  <c r="C294" i="19"/>
  <c r="E293" i="19"/>
  <c r="C293" i="19"/>
  <c r="E292" i="19"/>
  <c r="E291" i="19"/>
  <c r="C291" i="19"/>
  <c r="E290" i="19"/>
  <c r="E289" i="19"/>
  <c r="C289" i="19"/>
  <c r="B287" i="19"/>
  <c r="B286" i="19"/>
  <c r="E283" i="19"/>
  <c r="C283" i="19"/>
  <c r="E282" i="19"/>
  <c r="C282" i="19"/>
  <c r="E281" i="19"/>
  <c r="C281" i="19"/>
  <c r="E280" i="19"/>
  <c r="C280" i="19"/>
  <c r="E279" i="19"/>
  <c r="C279" i="19"/>
  <c r="E278" i="19"/>
  <c r="C278" i="19"/>
  <c r="E277" i="19"/>
  <c r="E276" i="19"/>
  <c r="C276" i="19"/>
  <c r="E274" i="19"/>
  <c r="C274" i="19"/>
  <c r="B272" i="19"/>
  <c r="B271" i="19"/>
  <c r="E267" i="19"/>
  <c r="C267" i="19"/>
  <c r="E266" i="19"/>
  <c r="C266" i="19"/>
  <c r="E265" i="19"/>
  <c r="C265" i="19"/>
  <c r="E264" i="19"/>
  <c r="C264" i="19"/>
  <c r="E263" i="19"/>
  <c r="C263" i="19"/>
  <c r="E262" i="19"/>
  <c r="C262" i="19"/>
  <c r="E261" i="19"/>
  <c r="C261" i="19"/>
  <c r="E260" i="19"/>
  <c r="C260" i="19"/>
  <c r="E259" i="19"/>
  <c r="C259" i="19"/>
  <c r="E258" i="19"/>
  <c r="C258" i="19"/>
  <c r="B257" i="19"/>
  <c r="E255" i="19"/>
  <c r="C255" i="19"/>
  <c r="E254" i="19"/>
  <c r="C254" i="19"/>
  <c r="E253" i="19"/>
  <c r="E252" i="19"/>
  <c r="C252" i="19"/>
  <c r="E251" i="19"/>
  <c r="C251" i="19"/>
  <c r="E250" i="19"/>
  <c r="E249" i="19"/>
  <c r="C249" i="19"/>
  <c r="B247" i="19"/>
  <c r="B246" i="19"/>
  <c r="E243" i="19"/>
  <c r="E242" i="19"/>
  <c r="E241" i="19"/>
  <c r="E240" i="19"/>
  <c r="E239" i="19"/>
  <c r="E238" i="19"/>
  <c r="E237" i="19"/>
  <c r="E236" i="19"/>
  <c r="E235" i="19"/>
  <c r="E234" i="19"/>
  <c r="E233" i="19"/>
  <c r="E232" i="19"/>
  <c r="E231" i="19"/>
  <c r="E230" i="19"/>
  <c r="C230" i="19"/>
  <c r="E229" i="19"/>
  <c r="C229" i="19"/>
  <c r="E228" i="19"/>
  <c r="C228" i="19"/>
  <c r="E227" i="19"/>
  <c r="C227" i="19"/>
  <c r="E226" i="19"/>
  <c r="C226" i="19"/>
  <c r="E225" i="19"/>
  <c r="C225" i="19"/>
  <c r="E224" i="19"/>
  <c r="C224" i="19"/>
  <c r="B223" i="19"/>
  <c r="B222" i="19"/>
  <c r="E219" i="19"/>
  <c r="C219" i="19"/>
  <c r="E218" i="19"/>
  <c r="C218" i="19"/>
  <c r="E217" i="19"/>
  <c r="C217" i="19"/>
  <c r="E216" i="19"/>
  <c r="C216" i="19"/>
  <c r="E215" i="19"/>
  <c r="C215" i="19"/>
  <c r="E214" i="19"/>
  <c r="C214" i="19"/>
  <c r="E213" i="19"/>
  <c r="C213" i="19"/>
  <c r="E212" i="19"/>
  <c r="C212" i="19"/>
  <c r="E211" i="19"/>
  <c r="E210" i="19"/>
  <c r="C210" i="19"/>
  <c r="E208" i="19"/>
  <c r="C208" i="19"/>
  <c r="B207" i="19"/>
  <c r="E205" i="19"/>
  <c r="C205" i="19"/>
  <c r="E203" i="19"/>
  <c r="C203" i="19"/>
  <c r="E202" i="19"/>
  <c r="C202" i="19"/>
  <c r="E201" i="19"/>
  <c r="C201" i="19"/>
  <c r="E200" i="19"/>
  <c r="C200" i="19"/>
  <c r="E199" i="19"/>
  <c r="C199" i="19"/>
  <c r="E198" i="19"/>
  <c r="C198" i="19"/>
  <c r="E196" i="19"/>
  <c r="C196" i="19"/>
  <c r="B195" i="19"/>
  <c r="E192" i="19"/>
  <c r="C192" i="19"/>
  <c r="B191" i="19"/>
  <c r="E187" i="19"/>
  <c r="E186" i="19"/>
  <c r="C186" i="19"/>
  <c r="E185" i="19"/>
  <c r="C185" i="19"/>
  <c r="E184" i="19"/>
  <c r="C184" i="19"/>
  <c r="E183" i="19"/>
  <c r="C183" i="19"/>
  <c r="E181" i="19"/>
  <c r="C181" i="19"/>
  <c r="B179" i="19"/>
  <c r="B178" i="19"/>
  <c r="E175" i="19"/>
  <c r="E174" i="19"/>
  <c r="E173" i="19"/>
  <c r="C173" i="19"/>
  <c r="E172" i="19"/>
  <c r="C172" i="19"/>
  <c r="E171" i="19"/>
  <c r="C171" i="19"/>
  <c r="E170" i="19"/>
  <c r="C170" i="19"/>
  <c r="E169" i="19"/>
  <c r="C169" i="19"/>
  <c r="E168" i="19"/>
  <c r="C168" i="19"/>
  <c r="E167" i="19"/>
  <c r="C167" i="19"/>
  <c r="E166" i="19"/>
  <c r="C166" i="19"/>
  <c r="E165" i="19"/>
  <c r="C165" i="19"/>
  <c r="E164" i="19"/>
  <c r="C164" i="19"/>
  <c r="E163" i="19"/>
  <c r="C163" i="19"/>
  <c r="E162" i="19"/>
  <c r="C162" i="19"/>
  <c r="E161" i="19"/>
  <c r="C161" i="19"/>
  <c r="B159" i="19"/>
  <c r="B158" i="19"/>
  <c r="E154" i="19"/>
  <c r="E153" i="19"/>
  <c r="E152" i="19"/>
  <c r="C152" i="19"/>
  <c r="E151" i="19"/>
  <c r="C151" i="19"/>
  <c r="E150" i="19"/>
  <c r="C150" i="19"/>
  <c r="E149" i="19"/>
  <c r="C149" i="19"/>
  <c r="E148" i="19"/>
  <c r="C148" i="19"/>
  <c r="E147" i="19"/>
  <c r="C147" i="19"/>
  <c r="E146" i="19"/>
  <c r="C146" i="19"/>
  <c r="E145" i="19"/>
  <c r="C145" i="19"/>
  <c r="E144" i="19"/>
  <c r="C144" i="19"/>
  <c r="E143" i="19"/>
  <c r="C143" i="19"/>
  <c r="E142" i="19"/>
  <c r="C142" i="19"/>
  <c r="E141" i="19"/>
  <c r="C141" i="19"/>
  <c r="E140" i="19"/>
  <c r="C140" i="19"/>
  <c r="E139" i="19"/>
  <c r="C139" i="19"/>
  <c r="B137" i="19"/>
  <c r="B136" i="19"/>
  <c r="E132" i="19"/>
  <c r="E131" i="19"/>
  <c r="E130" i="19"/>
  <c r="E129" i="19"/>
  <c r="C129" i="19"/>
  <c r="E128" i="19"/>
  <c r="C128" i="19"/>
  <c r="E127" i="19"/>
  <c r="C127" i="19"/>
  <c r="E126" i="19"/>
  <c r="C126" i="19"/>
  <c r="E125" i="19"/>
  <c r="C125" i="19"/>
  <c r="E124" i="19"/>
  <c r="C124" i="19"/>
  <c r="E123" i="19"/>
  <c r="C123" i="19"/>
  <c r="E122" i="19"/>
  <c r="C122" i="19"/>
  <c r="E121" i="19"/>
  <c r="C121" i="19"/>
  <c r="E120" i="19"/>
  <c r="C120" i="19"/>
  <c r="E119" i="19"/>
  <c r="C119" i="19"/>
  <c r="E118" i="19"/>
  <c r="C118" i="19"/>
  <c r="E117" i="19"/>
  <c r="C117" i="19"/>
  <c r="E116" i="19"/>
  <c r="C116" i="19"/>
  <c r="E115" i="19"/>
  <c r="C115" i="19"/>
  <c r="E114" i="19"/>
  <c r="C114" i="19"/>
  <c r="E113" i="19"/>
  <c r="C113" i="19"/>
  <c r="E112" i="19"/>
  <c r="C112" i="19"/>
  <c r="B110" i="19"/>
  <c r="B109" i="19"/>
  <c r="E107" i="19"/>
  <c r="C107" i="19"/>
  <c r="E105" i="19"/>
  <c r="C105" i="19"/>
  <c r="E104" i="19"/>
  <c r="C104" i="19"/>
  <c r="E103" i="19"/>
  <c r="C103" i="19"/>
  <c r="E102" i="19"/>
  <c r="C102" i="19"/>
  <c r="E101" i="19"/>
  <c r="C101" i="19"/>
  <c r="E100" i="19"/>
  <c r="C100" i="19"/>
  <c r="E99" i="19"/>
  <c r="C99" i="19"/>
  <c r="E98" i="19"/>
  <c r="C98" i="19"/>
  <c r="E97" i="19"/>
  <c r="C97" i="19"/>
  <c r="B96" i="19"/>
  <c r="E92" i="19"/>
  <c r="C92" i="19"/>
  <c r="E91" i="19"/>
  <c r="C91" i="19"/>
  <c r="E90" i="19"/>
  <c r="C90" i="19"/>
  <c r="E89" i="19"/>
  <c r="C89" i="19"/>
  <c r="B87" i="19"/>
  <c r="E86" i="19"/>
  <c r="C86" i="19"/>
  <c r="E85" i="19"/>
  <c r="E84" i="19"/>
  <c r="E83" i="19"/>
  <c r="E82" i="19"/>
  <c r="C82" i="19"/>
  <c r="E81" i="19"/>
  <c r="C81" i="19"/>
  <c r="E80" i="19"/>
  <c r="E79" i="19"/>
  <c r="C79" i="19"/>
  <c r="E78" i="19"/>
  <c r="C78" i="19"/>
  <c r="E77" i="19"/>
  <c r="C77" i="19"/>
  <c r="E76" i="19"/>
  <c r="C76" i="19"/>
  <c r="B75" i="19"/>
  <c r="E73" i="19"/>
  <c r="C73" i="19"/>
  <c r="B73" i="19"/>
  <c r="E71" i="19"/>
  <c r="C71" i="19"/>
  <c r="E70" i="19"/>
  <c r="C70" i="19"/>
  <c r="E69" i="19"/>
  <c r="C69" i="19"/>
  <c r="E68" i="19"/>
  <c r="C68" i="19"/>
  <c r="E67" i="19"/>
  <c r="C67" i="19"/>
  <c r="E66" i="19"/>
  <c r="C66" i="19"/>
  <c r="E65" i="19"/>
  <c r="C65" i="19"/>
  <c r="E64" i="19"/>
  <c r="C64" i="19"/>
  <c r="E62" i="19"/>
  <c r="C62" i="19"/>
  <c r="B62" i="19"/>
  <c r="E61" i="19"/>
  <c r="C61" i="19"/>
  <c r="B61" i="19"/>
  <c r="E60" i="19"/>
  <c r="C60" i="19"/>
  <c r="E59" i="19"/>
  <c r="C59" i="19"/>
  <c r="E58" i="19"/>
  <c r="C58" i="19"/>
  <c r="E57" i="19"/>
  <c r="C57" i="19"/>
  <c r="E55" i="19"/>
  <c r="C55" i="19"/>
  <c r="B53" i="19"/>
  <c r="B52" i="19"/>
  <c r="E49" i="19"/>
  <c r="C49" i="19"/>
  <c r="E48" i="19"/>
  <c r="C48" i="19"/>
  <c r="E47" i="19"/>
  <c r="C47" i="19"/>
  <c r="E46" i="19"/>
  <c r="C46" i="19"/>
  <c r="E45" i="19"/>
  <c r="C45" i="19"/>
  <c r="E44" i="19"/>
  <c r="C44" i="19"/>
  <c r="E43" i="19"/>
  <c r="C43" i="19"/>
  <c r="E42" i="19"/>
  <c r="C42" i="19"/>
  <c r="E41" i="19"/>
  <c r="C41" i="19"/>
  <c r="E40" i="19"/>
  <c r="C40" i="19"/>
  <c r="E39" i="19"/>
  <c r="C39" i="19"/>
  <c r="E38" i="19"/>
  <c r="C38" i="19"/>
  <c r="E37" i="19"/>
  <c r="C37" i="19"/>
  <c r="E36" i="19"/>
  <c r="C36" i="19"/>
  <c r="E35" i="19"/>
  <c r="C35" i="19"/>
  <c r="E33" i="19"/>
  <c r="C33" i="19"/>
  <c r="B33" i="19"/>
  <c r="E32" i="19"/>
  <c r="C32" i="19"/>
  <c r="E31" i="19"/>
  <c r="C31" i="19"/>
  <c r="E30" i="19"/>
  <c r="C30" i="19"/>
  <c r="E29" i="19"/>
  <c r="C29" i="19"/>
  <c r="E28" i="19"/>
  <c r="C28" i="19"/>
  <c r="B27" i="19"/>
  <c r="C24" i="19"/>
  <c r="E23" i="19"/>
  <c r="C23" i="19"/>
  <c r="E22" i="19"/>
  <c r="C22" i="19"/>
  <c r="E21" i="19"/>
  <c r="C21" i="19"/>
  <c r="E20" i="19"/>
  <c r="C20" i="19"/>
  <c r="E19" i="19"/>
  <c r="C19" i="19"/>
  <c r="E18" i="19"/>
  <c r="C18" i="19"/>
  <c r="E17" i="19"/>
  <c r="C17" i="19"/>
  <c r="E16" i="19"/>
  <c r="C16" i="19"/>
  <c r="E15" i="19"/>
  <c r="C15" i="19"/>
  <c r="E14" i="19"/>
  <c r="C14" i="19"/>
  <c r="E13" i="19"/>
  <c r="C13" i="19"/>
  <c r="E12" i="19"/>
  <c r="C12" i="19"/>
  <c r="E11" i="19"/>
  <c r="C11" i="19"/>
  <c r="E10" i="19"/>
  <c r="C10" i="19"/>
  <c r="E9" i="19"/>
  <c r="C9" i="19"/>
  <c r="E8" i="19"/>
  <c r="C8" i="19"/>
  <c r="E7" i="19"/>
  <c r="C7" i="19"/>
  <c r="E6" i="19"/>
  <c r="C6" i="19"/>
  <c r="E5" i="19"/>
  <c r="C5" i="19"/>
  <c r="B4" i="19"/>
  <c r="E639" i="18"/>
  <c r="C639" i="18"/>
  <c r="E637" i="18"/>
  <c r="C637" i="18"/>
  <c r="E636" i="18"/>
  <c r="C636" i="18"/>
  <c r="E635" i="18"/>
  <c r="C635" i="18"/>
  <c r="E634" i="18"/>
  <c r="C634" i="18"/>
  <c r="E633" i="18"/>
  <c r="C633" i="18"/>
  <c r="E632" i="18"/>
  <c r="C632" i="18"/>
  <c r="E631" i="18"/>
  <c r="C631" i="18"/>
  <c r="E630" i="18"/>
  <c r="C630" i="18"/>
  <c r="E628" i="18"/>
  <c r="C628" i="18"/>
  <c r="E626" i="18"/>
  <c r="C626" i="18"/>
  <c r="E624" i="18"/>
  <c r="C624" i="18"/>
  <c r="B623" i="18"/>
  <c r="B621" i="18"/>
  <c r="B620" i="18"/>
  <c r="E618" i="18"/>
  <c r="C618" i="18"/>
  <c r="E616" i="18"/>
  <c r="C616" i="18"/>
  <c r="E615" i="18"/>
  <c r="C615" i="18"/>
  <c r="E614" i="18"/>
  <c r="C614" i="18"/>
  <c r="E613" i="18"/>
  <c r="C613" i="18"/>
  <c r="E612" i="18"/>
  <c r="C612" i="18"/>
  <c r="E611" i="18"/>
  <c r="C611" i="18"/>
  <c r="B610" i="18"/>
  <c r="B608" i="18"/>
  <c r="B607" i="18"/>
  <c r="E603" i="18"/>
  <c r="C603" i="18"/>
  <c r="E602" i="18"/>
  <c r="C602" i="18"/>
  <c r="E601" i="18"/>
  <c r="C601" i="18"/>
  <c r="E600" i="18"/>
  <c r="C600" i="18"/>
  <c r="E599" i="18"/>
  <c r="C599" i="18"/>
  <c r="E598" i="18"/>
  <c r="C598" i="18"/>
  <c r="E597" i="18"/>
  <c r="C597" i="18"/>
  <c r="E596" i="18"/>
  <c r="C596" i="18"/>
  <c r="E595" i="18"/>
  <c r="C595" i="18"/>
  <c r="E594" i="18"/>
  <c r="C594" i="18"/>
  <c r="E593" i="18"/>
  <c r="C593" i="18"/>
  <c r="E592" i="18"/>
  <c r="C592" i="18"/>
  <c r="E591" i="18"/>
  <c r="C591" i="18"/>
  <c r="E590" i="18"/>
  <c r="C590" i="18"/>
  <c r="E589" i="18"/>
  <c r="C589" i="18"/>
  <c r="E588" i="18"/>
  <c r="C588" i="18"/>
  <c r="C587" i="18"/>
  <c r="E586" i="18"/>
  <c r="C586" i="18"/>
  <c r="E584" i="18"/>
  <c r="C584" i="18"/>
  <c r="B583" i="18"/>
  <c r="B581" i="18"/>
  <c r="B580" i="18"/>
  <c r="E578" i="18"/>
  <c r="C578" i="18"/>
  <c r="E576" i="18"/>
  <c r="C576" i="18"/>
  <c r="E575" i="18"/>
  <c r="C575" i="18"/>
  <c r="E574" i="18"/>
  <c r="C574" i="18"/>
  <c r="E573" i="18"/>
  <c r="C573" i="18"/>
  <c r="E572" i="18"/>
  <c r="C572" i="18"/>
  <c r="E571" i="18"/>
  <c r="C571" i="18"/>
  <c r="E570" i="18"/>
  <c r="C570" i="18"/>
  <c r="E569" i="18"/>
  <c r="C569" i="18"/>
  <c r="E568" i="18"/>
  <c r="C568" i="18"/>
  <c r="E567" i="18"/>
  <c r="C567" i="18"/>
  <c r="E566" i="18"/>
  <c r="C566" i="18"/>
  <c r="E565" i="18"/>
  <c r="C565" i="18"/>
  <c r="E564" i="18"/>
  <c r="C564" i="18"/>
  <c r="E563" i="18"/>
  <c r="C563" i="18"/>
  <c r="E562" i="18"/>
  <c r="C562" i="18"/>
  <c r="E561" i="18"/>
  <c r="C561" i="18"/>
  <c r="E560" i="18"/>
  <c r="C560" i="18"/>
  <c r="E559" i="18"/>
  <c r="C559" i="18"/>
  <c r="E558" i="18"/>
  <c r="C558" i="18"/>
  <c r="E557" i="18"/>
  <c r="C557" i="18"/>
  <c r="E556" i="18"/>
  <c r="C556" i="18"/>
  <c r="E555" i="18"/>
  <c r="C555" i="18"/>
  <c r="B554" i="18"/>
  <c r="E553" i="18"/>
  <c r="C553" i="18"/>
  <c r="B553" i="18"/>
  <c r="B552" i="18"/>
  <c r="B551" i="18"/>
  <c r="E548" i="18"/>
  <c r="E547" i="18"/>
  <c r="E546" i="18"/>
  <c r="C546" i="18"/>
  <c r="E545" i="18"/>
  <c r="C545" i="18"/>
  <c r="E544" i="18"/>
  <c r="C544" i="18"/>
  <c r="E543" i="18"/>
  <c r="C543" i="18"/>
  <c r="E542" i="18"/>
  <c r="C542" i="18"/>
  <c r="E541" i="18"/>
  <c r="C541" i="18"/>
  <c r="E540" i="18"/>
  <c r="C540" i="18"/>
  <c r="E539" i="18"/>
  <c r="C539" i="18"/>
  <c r="E538" i="18"/>
  <c r="C538" i="18"/>
  <c r="E537" i="18"/>
  <c r="C537" i="18"/>
  <c r="E536" i="18"/>
  <c r="C536" i="18"/>
  <c r="E535" i="18"/>
  <c r="C535" i="18"/>
  <c r="E534" i="18"/>
  <c r="C534" i="18"/>
  <c r="E533" i="18"/>
  <c r="C533" i="18"/>
  <c r="E532" i="18"/>
  <c r="C532" i="18"/>
  <c r="E531" i="18"/>
  <c r="C531" i="18"/>
  <c r="E530" i="18"/>
  <c r="C530" i="18"/>
  <c r="E529" i="18"/>
  <c r="C529" i="18"/>
  <c r="E528" i="18"/>
  <c r="C528" i="18"/>
  <c r="E527" i="18"/>
  <c r="C527" i="18"/>
  <c r="E526" i="18"/>
  <c r="C526" i="18"/>
  <c r="B525" i="18"/>
  <c r="E521" i="18"/>
  <c r="C521" i="18"/>
  <c r="E520" i="18"/>
  <c r="C520" i="18"/>
  <c r="E519" i="18"/>
  <c r="C519" i="18"/>
  <c r="E518" i="18"/>
  <c r="C518" i="18"/>
  <c r="E517" i="18"/>
  <c r="C517" i="18"/>
  <c r="B517" i="18"/>
  <c r="E516" i="18"/>
  <c r="C516" i="18"/>
  <c r="B516" i="18"/>
  <c r="E515" i="18"/>
  <c r="C515" i="18"/>
  <c r="E514" i="18"/>
  <c r="C514" i="18"/>
  <c r="E513" i="18"/>
  <c r="C513" i="18"/>
  <c r="E512" i="18"/>
  <c r="C512" i="18"/>
  <c r="B512" i="18"/>
  <c r="B511" i="18"/>
  <c r="B510" i="18"/>
  <c r="E508" i="18"/>
  <c r="C508" i="18"/>
  <c r="E506" i="18"/>
  <c r="C506" i="18"/>
  <c r="B506" i="18"/>
  <c r="E505" i="18"/>
  <c r="C505" i="18"/>
  <c r="B505" i="18"/>
  <c r="E503" i="18"/>
  <c r="C503" i="18"/>
  <c r="E501" i="18"/>
  <c r="C501" i="18"/>
  <c r="B501" i="18"/>
  <c r="B499" i="18"/>
  <c r="E496" i="18"/>
  <c r="C496" i="18"/>
  <c r="E495" i="18"/>
  <c r="C495" i="18"/>
  <c r="E494" i="18"/>
  <c r="C494" i="18"/>
  <c r="E493" i="18"/>
  <c r="C493" i="18"/>
  <c r="E492" i="18"/>
  <c r="C492" i="18"/>
  <c r="E491" i="18"/>
  <c r="C491" i="18"/>
  <c r="E490" i="18"/>
  <c r="C490" i="18"/>
  <c r="E489" i="18"/>
  <c r="C489" i="18"/>
  <c r="E488" i="18"/>
  <c r="C488" i="18"/>
  <c r="E487" i="18"/>
  <c r="C487" i="18"/>
  <c r="E486" i="18"/>
  <c r="C486" i="18"/>
  <c r="E485" i="18"/>
  <c r="C485" i="18"/>
  <c r="B484" i="18"/>
  <c r="B483" i="18"/>
  <c r="B482" i="18"/>
  <c r="E479" i="18"/>
  <c r="C479" i="18"/>
  <c r="E478" i="18"/>
  <c r="C478" i="18"/>
  <c r="E477" i="18"/>
  <c r="C477" i="18"/>
  <c r="E476" i="18"/>
  <c r="C476" i="18"/>
  <c r="E475" i="18"/>
  <c r="C475" i="18"/>
  <c r="E474" i="18"/>
  <c r="C474" i="18"/>
  <c r="E473" i="18"/>
  <c r="C473" i="18"/>
  <c r="E472" i="18"/>
  <c r="C472" i="18"/>
  <c r="E471" i="18"/>
  <c r="C471" i="18"/>
  <c r="E470" i="18"/>
  <c r="C470" i="18"/>
  <c r="E469" i="18"/>
  <c r="C469" i="18"/>
  <c r="E468" i="18"/>
  <c r="C468" i="18"/>
  <c r="E467" i="18"/>
  <c r="C467" i="18"/>
  <c r="E466" i="18"/>
  <c r="C466" i="18"/>
  <c r="E465" i="18"/>
  <c r="C465" i="18"/>
  <c r="B464" i="18"/>
  <c r="B463" i="18"/>
  <c r="B462" i="18"/>
  <c r="E459" i="18"/>
  <c r="C459" i="18"/>
  <c r="E458" i="18"/>
  <c r="C458" i="18"/>
  <c r="E457" i="18"/>
  <c r="C457" i="18"/>
  <c r="E456" i="18"/>
  <c r="C456" i="18"/>
  <c r="E455" i="18"/>
  <c r="C455" i="18"/>
  <c r="E454" i="18"/>
  <c r="C454" i="18"/>
  <c r="E453" i="18"/>
  <c r="C453" i="18"/>
  <c r="E452" i="18"/>
  <c r="C452" i="18"/>
  <c r="E451" i="18"/>
  <c r="C451" i="18"/>
  <c r="B450" i="18"/>
  <c r="B449" i="18"/>
  <c r="E448" i="18"/>
  <c r="C448" i="18"/>
  <c r="E447" i="18"/>
  <c r="C447" i="18"/>
  <c r="E446" i="18"/>
  <c r="C446" i="18"/>
  <c r="E445" i="18"/>
  <c r="C445" i="18"/>
  <c r="E444" i="18"/>
  <c r="C444" i="18"/>
  <c r="E443" i="18"/>
  <c r="C443" i="18"/>
  <c r="E442" i="18"/>
  <c r="C442" i="18"/>
  <c r="E441" i="18"/>
  <c r="C441" i="18"/>
  <c r="E440" i="18"/>
  <c r="C440" i="18"/>
  <c r="B439" i="18"/>
  <c r="B438" i="18"/>
  <c r="B437" i="18"/>
  <c r="E434" i="18"/>
  <c r="C434" i="18"/>
  <c r="E433" i="18"/>
  <c r="C433" i="18"/>
  <c r="E432" i="18"/>
  <c r="C432" i="18"/>
  <c r="E431" i="18"/>
  <c r="C431" i="18"/>
  <c r="E430" i="18"/>
  <c r="C430" i="18"/>
  <c r="E429" i="18"/>
  <c r="C429" i="18"/>
  <c r="E428" i="18"/>
  <c r="C428" i="18"/>
  <c r="E427" i="18"/>
  <c r="C427" i="18"/>
  <c r="E426" i="18"/>
  <c r="C426" i="18"/>
  <c r="E425" i="18"/>
  <c r="C425" i="18"/>
  <c r="E424" i="18"/>
  <c r="C424" i="18"/>
  <c r="E423" i="18"/>
  <c r="C423" i="18"/>
  <c r="E422" i="18"/>
  <c r="C422" i="18"/>
  <c r="E421" i="18"/>
  <c r="C421" i="18"/>
  <c r="E420" i="18"/>
  <c r="C420" i="18"/>
  <c r="B419" i="18"/>
  <c r="B418" i="18"/>
  <c r="E416" i="18"/>
  <c r="C416" i="18"/>
  <c r="E415" i="18"/>
  <c r="C415" i="18"/>
  <c r="E414" i="18"/>
  <c r="C414" i="18"/>
  <c r="E413" i="18"/>
  <c r="C413" i="18"/>
  <c r="E412" i="18"/>
  <c r="C412" i="18"/>
  <c r="E411" i="18"/>
  <c r="C411" i="18"/>
  <c r="E410" i="18"/>
  <c r="C410" i="18"/>
  <c r="E409" i="18"/>
  <c r="C409" i="18"/>
  <c r="E408" i="18"/>
  <c r="C408" i="18"/>
  <c r="E407" i="18"/>
  <c r="C407" i="18"/>
  <c r="E406" i="18"/>
  <c r="C406" i="18"/>
  <c r="E405" i="18"/>
  <c r="C405" i="18"/>
  <c r="E404" i="18"/>
  <c r="C404" i="18"/>
  <c r="E403" i="18"/>
  <c r="C403" i="18"/>
  <c r="E402" i="18"/>
  <c r="C402" i="18"/>
  <c r="E401" i="18"/>
  <c r="C401" i="18"/>
  <c r="E400" i="18"/>
  <c r="C400" i="18"/>
  <c r="B399" i="18"/>
  <c r="B398" i="18"/>
  <c r="E395" i="18"/>
  <c r="E394" i="18"/>
  <c r="E393" i="18"/>
  <c r="E392" i="18"/>
  <c r="E391" i="18"/>
  <c r="E390" i="18"/>
  <c r="E389" i="18"/>
  <c r="E388" i="18"/>
  <c r="C388" i="18"/>
  <c r="E387" i="18"/>
  <c r="E386" i="18"/>
  <c r="C386" i="18"/>
  <c r="B385" i="18"/>
  <c r="E381" i="18"/>
  <c r="C381" i="18"/>
  <c r="E380" i="18"/>
  <c r="C380" i="18"/>
  <c r="E379" i="18"/>
  <c r="C379" i="18"/>
  <c r="B378" i="18"/>
  <c r="E375" i="18"/>
  <c r="C375" i="18"/>
  <c r="E374" i="18"/>
  <c r="C374" i="18"/>
  <c r="E373" i="18"/>
  <c r="C373" i="18"/>
  <c r="B372" i="18"/>
  <c r="E369" i="18"/>
  <c r="C369" i="18"/>
  <c r="E368" i="18"/>
  <c r="C368" i="18"/>
  <c r="E367" i="18"/>
  <c r="C367" i="18"/>
  <c r="E366" i="18"/>
  <c r="C366" i="18"/>
  <c r="E365" i="18"/>
  <c r="C365" i="18"/>
  <c r="E364" i="18"/>
  <c r="C364" i="18"/>
  <c r="E363" i="18"/>
  <c r="C363" i="18"/>
  <c r="E362" i="18"/>
  <c r="C362" i="18"/>
  <c r="E361" i="18"/>
  <c r="C361" i="18"/>
  <c r="E360" i="18"/>
  <c r="C360" i="18"/>
  <c r="E359" i="18"/>
  <c r="C359" i="18"/>
  <c r="E358" i="18"/>
  <c r="C358" i="18"/>
  <c r="E357" i="18"/>
  <c r="C357" i="18"/>
  <c r="B356" i="18"/>
  <c r="E355" i="18"/>
  <c r="C355" i="18"/>
  <c r="B355" i="18"/>
  <c r="E354" i="18"/>
  <c r="C354" i="18"/>
  <c r="E353" i="18"/>
  <c r="C353" i="18"/>
  <c r="E352" i="18"/>
  <c r="C352" i="18"/>
  <c r="E351" i="18"/>
  <c r="C351" i="18"/>
  <c r="E350" i="18"/>
  <c r="C350" i="18"/>
  <c r="E349" i="18"/>
  <c r="C349" i="18"/>
  <c r="E348" i="18"/>
  <c r="C348" i="18"/>
  <c r="E347" i="18"/>
  <c r="C347" i="18"/>
  <c r="E346" i="18"/>
  <c r="C346" i="18"/>
  <c r="E345" i="18"/>
  <c r="C345" i="18"/>
  <c r="E344" i="18"/>
  <c r="C344" i="18"/>
  <c r="E343" i="18"/>
  <c r="C343" i="18"/>
  <c r="E342" i="18"/>
  <c r="C342" i="18"/>
  <c r="E341" i="18"/>
  <c r="C341" i="18"/>
  <c r="E340" i="18"/>
  <c r="C340" i="18"/>
  <c r="E339" i="18"/>
  <c r="C339" i="18"/>
  <c r="E338" i="18"/>
  <c r="C338" i="18"/>
  <c r="E336" i="18"/>
  <c r="C336" i="18"/>
  <c r="B334" i="18"/>
  <c r="B333" i="18"/>
  <c r="E332" i="18"/>
  <c r="C332" i="18"/>
  <c r="E330" i="18"/>
  <c r="C330" i="18"/>
  <c r="E329" i="18"/>
  <c r="C329" i="18"/>
  <c r="E328" i="18"/>
  <c r="C328" i="18"/>
  <c r="E327" i="18"/>
  <c r="C327" i="18"/>
  <c r="E326" i="18"/>
  <c r="C326" i="18"/>
  <c r="E325" i="18"/>
  <c r="E324" i="18"/>
  <c r="C324" i="18"/>
  <c r="E323" i="18"/>
  <c r="C323" i="18"/>
  <c r="E322" i="18"/>
  <c r="C322" i="18"/>
  <c r="E321" i="18"/>
  <c r="C321" i="18"/>
  <c r="E320" i="18"/>
  <c r="C320" i="18"/>
  <c r="B319" i="18"/>
  <c r="E318" i="18"/>
  <c r="C318" i="18"/>
  <c r="B316" i="18"/>
  <c r="E315" i="18"/>
  <c r="C315" i="18"/>
  <c r="E314" i="18"/>
  <c r="C314" i="18"/>
  <c r="E313" i="18"/>
  <c r="C313" i="18"/>
  <c r="E312" i="18"/>
  <c r="C312" i="18"/>
  <c r="B310" i="18"/>
  <c r="E306" i="18"/>
  <c r="E305" i="18"/>
  <c r="C305" i="18"/>
  <c r="E304" i="18"/>
  <c r="C304" i="18"/>
  <c r="E303" i="18"/>
  <c r="C303" i="18"/>
  <c r="E302" i="18"/>
  <c r="C302" i="18"/>
  <c r="E301" i="18"/>
  <c r="C301" i="18"/>
  <c r="E300" i="18"/>
  <c r="C300" i="18"/>
  <c r="E299" i="18"/>
  <c r="C299" i="18"/>
  <c r="E298" i="18"/>
  <c r="C298" i="18"/>
  <c r="E297" i="18"/>
  <c r="C297" i="18"/>
  <c r="E296" i="18"/>
  <c r="C296" i="18"/>
  <c r="E295" i="18"/>
  <c r="C295" i="18"/>
  <c r="E294" i="18"/>
  <c r="C294" i="18"/>
  <c r="E292" i="18"/>
  <c r="C292" i="18"/>
  <c r="E290" i="18"/>
  <c r="C290" i="18"/>
  <c r="B288" i="18"/>
  <c r="B287" i="18"/>
  <c r="E284" i="18"/>
  <c r="C284" i="18"/>
  <c r="E283" i="18"/>
  <c r="C283" i="18"/>
  <c r="E282" i="18"/>
  <c r="C282" i="18"/>
  <c r="E281" i="18"/>
  <c r="C281" i="18"/>
  <c r="E280" i="18"/>
  <c r="C280" i="18"/>
  <c r="E279" i="18"/>
  <c r="C279" i="18"/>
  <c r="E278" i="18"/>
  <c r="C278" i="18"/>
  <c r="E276" i="18"/>
  <c r="C276" i="18"/>
  <c r="E274" i="18"/>
  <c r="C274" i="18"/>
  <c r="B272" i="18"/>
  <c r="B271" i="18"/>
  <c r="E267" i="18"/>
  <c r="C267" i="18"/>
  <c r="E266" i="18"/>
  <c r="C266" i="18"/>
  <c r="E265" i="18"/>
  <c r="C265" i="18"/>
  <c r="E264" i="18"/>
  <c r="C264" i="18"/>
  <c r="E263" i="18"/>
  <c r="C263" i="18"/>
  <c r="E262" i="18"/>
  <c r="E261" i="18"/>
  <c r="C261" i="18"/>
  <c r="E259" i="18"/>
  <c r="C259" i="18"/>
  <c r="B257" i="18"/>
  <c r="B256" i="18"/>
  <c r="E252" i="18"/>
  <c r="C252" i="18"/>
  <c r="E251" i="18"/>
  <c r="C251" i="18"/>
  <c r="E250" i="18"/>
  <c r="C250" i="18"/>
  <c r="E249" i="18"/>
  <c r="C249" i="18"/>
  <c r="E248" i="18"/>
  <c r="C248" i="18"/>
  <c r="E247" i="18"/>
  <c r="C247" i="18"/>
  <c r="E246" i="18"/>
  <c r="C246" i="18"/>
  <c r="E245" i="18"/>
  <c r="C245" i="18"/>
  <c r="E244" i="18"/>
  <c r="C244" i="18"/>
  <c r="E243" i="18"/>
  <c r="C243" i="18"/>
  <c r="B242" i="18"/>
  <c r="E240" i="18"/>
  <c r="C240" i="18"/>
  <c r="E238" i="18"/>
  <c r="C238" i="18"/>
  <c r="E237" i="18"/>
  <c r="C237" i="18"/>
  <c r="E236" i="18"/>
  <c r="E235" i="18"/>
  <c r="C235" i="18"/>
  <c r="B233" i="18"/>
  <c r="B232" i="18"/>
  <c r="E228" i="18"/>
  <c r="E227" i="18"/>
  <c r="E226" i="18"/>
  <c r="E225" i="18"/>
  <c r="E224" i="18"/>
  <c r="E223" i="18"/>
  <c r="E222" i="18"/>
  <c r="E221" i="18"/>
  <c r="E220" i="18"/>
  <c r="E219" i="18"/>
  <c r="E218" i="18"/>
  <c r="E217" i="18"/>
  <c r="C217" i="18"/>
  <c r="E216" i="18"/>
  <c r="C216" i="18"/>
  <c r="E215" i="18"/>
  <c r="C215" i="18"/>
  <c r="E214" i="18"/>
  <c r="C214" i="18"/>
  <c r="E213" i="18"/>
  <c r="C213" i="18"/>
  <c r="E212" i="18"/>
  <c r="C212" i="18"/>
  <c r="E211" i="18"/>
  <c r="C211" i="18"/>
  <c r="B210" i="18"/>
  <c r="E209" i="18"/>
  <c r="E208" i="18"/>
  <c r="C208" i="18"/>
  <c r="E206" i="18"/>
  <c r="C206" i="18"/>
  <c r="B205" i="18"/>
  <c r="E203" i="18"/>
  <c r="C203" i="18"/>
  <c r="E201" i="18"/>
  <c r="C201" i="18"/>
  <c r="E200" i="18"/>
  <c r="C200" i="18"/>
  <c r="E199" i="18"/>
  <c r="C199" i="18"/>
  <c r="E198" i="18"/>
  <c r="C198" i="18"/>
  <c r="E197" i="18"/>
  <c r="C197" i="18"/>
  <c r="E196" i="18"/>
  <c r="C196" i="18"/>
  <c r="E194" i="18"/>
  <c r="C194" i="18"/>
  <c r="B193" i="18"/>
  <c r="E190" i="18"/>
  <c r="C190" i="18"/>
  <c r="B189" i="18"/>
  <c r="E185" i="18"/>
  <c r="E184" i="18"/>
  <c r="C184" i="18"/>
  <c r="E183" i="18"/>
  <c r="C183" i="18"/>
  <c r="E182" i="18"/>
  <c r="C182" i="18"/>
  <c r="E181" i="18"/>
  <c r="C181" i="18"/>
  <c r="E179" i="18"/>
  <c r="C179" i="18"/>
  <c r="B177" i="18"/>
  <c r="B176" i="18"/>
  <c r="E172" i="18"/>
  <c r="E171" i="18"/>
  <c r="C171" i="18"/>
  <c r="E170" i="18"/>
  <c r="C170" i="18"/>
  <c r="E169" i="18"/>
  <c r="C169" i="18"/>
  <c r="E168" i="18"/>
  <c r="C168" i="18"/>
  <c r="E167" i="18"/>
  <c r="C167" i="18"/>
  <c r="E166" i="18"/>
  <c r="C166" i="18"/>
  <c r="E165" i="18"/>
  <c r="C165" i="18"/>
  <c r="E164" i="18"/>
  <c r="C164" i="18"/>
  <c r="E163" i="18"/>
  <c r="C163" i="18"/>
  <c r="E162" i="18"/>
  <c r="C162" i="18"/>
  <c r="E161" i="18"/>
  <c r="C161" i="18"/>
  <c r="E160" i="18"/>
  <c r="C160" i="18"/>
  <c r="E159" i="18"/>
  <c r="C159" i="18"/>
  <c r="B157" i="18"/>
  <c r="B156" i="18"/>
  <c r="E152" i="18"/>
  <c r="E151" i="18"/>
  <c r="E150" i="18"/>
  <c r="C150" i="18"/>
  <c r="E149" i="18"/>
  <c r="C149" i="18"/>
  <c r="E148" i="18"/>
  <c r="C148" i="18"/>
  <c r="E147" i="18"/>
  <c r="C147" i="18"/>
  <c r="E146" i="18"/>
  <c r="C146" i="18"/>
  <c r="E145" i="18"/>
  <c r="C145" i="18"/>
  <c r="E144" i="18"/>
  <c r="C144" i="18"/>
  <c r="E143" i="18"/>
  <c r="C143" i="18"/>
  <c r="E142" i="18"/>
  <c r="C142" i="18"/>
  <c r="E141" i="18"/>
  <c r="C141" i="18"/>
  <c r="E140" i="18"/>
  <c r="C140" i="18"/>
  <c r="E139" i="18"/>
  <c r="C139" i="18"/>
  <c r="E138" i="18"/>
  <c r="C138" i="18"/>
  <c r="E137" i="18"/>
  <c r="C137" i="18"/>
  <c r="B135" i="18"/>
  <c r="B134" i="18"/>
  <c r="E130" i="18"/>
  <c r="E129" i="18"/>
  <c r="E128" i="18"/>
  <c r="E127" i="18"/>
  <c r="C127" i="18"/>
  <c r="E126" i="18"/>
  <c r="C126" i="18"/>
  <c r="E125" i="18"/>
  <c r="C125" i="18"/>
  <c r="E124" i="18"/>
  <c r="C124" i="18"/>
  <c r="E123" i="18"/>
  <c r="C123" i="18"/>
  <c r="E122" i="18"/>
  <c r="C122" i="18"/>
  <c r="E121" i="18"/>
  <c r="C121" i="18"/>
  <c r="E120" i="18"/>
  <c r="C120" i="18"/>
  <c r="E119" i="18"/>
  <c r="C119" i="18"/>
  <c r="E118" i="18"/>
  <c r="C118" i="18"/>
  <c r="E117" i="18"/>
  <c r="C117" i="18"/>
  <c r="E116" i="18"/>
  <c r="C116" i="18"/>
  <c r="E115" i="18"/>
  <c r="C115" i="18"/>
  <c r="E114" i="18"/>
  <c r="C114" i="18"/>
  <c r="E113" i="18"/>
  <c r="C113" i="18"/>
  <c r="E112" i="18"/>
  <c r="C112" i="18"/>
  <c r="E111" i="18"/>
  <c r="C111" i="18"/>
  <c r="E110" i="18"/>
  <c r="C110" i="18"/>
  <c r="B108" i="18"/>
  <c r="B107" i="18"/>
  <c r="E105" i="18"/>
  <c r="C105" i="18"/>
  <c r="E103" i="18"/>
  <c r="C103" i="18"/>
  <c r="E102" i="18"/>
  <c r="C102" i="18"/>
  <c r="E101" i="18"/>
  <c r="C101" i="18"/>
  <c r="E100" i="18"/>
  <c r="C100" i="18"/>
  <c r="E99" i="18"/>
  <c r="C99" i="18"/>
  <c r="E98" i="18"/>
  <c r="C98" i="18"/>
  <c r="E97" i="18"/>
  <c r="C97" i="18"/>
  <c r="E96" i="18"/>
  <c r="C96" i="18"/>
  <c r="E95" i="18"/>
  <c r="C95" i="18"/>
  <c r="B94" i="18"/>
  <c r="E90" i="18"/>
  <c r="C90" i="18"/>
  <c r="E89" i="18"/>
  <c r="C89" i="18"/>
  <c r="E88" i="18"/>
  <c r="C88" i="18"/>
  <c r="E87" i="18"/>
  <c r="C87" i="18"/>
  <c r="B85" i="18"/>
  <c r="E84" i="18"/>
  <c r="C84" i="18"/>
  <c r="E83" i="18"/>
  <c r="E82" i="18"/>
  <c r="E81" i="18"/>
  <c r="E80" i="18"/>
  <c r="C80" i="18"/>
  <c r="E79" i="18"/>
  <c r="C79" i="18"/>
  <c r="E78" i="18"/>
  <c r="E77" i="18"/>
  <c r="C77" i="18"/>
  <c r="E76" i="18"/>
  <c r="C76" i="18"/>
  <c r="E75" i="18"/>
  <c r="C75" i="18"/>
  <c r="E74" i="18"/>
  <c r="C74" i="18"/>
  <c r="B73" i="18"/>
  <c r="E71" i="18"/>
  <c r="C71" i="18"/>
  <c r="B71" i="18"/>
  <c r="E69" i="18"/>
  <c r="C69" i="18"/>
  <c r="E68" i="18"/>
  <c r="C68" i="18"/>
  <c r="E67" i="18"/>
  <c r="C67" i="18"/>
  <c r="E66" i="18"/>
  <c r="C66" i="18"/>
  <c r="E65" i="18"/>
  <c r="C65" i="18"/>
  <c r="E64" i="18"/>
  <c r="C64" i="18"/>
  <c r="E63" i="18"/>
  <c r="C63" i="18"/>
  <c r="E62" i="18"/>
  <c r="C62" i="18"/>
  <c r="E60" i="18"/>
  <c r="C60" i="18"/>
  <c r="B60" i="18"/>
  <c r="E59" i="18"/>
  <c r="C59" i="18"/>
  <c r="E58" i="18"/>
  <c r="C58" i="18"/>
  <c r="E56" i="18"/>
  <c r="C56" i="18"/>
  <c r="B54" i="18"/>
  <c r="B53" i="18"/>
  <c r="E49" i="18"/>
  <c r="C49" i="18"/>
  <c r="E48" i="18"/>
  <c r="C48" i="18"/>
  <c r="E47" i="18"/>
  <c r="C47" i="18"/>
  <c r="E46" i="18"/>
  <c r="C46" i="18"/>
  <c r="E45" i="18"/>
  <c r="C45" i="18"/>
  <c r="E44" i="18"/>
  <c r="C44" i="18"/>
  <c r="E43" i="18"/>
  <c r="C43" i="18"/>
  <c r="E42" i="18"/>
  <c r="C42" i="18"/>
  <c r="E41" i="18"/>
  <c r="C41" i="18"/>
  <c r="E40" i="18"/>
  <c r="C40" i="18"/>
  <c r="E39" i="18"/>
  <c r="C39" i="18"/>
  <c r="E38" i="18"/>
  <c r="C38" i="18"/>
  <c r="E37" i="18"/>
  <c r="C37" i="18"/>
  <c r="E36" i="18"/>
  <c r="C36" i="18"/>
  <c r="E34" i="18"/>
  <c r="C34" i="18"/>
  <c r="B34" i="18"/>
  <c r="E33" i="18"/>
  <c r="C33" i="18"/>
  <c r="E32" i="18"/>
  <c r="C32" i="18"/>
  <c r="E31" i="18"/>
  <c r="C31" i="18"/>
  <c r="E30" i="18"/>
  <c r="C30" i="18"/>
  <c r="E29" i="18"/>
  <c r="C29" i="18"/>
  <c r="E28" i="18"/>
  <c r="C28" i="18"/>
  <c r="B27" i="18"/>
  <c r="C24" i="18"/>
  <c r="E23" i="18"/>
  <c r="C23" i="18"/>
  <c r="E22" i="18"/>
  <c r="C22" i="18"/>
  <c r="E21" i="18"/>
  <c r="C21" i="18"/>
  <c r="E20" i="18"/>
  <c r="C20" i="18"/>
  <c r="E19" i="18"/>
  <c r="C19" i="18"/>
  <c r="E18" i="18"/>
  <c r="C18" i="18"/>
  <c r="E17" i="18"/>
  <c r="C17" i="18"/>
  <c r="E16" i="18"/>
  <c r="C16" i="18"/>
  <c r="E15" i="18"/>
  <c r="C15" i="18"/>
  <c r="E14" i="18"/>
  <c r="C14" i="18"/>
  <c r="E13" i="18"/>
  <c r="C13" i="18"/>
  <c r="E12" i="18"/>
  <c r="C12" i="18"/>
  <c r="E11" i="18"/>
  <c r="C11" i="18"/>
  <c r="E10" i="18"/>
  <c r="C10" i="18"/>
  <c r="E9" i="18"/>
  <c r="C9" i="18"/>
  <c r="E8" i="18"/>
  <c r="C8" i="18"/>
  <c r="E7" i="18"/>
  <c r="C7" i="18"/>
  <c r="E6" i="18"/>
  <c r="C6" i="18"/>
  <c r="E5" i="18"/>
  <c r="C5" i="18"/>
  <c r="B4" i="18"/>
  <c r="E648" i="17"/>
  <c r="C648" i="17"/>
  <c r="E645" i="17"/>
  <c r="C645" i="17"/>
  <c r="E644" i="17"/>
  <c r="C644" i="17"/>
  <c r="E643" i="17"/>
  <c r="C643" i="17"/>
  <c r="E642" i="17"/>
  <c r="C642" i="17"/>
  <c r="E641" i="17"/>
  <c r="C641" i="17"/>
  <c r="E640" i="17"/>
  <c r="C640" i="17"/>
  <c r="E639" i="17"/>
  <c r="C639" i="17"/>
  <c r="E637" i="17"/>
  <c r="C637" i="17"/>
  <c r="E635" i="17"/>
  <c r="C635" i="17"/>
  <c r="E633" i="17"/>
  <c r="C633" i="17"/>
  <c r="B632" i="17"/>
  <c r="B630" i="17"/>
  <c r="B629" i="17"/>
  <c r="E627" i="17"/>
  <c r="C627" i="17"/>
  <c r="E625" i="17"/>
  <c r="C625" i="17"/>
  <c r="E624" i="17"/>
  <c r="C624" i="17"/>
  <c r="E623" i="17"/>
  <c r="C623" i="17"/>
  <c r="E622" i="17"/>
  <c r="C622" i="17"/>
  <c r="E621" i="17"/>
  <c r="C621" i="17"/>
  <c r="E620" i="17"/>
  <c r="C620" i="17"/>
  <c r="B619" i="17"/>
  <c r="B617" i="17"/>
  <c r="B616" i="17"/>
  <c r="E612" i="17"/>
  <c r="C612" i="17"/>
  <c r="E611" i="17"/>
  <c r="C611" i="17"/>
  <c r="E609" i="17"/>
  <c r="C609" i="17"/>
  <c r="E608" i="17"/>
  <c r="C608" i="17"/>
  <c r="E607" i="17"/>
  <c r="C607" i="17"/>
  <c r="E606" i="17"/>
  <c r="C606" i="17"/>
  <c r="E605" i="17"/>
  <c r="C605" i="17"/>
  <c r="E603" i="17"/>
  <c r="C603" i="17"/>
  <c r="E601" i="17"/>
  <c r="C601" i="17"/>
  <c r="E600" i="17"/>
  <c r="C600" i="17"/>
  <c r="E599" i="17"/>
  <c r="C599" i="17"/>
  <c r="E598" i="17"/>
  <c r="C598" i="17"/>
  <c r="E596" i="17"/>
  <c r="C596" i="17"/>
  <c r="E594" i="17"/>
  <c r="C594" i="17"/>
  <c r="E592" i="17"/>
  <c r="C592" i="17"/>
  <c r="B591" i="17"/>
  <c r="B589" i="17"/>
  <c r="B588" i="17"/>
  <c r="E586" i="17"/>
  <c r="C586" i="17"/>
  <c r="E584" i="17"/>
  <c r="C584" i="17"/>
  <c r="E583" i="17"/>
  <c r="C583" i="17"/>
  <c r="E582" i="17"/>
  <c r="C582" i="17"/>
  <c r="E581" i="17"/>
  <c r="C581" i="17"/>
  <c r="E580" i="17"/>
  <c r="C580" i="17"/>
  <c r="E579" i="17"/>
  <c r="C579" i="17"/>
  <c r="E578" i="17"/>
  <c r="C578" i="17"/>
  <c r="E577" i="17"/>
  <c r="C577" i="17"/>
  <c r="E576" i="17"/>
  <c r="C576" i="17"/>
  <c r="E575" i="17"/>
  <c r="C575" i="17"/>
  <c r="E574" i="17"/>
  <c r="C574" i="17"/>
  <c r="E573" i="17"/>
  <c r="C573" i="17"/>
  <c r="E572" i="17"/>
  <c r="C572" i="17"/>
  <c r="E571" i="17"/>
  <c r="C571" i="17"/>
  <c r="E570" i="17"/>
  <c r="C570" i="17"/>
  <c r="E569" i="17"/>
  <c r="C569" i="17"/>
  <c r="E568" i="17"/>
  <c r="C568" i="17"/>
  <c r="E567" i="17"/>
  <c r="C567" i="17"/>
  <c r="E566" i="17"/>
  <c r="C566" i="17"/>
  <c r="E565" i="17"/>
  <c r="C565" i="17"/>
  <c r="E564" i="17"/>
  <c r="C564" i="17"/>
  <c r="E563" i="17"/>
  <c r="C563" i="17"/>
  <c r="B562" i="17"/>
  <c r="E561" i="17"/>
  <c r="C561" i="17"/>
  <c r="B561" i="17"/>
  <c r="B560" i="17"/>
  <c r="B559" i="17"/>
  <c r="E556" i="17"/>
  <c r="E555" i="17"/>
  <c r="E554" i="17"/>
  <c r="C554" i="17"/>
  <c r="E553" i="17"/>
  <c r="C553" i="17"/>
  <c r="E552" i="17"/>
  <c r="C552" i="17"/>
  <c r="E551" i="17"/>
  <c r="C551" i="17"/>
  <c r="E550" i="17"/>
  <c r="C550" i="17"/>
  <c r="E549" i="17"/>
  <c r="C549" i="17"/>
  <c r="E548" i="17"/>
  <c r="C548" i="17"/>
  <c r="E547" i="17"/>
  <c r="C547" i="17"/>
  <c r="E546" i="17"/>
  <c r="C546" i="17"/>
  <c r="E545" i="17"/>
  <c r="C545" i="17"/>
  <c r="E544" i="17"/>
  <c r="C544" i="17"/>
  <c r="E543" i="17"/>
  <c r="C543" i="17"/>
  <c r="E542" i="17"/>
  <c r="C542" i="17"/>
  <c r="E541" i="17"/>
  <c r="C541" i="17"/>
  <c r="E540" i="17"/>
  <c r="C540" i="17"/>
  <c r="E539" i="17"/>
  <c r="C539" i="17"/>
  <c r="E538" i="17"/>
  <c r="C538" i="17"/>
  <c r="E537" i="17"/>
  <c r="C537" i="17"/>
  <c r="E536" i="17"/>
  <c r="C536" i="17"/>
  <c r="E535" i="17"/>
  <c r="C535" i="17"/>
  <c r="E534" i="17"/>
  <c r="C534" i="17"/>
  <c r="B533" i="17"/>
  <c r="E529" i="17"/>
  <c r="C529" i="17"/>
  <c r="E528" i="17"/>
  <c r="C528" i="17"/>
  <c r="E527" i="17"/>
  <c r="C527" i="17"/>
  <c r="E526" i="17"/>
  <c r="C526" i="17"/>
  <c r="E525" i="17"/>
  <c r="C525" i="17"/>
  <c r="B525" i="17"/>
  <c r="E524" i="17"/>
  <c r="C524" i="17"/>
  <c r="B524" i="17"/>
  <c r="E523" i="17"/>
  <c r="C523" i="17"/>
  <c r="E522" i="17"/>
  <c r="C522" i="17"/>
  <c r="E521" i="17"/>
  <c r="C521" i="17"/>
  <c r="E520" i="17"/>
  <c r="C520" i="17"/>
  <c r="B520" i="17"/>
  <c r="B519" i="17"/>
  <c r="B518" i="17"/>
  <c r="E516" i="17"/>
  <c r="C516" i="17"/>
  <c r="E514" i="17"/>
  <c r="C514" i="17"/>
  <c r="B514" i="17"/>
  <c r="E513" i="17"/>
  <c r="C513" i="17"/>
  <c r="B513" i="17"/>
  <c r="E511" i="17"/>
  <c r="C511" i="17"/>
  <c r="E509" i="17"/>
  <c r="C509" i="17"/>
  <c r="B509" i="17"/>
  <c r="B507" i="17"/>
  <c r="E504" i="17"/>
  <c r="C504" i="17"/>
  <c r="E503" i="17"/>
  <c r="C503" i="17"/>
  <c r="E502" i="17"/>
  <c r="C502" i="17"/>
  <c r="E501" i="17"/>
  <c r="C501" i="17"/>
  <c r="E500" i="17"/>
  <c r="C500" i="17"/>
  <c r="E499" i="17"/>
  <c r="C499" i="17"/>
  <c r="E498" i="17"/>
  <c r="C498" i="17"/>
  <c r="E497" i="17"/>
  <c r="C497" i="17"/>
  <c r="E496" i="17"/>
  <c r="C496" i="17"/>
  <c r="E495" i="17"/>
  <c r="C495" i="17"/>
  <c r="E494" i="17"/>
  <c r="C494" i="17"/>
  <c r="E493" i="17"/>
  <c r="C493" i="17"/>
  <c r="B492" i="17"/>
  <c r="B491" i="17"/>
  <c r="E487" i="17"/>
  <c r="C487" i="17"/>
  <c r="E486" i="17"/>
  <c r="C486" i="17"/>
  <c r="E485" i="17"/>
  <c r="C485" i="17"/>
  <c r="E484" i="17"/>
  <c r="C484" i="17"/>
  <c r="E483" i="17"/>
  <c r="C483" i="17"/>
  <c r="E482" i="17"/>
  <c r="C482" i="17"/>
  <c r="E481" i="17"/>
  <c r="C481" i="17"/>
  <c r="E480" i="17"/>
  <c r="C480" i="17"/>
  <c r="B479" i="17"/>
  <c r="B478" i="17"/>
  <c r="E477" i="17"/>
  <c r="C477" i="17"/>
  <c r="E476" i="17"/>
  <c r="C476" i="17"/>
  <c r="E475" i="17"/>
  <c r="C475" i="17"/>
  <c r="E474" i="17"/>
  <c r="C474" i="17"/>
  <c r="E473" i="17"/>
  <c r="C473" i="17"/>
  <c r="E472" i="17"/>
  <c r="C472" i="17"/>
  <c r="E471" i="17"/>
  <c r="C471" i="17"/>
  <c r="E470" i="17"/>
  <c r="C470" i="17"/>
  <c r="E469" i="17"/>
  <c r="C469" i="17"/>
  <c r="B468" i="17"/>
  <c r="B467" i="17"/>
  <c r="B466" i="17"/>
  <c r="E463" i="17"/>
  <c r="C463" i="17"/>
  <c r="E462" i="17"/>
  <c r="C462" i="17"/>
  <c r="E461" i="17"/>
  <c r="C461" i="17"/>
  <c r="E460" i="17"/>
  <c r="C460" i="17"/>
  <c r="E459" i="17"/>
  <c r="C459" i="17"/>
  <c r="E458" i="17"/>
  <c r="C458" i="17"/>
  <c r="E457" i="17"/>
  <c r="C457" i="17"/>
  <c r="E456" i="17"/>
  <c r="C456" i="17"/>
  <c r="E455" i="17"/>
  <c r="C455" i="17"/>
  <c r="E454" i="17"/>
  <c r="C454" i="17"/>
  <c r="E453" i="17"/>
  <c r="C453" i="17"/>
  <c r="E452" i="17"/>
  <c r="C452" i="17"/>
  <c r="E451" i="17"/>
  <c r="C451" i="17"/>
  <c r="E450" i="17"/>
  <c r="C450" i="17"/>
  <c r="E449" i="17"/>
  <c r="C449" i="17"/>
  <c r="B448" i="17"/>
  <c r="B447" i="17"/>
  <c r="E445" i="17"/>
  <c r="C445" i="17"/>
  <c r="E444" i="17"/>
  <c r="C444" i="17"/>
  <c r="E443" i="17"/>
  <c r="C443" i="17"/>
  <c r="E442" i="17"/>
  <c r="C442" i="17"/>
  <c r="E441" i="17"/>
  <c r="C441" i="17"/>
  <c r="E440" i="17"/>
  <c r="C440" i="17"/>
  <c r="E439" i="17"/>
  <c r="C439" i="17"/>
  <c r="E438" i="17"/>
  <c r="C438" i="17"/>
  <c r="E437" i="17"/>
  <c r="C437" i="17"/>
  <c r="E436" i="17"/>
  <c r="C436" i="17"/>
  <c r="E435" i="17"/>
  <c r="C435" i="17"/>
  <c r="E434" i="17"/>
  <c r="C434" i="17"/>
  <c r="E433" i="17"/>
  <c r="C433" i="17"/>
  <c r="E432" i="17"/>
  <c r="C432" i="17"/>
  <c r="E431" i="17"/>
  <c r="C431" i="17"/>
  <c r="E430" i="17"/>
  <c r="C430" i="17"/>
  <c r="E429" i="17"/>
  <c r="C429" i="17"/>
  <c r="B428" i="17"/>
  <c r="B427" i="17"/>
  <c r="E424" i="17"/>
  <c r="E423" i="17"/>
  <c r="E422" i="17"/>
  <c r="E421" i="17"/>
  <c r="E420" i="17"/>
  <c r="E419" i="17"/>
  <c r="E418" i="17"/>
  <c r="E417" i="17"/>
  <c r="C417" i="17"/>
  <c r="E416" i="17"/>
  <c r="C416" i="17"/>
  <c r="E415" i="17"/>
  <c r="C415" i="17"/>
  <c r="B414" i="17"/>
  <c r="E411" i="17"/>
  <c r="E410" i="17"/>
  <c r="C410" i="17"/>
  <c r="E409" i="17"/>
  <c r="C409" i="17"/>
  <c r="E408" i="17"/>
  <c r="C408" i="17"/>
  <c r="B407" i="17"/>
  <c r="E404" i="17"/>
  <c r="C404" i="17"/>
  <c r="E403" i="17"/>
  <c r="C403" i="17"/>
  <c r="E402" i="17"/>
  <c r="C402" i="17"/>
  <c r="B401" i="17"/>
  <c r="E398" i="17"/>
  <c r="C398" i="17"/>
  <c r="E397" i="17"/>
  <c r="C397" i="17"/>
  <c r="E396" i="17"/>
  <c r="C396" i="17"/>
  <c r="E395" i="17"/>
  <c r="C395" i="17"/>
  <c r="E394" i="17"/>
  <c r="C394" i="17"/>
  <c r="E393" i="17"/>
  <c r="C393" i="17"/>
  <c r="E392" i="17"/>
  <c r="C392" i="17"/>
  <c r="E391" i="17"/>
  <c r="C391" i="17"/>
  <c r="E390" i="17"/>
  <c r="C390" i="17"/>
  <c r="E389" i="17"/>
  <c r="C389" i="17"/>
  <c r="E388" i="17"/>
  <c r="C388" i="17"/>
  <c r="E387" i="17"/>
  <c r="C387" i="17"/>
  <c r="E386" i="17"/>
  <c r="C386" i="17"/>
  <c r="B385" i="17"/>
  <c r="E384" i="17"/>
  <c r="C384" i="17"/>
  <c r="B384" i="17"/>
  <c r="E383" i="17"/>
  <c r="C383" i="17"/>
  <c r="E382" i="17"/>
  <c r="E381" i="17"/>
  <c r="E380" i="17"/>
  <c r="E379" i="17"/>
  <c r="C379" i="17"/>
  <c r="E378" i="17"/>
  <c r="C378" i="17"/>
  <c r="E377" i="17"/>
  <c r="C377" i="17"/>
  <c r="E376" i="17"/>
  <c r="C376" i="17"/>
  <c r="E375" i="17"/>
  <c r="C375" i="17"/>
  <c r="E374" i="17"/>
  <c r="C374" i="17"/>
  <c r="E373" i="17"/>
  <c r="C373" i="17"/>
  <c r="E372" i="17"/>
  <c r="C372" i="17"/>
  <c r="E371" i="17"/>
  <c r="C371" i="17"/>
  <c r="E370" i="17"/>
  <c r="C370" i="17"/>
  <c r="E369" i="17"/>
  <c r="C369" i="17"/>
  <c r="E368" i="17"/>
  <c r="C368" i="17"/>
  <c r="E367" i="17"/>
  <c r="C367" i="17"/>
  <c r="E366" i="17"/>
  <c r="C366" i="17"/>
  <c r="E365" i="17"/>
  <c r="C365" i="17"/>
  <c r="E363" i="17"/>
  <c r="C363" i="17"/>
  <c r="B361" i="17"/>
  <c r="B360" i="17"/>
  <c r="E359" i="17"/>
  <c r="C359" i="17"/>
  <c r="E357" i="17"/>
  <c r="C357" i="17"/>
  <c r="E356" i="17"/>
  <c r="C356" i="17"/>
  <c r="E355" i="17"/>
  <c r="C355" i="17"/>
  <c r="E354" i="17"/>
  <c r="C354" i="17"/>
  <c r="E353" i="17"/>
  <c r="C353" i="17"/>
  <c r="E352" i="17"/>
  <c r="E351" i="17"/>
  <c r="C351" i="17"/>
  <c r="E350" i="17"/>
  <c r="C350" i="17"/>
  <c r="E349" i="17"/>
  <c r="C349" i="17"/>
  <c r="E348" i="17"/>
  <c r="C348" i="17"/>
  <c r="E347" i="17"/>
  <c r="C347" i="17"/>
  <c r="B346" i="17"/>
  <c r="E345" i="17"/>
  <c r="C345" i="17"/>
  <c r="B343" i="17"/>
  <c r="E342" i="17"/>
  <c r="C342" i="17"/>
  <c r="E341" i="17"/>
  <c r="C341" i="17"/>
  <c r="E340" i="17"/>
  <c r="C340" i="17"/>
  <c r="E339" i="17"/>
  <c r="C339" i="17"/>
  <c r="B337" i="17"/>
  <c r="E334" i="17"/>
  <c r="E333" i="17"/>
  <c r="C333" i="17"/>
  <c r="E332" i="17"/>
  <c r="C332" i="17"/>
  <c r="E331" i="17"/>
  <c r="C331" i="17"/>
  <c r="E330" i="17"/>
  <c r="C330" i="17"/>
  <c r="E329" i="17"/>
  <c r="C329" i="17"/>
  <c r="E328" i="17"/>
  <c r="C328" i="17"/>
  <c r="E327" i="17"/>
  <c r="C327" i="17"/>
  <c r="E326" i="17"/>
  <c r="C326" i="17"/>
  <c r="E325" i="17"/>
  <c r="C325" i="17"/>
  <c r="E324" i="17"/>
  <c r="C324" i="17"/>
  <c r="E323" i="17"/>
  <c r="C323" i="17"/>
  <c r="E322" i="17"/>
  <c r="C322" i="17"/>
  <c r="E320" i="17"/>
  <c r="C320" i="17"/>
  <c r="E318" i="17"/>
  <c r="C318" i="17"/>
  <c r="B316" i="17"/>
  <c r="B315" i="17"/>
  <c r="E311" i="17"/>
  <c r="C311" i="17"/>
  <c r="E310" i="17"/>
  <c r="C310" i="17"/>
  <c r="E309" i="17"/>
  <c r="C309" i="17"/>
  <c r="E308" i="17"/>
  <c r="C308" i="17"/>
  <c r="E307" i="17"/>
  <c r="C307" i="17"/>
  <c r="E306" i="17"/>
  <c r="C306" i="17"/>
  <c r="E305" i="17"/>
  <c r="C305" i="17"/>
  <c r="E304" i="17"/>
  <c r="C304" i="17"/>
  <c r="E303" i="17"/>
  <c r="C303" i="17"/>
  <c r="E301" i="17"/>
  <c r="C301" i="17"/>
  <c r="E299" i="17"/>
  <c r="C299" i="17"/>
  <c r="B297" i="17"/>
  <c r="B296" i="17"/>
  <c r="E293" i="17"/>
  <c r="C293" i="17"/>
  <c r="E292" i="17"/>
  <c r="C292" i="17"/>
  <c r="E291" i="17"/>
  <c r="C291" i="17"/>
  <c r="E290" i="17"/>
  <c r="C290" i="17"/>
  <c r="E289" i="17"/>
  <c r="C289" i="17"/>
  <c r="E288" i="17"/>
  <c r="C288" i="17"/>
  <c r="E287" i="17"/>
  <c r="C287" i="17"/>
  <c r="E286" i="17"/>
  <c r="C286" i="17"/>
  <c r="E284" i="17"/>
  <c r="C284" i="17"/>
  <c r="E282" i="17"/>
  <c r="C282" i="17"/>
  <c r="B280" i="17"/>
  <c r="B279" i="17"/>
  <c r="E275" i="17"/>
  <c r="C275" i="17"/>
  <c r="E274" i="17"/>
  <c r="C274" i="17"/>
  <c r="E273" i="17"/>
  <c r="C273" i="17"/>
  <c r="E272" i="17"/>
  <c r="C272" i="17"/>
  <c r="E271" i="17"/>
  <c r="C271" i="17"/>
  <c r="E270" i="17"/>
  <c r="C270" i="17"/>
  <c r="E269" i="17"/>
  <c r="C269" i="17"/>
  <c r="E268" i="17"/>
  <c r="C268" i="17"/>
  <c r="E267" i="17"/>
  <c r="C267" i="17"/>
  <c r="E266" i="17"/>
  <c r="C266" i="17"/>
  <c r="B265" i="17"/>
  <c r="E263" i="17"/>
  <c r="C263" i="17"/>
  <c r="E262" i="17"/>
  <c r="C262" i="17"/>
  <c r="E261" i="17"/>
  <c r="C261" i="17"/>
  <c r="E260" i="17"/>
  <c r="C260" i="17"/>
  <c r="E259" i="17"/>
  <c r="C259" i="17"/>
  <c r="E258" i="17"/>
  <c r="C258" i="17"/>
  <c r="E257" i="17"/>
  <c r="C257" i="17"/>
  <c r="E256" i="17"/>
  <c r="C256" i="17"/>
  <c r="E255" i="17"/>
  <c r="C255" i="17"/>
  <c r="E254" i="17"/>
  <c r="C254" i="17"/>
  <c r="B252" i="17"/>
  <c r="B251" i="17"/>
  <c r="E247" i="17"/>
  <c r="E246" i="17"/>
  <c r="E245" i="17"/>
  <c r="E244" i="17"/>
  <c r="C244" i="17"/>
  <c r="E243" i="17"/>
  <c r="C243" i="17"/>
  <c r="E242" i="17"/>
  <c r="C242" i="17"/>
  <c r="E241" i="17"/>
  <c r="C241" i="17"/>
  <c r="E240" i="17"/>
  <c r="C240" i="17"/>
  <c r="E239" i="17"/>
  <c r="C239" i="17"/>
  <c r="E238" i="17"/>
  <c r="C238" i="17"/>
  <c r="E237" i="17"/>
  <c r="C237" i="17"/>
  <c r="E236" i="17"/>
  <c r="C236" i="17"/>
  <c r="E235" i="17"/>
  <c r="C235" i="17"/>
  <c r="E234" i="17"/>
  <c r="C234" i="17"/>
  <c r="E233" i="17"/>
  <c r="C233" i="17"/>
  <c r="E232" i="17"/>
  <c r="C232" i="17"/>
  <c r="E231" i="17"/>
  <c r="E230" i="17"/>
  <c r="C230" i="17"/>
  <c r="E229" i="17"/>
  <c r="C229" i="17"/>
  <c r="E228" i="17"/>
  <c r="E227" i="17"/>
  <c r="C227" i="17"/>
  <c r="B225" i="17"/>
  <c r="B224" i="17"/>
  <c r="E221" i="17"/>
  <c r="C221" i="17"/>
  <c r="E220" i="17"/>
  <c r="C220" i="17"/>
  <c r="E219" i="17"/>
  <c r="C219" i="17"/>
  <c r="E218" i="17"/>
  <c r="C218" i="17"/>
  <c r="E217" i="17"/>
  <c r="C217" i="17"/>
  <c r="E216" i="17"/>
  <c r="C216" i="17"/>
  <c r="E215" i="17"/>
  <c r="C215" i="17"/>
  <c r="E214" i="17"/>
  <c r="C214" i="17"/>
  <c r="E213" i="17"/>
  <c r="E212" i="17"/>
  <c r="C212" i="17"/>
  <c r="E210" i="17"/>
  <c r="C210" i="17"/>
  <c r="B209" i="17"/>
  <c r="E207" i="17"/>
  <c r="C207" i="17"/>
  <c r="E205" i="17"/>
  <c r="C205" i="17"/>
  <c r="E204" i="17"/>
  <c r="C204" i="17"/>
  <c r="E203" i="17"/>
  <c r="C203" i="17"/>
  <c r="E202" i="17"/>
  <c r="C202" i="17"/>
  <c r="E201" i="17"/>
  <c r="C201" i="17"/>
  <c r="E200" i="17"/>
  <c r="C200" i="17"/>
  <c r="E198" i="17"/>
  <c r="C198" i="17"/>
  <c r="B197" i="17"/>
  <c r="E194" i="17"/>
  <c r="C194" i="17"/>
  <c r="B193" i="17"/>
  <c r="E189" i="17"/>
  <c r="E188" i="17"/>
  <c r="C188" i="17"/>
  <c r="E187" i="17"/>
  <c r="C187" i="17"/>
  <c r="E186" i="17"/>
  <c r="C186" i="17"/>
  <c r="E185" i="17"/>
  <c r="C185" i="17"/>
  <c r="E183" i="17"/>
  <c r="C183" i="17"/>
  <c r="B181" i="17"/>
  <c r="B180" i="17"/>
  <c r="E177" i="17"/>
  <c r="E176" i="17"/>
  <c r="E175" i="17"/>
  <c r="C175" i="17"/>
  <c r="E174" i="17"/>
  <c r="C174" i="17"/>
  <c r="E173" i="17"/>
  <c r="C173" i="17"/>
  <c r="E172" i="17"/>
  <c r="C172" i="17"/>
  <c r="E171" i="17"/>
  <c r="C171" i="17"/>
  <c r="E170" i="17"/>
  <c r="C170" i="17"/>
  <c r="E169" i="17"/>
  <c r="C169" i="17"/>
  <c r="E168" i="17"/>
  <c r="C168" i="17"/>
  <c r="E167" i="17"/>
  <c r="C167" i="17"/>
  <c r="E166" i="17"/>
  <c r="C166" i="17"/>
  <c r="E165" i="17"/>
  <c r="C165" i="17"/>
  <c r="E164" i="17"/>
  <c r="C164" i="17"/>
  <c r="E163" i="17"/>
  <c r="C163" i="17"/>
  <c r="B161" i="17"/>
  <c r="B160" i="17"/>
  <c r="E156" i="17"/>
  <c r="C156" i="17"/>
  <c r="E155" i="17"/>
  <c r="C155" i="17"/>
  <c r="E154" i="17"/>
  <c r="C154" i="17"/>
  <c r="E153" i="17"/>
  <c r="C153" i="17"/>
  <c r="E152" i="17"/>
  <c r="C152" i="17"/>
  <c r="E151" i="17"/>
  <c r="C151" i="17"/>
  <c r="E150" i="17"/>
  <c r="C150" i="17"/>
  <c r="E149" i="17"/>
  <c r="C149" i="17"/>
  <c r="E148" i="17"/>
  <c r="C148" i="17"/>
  <c r="E147" i="17"/>
  <c r="C147" i="17"/>
  <c r="E146" i="17"/>
  <c r="C146" i="17"/>
  <c r="E145" i="17"/>
  <c r="C145" i="17"/>
  <c r="E144" i="17"/>
  <c r="C144" i="17"/>
  <c r="E143" i="17"/>
  <c r="C143" i="17"/>
  <c r="B141" i="17"/>
  <c r="B140" i="17"/>
  <c r="E136" i="17"/>
  <c r="E135" i="17"/>
  <c r="E134" i="17"/>
  <c r="E133" i="17"/>
  <c r="C133" i="17"/>
  <c r="E132" i="17"/>
  <c r="C132" i="17"/>
  <c r="E131" i="17"/>
  <c r="C131" i="17"/>
  <c r="E130" i="17"/>
  <c r="C130" i="17"/>
  <c r="E129" i="17"/>
  <c r="C129" i="17"/>
  <c r="E128" i="17"/>
  <c r="C128" i="17"/>
  <c r="E127" i="17"/>
  <c r="C127" i="17"/>
  <c r="E126" i="17"/>
  <c r="C126" i="17"/>
  <c r="E125" i="17"/>
  <c r="C125" i="17"/>
  <c r="E124" i="17"/>
  <c r="C124" i="17"/>
  <c r="E123" i="17"/>
  <c r="C123" i="17"/>
  <c r="E122" i="17"/>
  <c r="C122" i="17"/>
  <c r="E121" i="17"/>
  <c r="C121" i="17"/>
  <c r="E120" i="17"/>
  <c r="C120" i="17"/>
  <c r="E119" i="17"/>
  <c r="C119" i="17"/>
  <c r="E118" i="17"/>
  <c r="C118" i="17"/>
  <c r="E117" i="17"/>
  <c r="C117" i="17"/>
  <c r="E116" i="17"/>
  <c r="C116" i="17"/>
  <c r="B114" i="17"/>
  <c r="B113" i="17"/>
  <c r="E111" i="17"/>
  <c r="C111" i="17"/>
  <c r="E109" i="17"/>
  <c r="C109" i="17"/>
  <c r="E108" i="17"/>
  <c r="C108" i="17"/>
  <c r="E107" i="17"/>
  <c r="C107" i="17"/>
  <c r="E106" i="17"/>
  <c r="C106" i="17"/>
  <c r="E105" i="17"/>
  <c r="C105" i="17"/>
  <c r="E104" i="17"/>
  <c r="C104" i="17"/>
  <c r="E103" i="17"/>
  <c r="C103" i="17"/>
  <c r="E102" i="17"/>
  <c r="C102" i="17"/>
  <c r="E101" i="17"/>
  <c r="C101" i="17"/>
  <c r="B100" i="17"/>
  <c r="E96" i="17"/>
  <c r="C96" i="17"/>
  <c r="E95" i="17"/>
  <c r="C95" i="17"/>
  <c r="E94" i="17"/>
  <c r="C94" i="17"/>
  <c r="E93" i="17"/>
  <c r="C93" i="17"/>
  <c r="B91" i="17"/>
  <c r="E90" i="17"/>
  <c r="C90" i="17"/>
  <c r="E89" i="17"/>
  <c r="E88" i="17"/>
  <c r="E87" i="17"/>
  <c r="E86" i="17"/>
  <c r="C86" i="17"/>
  <c r="E85" i="17"/>
  <c r="C85" i="17"/>
  <c r="E84" i="17"/>
  <c r="E83" i="17"/>
  <c r="C83" i="17"/>
  <c r="E82" i="17"/>
  <c r="C82" i="17"/>
  <c r="E81" i="17"/>
  <c r="C81" i="17"/>
  <c r="E80" i="17"/>
  <c r="C80" i="17"/>
  <c r="B79" i="17"/>
  <c r="E77" i="17"/>
  <c r="C77" i="17"/>
  <c r="B77" i="17"/>
  <c r="E75" i="17"/>
  <c r="C75" i="17"/>
  <c r="E74" i="17"/>
  <c r="C74" i="17"/>
  <c r="E73" i="17"/>
  <c r="C73" i="17"/>
  <c r="E72" i="17"/>
  <c r="C72" i="17"/>
  <c r="E71" i="17"/>
  <c r="C71" i="17"/>
  <c r="E70" i="17"/>
  <c r="C70" i="17"/>
  <c r="E69" i="17"/>
  <c r="C69" i="17"/>
  <c r="E68" i="17"/>
  <c r="C68" i="17"/>
  <c r="E66" i="17"/>
  <c r="C66" i="17"/>
  <c r="B66" i="17"/>
  <c r="E64" i="17"/>
  <c r="C64" i="17"/>
  <c r="E63" i="17"/>
  <c r="C63" i="17"/>
  <c r="E62" i="17"/>
  <c r="C62" i="17"/>
  <c r="E61" i="17"/>
  <c r="C61" i="17"/>
  <c r="E59" i="17"/>
  <c r="C59" i="17"/>
  <c r="B57" i="17"/>
  <c r="B56" i="17"/>
  <c r="E51" i="17"/>
  <c r="C51" i="17"/>
  <c r="E50" i="17"/>
  <c r="C50" i="17"/>
  <c r="E49" i="17"/>
  <c r="C49" i="17"/>
  <c r="E48" i="17"/>
  <c r="C48" i="17"/>
  <c r="E47" i="17"/>
  <c r="C47" i="17"/>
  <c r="E46" i="17"/>
  <c r="C46" i="17"/>
  <c r="E45" i="17"/>
  <c r="C45" i="17"/>
  <c r="E44" i="17"/>
  <c r="C44" i="17"/>
  <c r="E43" i="17"/>
  <c r="C43" i="17"/>
  <c r="E42" i="17"/>
  <c r="C42" i="17"/>
  <c r="E41" i="17"/>
  <c r="C41" i="17"/>
  <c r="E40" i="17"/>
  <c r="C40" i="17"/>
  <c r="E39" i="17"/>
  <c r="C39" i="17"/>
  <c r="E37" i="17"/>
  <c r="C37" i="17"/>
  <c r="B37" i="17"/>
  <c r="E35" i="17"/>
  <c r="C35" i="17"/>
  <c r="E34" i="17"/>
  <c r="C34" i="17"/>
  <c r="E33" i="17"/>
  <c r="C33" i="17"/>
  <c r="E32" i="17"/>
  <c r="C32" i="17"/>
  <c r="E31" i="17"/>
  <c r="C31" i="17"/>
  <c r="E30" i="17"/>
  <c r="C30" i="17"/>
  <c r="E29" i="17"/>
  <c r="C29" i="17"/>
  <c r="E28" i="17"/>
  <c r="C28" i="17"/>
  <c r="B27" i="17"/>
  <c r="C24" i="17"/>
  <c r="E23" i="17"/>
  <c r="C23" i="17"/>
  <c r="E22" i="17"/>
  <c r="C22" i="17"/>
  <c r="E21" i="17"/>
  <c r="C21" i="17"/>
  <c r="E20" i="17"/>
  <c r="C20" i="17"/>
  <c r="E19" i="17"/>
  <c r="C19" i="17"/>
  <c r="E18" i="17"/>
  <c r="C18" i="17"/>
  <c r="E17" i="17"/>
  <c r="C17" i="17"/>
  <c r="E16" i="17"/>
  <c r="C16" i="17"/>
  <c r="E15" i="17"/>
  <c r="C15" i="17"/>
  <c r="E14" i="17"/>
  <c r="C14" i="17"/>
  <c r="E13" i="17"/>
  <c r="C13" i="17"/>
  <c r="E12" i="17"/>
  <c r="C12" i="17"/>
  <c r="E11" i="17"/>
  <c r="C11" i="17"/>
  <c r="E10" i="17"/>
  <c r="C10" i="17"/>
  <c r="E9" i="17"/>
  <c r="C9" i="17"/>
  <c r="E8" i="17"/>
  <c r="C8" i="17"/>
  <c r="E7" i="17"/>
  <c r="C7" i="17"/>
  <c r="E6" i="17"/>
  <c r="C6" i="17"/>
  <c r="E5" i="17"/>
  <c r="C5" i="17"/>
  <c r="B4" i="17"/>
</calcChain>
</file>

<file path=xl/sharedStrings.xml><?xml version="1.0" encoding="utf-8"?>
<sst xmlns="http://schemas.openxmlformats.org/spreadsheetml/2006/main" count="10731" uniqueCount="976">
  <si>
    <t>Crying Man</t>
  </si>
  <si>
    <t>Barrett Leddy</t>
  </si>
  <si>
    <t>Hummingbird Man</t>
  </si>
  <si>
    <t>Toxo</t>
  </si>
  <si>
    <t>Lucas Schuneman</t>
  </si>
  <si>
    <t>Great Finger</t>
  </si>
  <si>
    <t>Robb Moreira</t>
  </si>
  <si>
    <t>Mummy Girl</t>
  </si>
  <si>
    <t>Olivia Vidas</t>
  </si>
  <si>
    <t>Gravity</t>
  </si>
  <si>
    <t>Marc Thompson</t>
  </si>
  <si>
    <t>Sugarsugar Pangpang</t>
  </si>
  <si>
    <t>Jenny Yokobori</t>
  </si>
  <si>
    <t>Super Scott</t>
  </si>
  <si>
    <t>Adin Rudd</t>
  </si>
  <si>
    <t>Fire Head</t>
  </si>
  <si>
    <t>Erica Schroeder</t>
  </si>
  <si>
    <t>Leora</t>
  </si>
  <si>
    <t>Amanda Hufford</t>
  </si>
  <si>
    <t>Chameli</t>
  </si>
  <si>
    <t>Simona Berman</t>
  </si>
  <si>
    <t>Black Knight</t>
  </si>
  <si>
    <t>Ginseng Man</t>
  </si>
  <si>
    <t>Jason Griffith</t>
  </si>
  <si>
    <t>Lucky</t>
  </si>
  <si>
    <t>Professor Z</t>
  </si>
  <si>
    <t>Pete Zarustica</t>
  </si>
  <si>
    <t>Mist</t>
  </si>
  <si>
    <t>Mike Smith</t>
  </si>
  <si>
    <t>Jelly King</t>
  </si>
  <si>
    <t>25 Cent</t>
  </si>
  <si>
    <t>Hairy Harry</t>
  </si>
  <si>
    <t>Gianni Matragrano</t>
  </si>
  <si>
    <t>Kay-Oh</t>
  </si>
  <si>
    <t xml:space="preserve">Allen Winter </t>
  </si>
  <si>
    <t>Bit Dave</t>
  </si>
  <si>
    <t>Carrie</t>
  </si>
  <si>
    <t>Samantha Cooper</t>
  </si>
  <si>
    <t>Sylph</t>
  </si>
  <si>
    <t>Cat Protano</t>
  </si>
  <si>
    <t>Sparkules</t>
  </si>
  <si>
    <t>Jamie Craib</t>
  </si>
  <si>
    <t>Nick</t>
  </si>
  <si>
    <t>James Brown Jr</t>
  </si>
  <si>
    <t>Tara</t>
  </si>
  <si>
    <t>Justis Bolding</t>
  </si>
  <si>
    <t>Timo</t>
  </si>
  <si>
    <t>Zuri Washington</t>
  </si>
  <si>
    <t>Two Tone Tony</t>
  </si>
  <si>
    <t>Colton</t>
  </si>
  <si>
    <t>Scott</t>
  </si>
  <si>
    <t>Hot Button 81</t>
  </si>
  <si>
    <t>Skull Crusher</t>
  </si>
  <si>
    <t>Valory Pierce</t>
  </si>
  <si>
    <t>Papa Princess</t>
  </si>
  <si>
    <t>Dinesh Alvis</t>
  </si>
  <si>
    <t>King Blockbuster</t>
  </si>
  <si>
    <t>Brent Mukai</t>
  </si>
  <si>
    <t>Tom Wayland</t>
  </si>
  <si>
    <t>Barron Bass</t>
  </si>
  <si>
    <t>Nathan</t>
  </si>
  <si>
    <t>Eric</t>
  </si>
  <si>
    <t>Dr. Tennyson</t>
  </si>
  <si>
    <t>Jerry</t>
  </si>
  <si>
    <t>Angelo</t>
  </si>
  <si>
    <t>Nicolo</t>
  </si>
  <si>
    <t>Honey</t>
  </si>
  <si>
    <t>Sarah Faye Beard</t>
  </si>
  <si>
    <t>Cynthia</t>
  </si>
  <si>
    <t>Mary O'Brady</t>
  </si>
  <si>
    <t>Aisha</t>
  </si>
  <si>
    <t>Sara Rahman</t>
  </si>
  <si>
    <t>Amelie</t>
  </si>
  <si>
    <t>Donny</t>
  </si>
  <si>
    <t>크라잉맨</t>
  </si>
  <si>
    <t>홍범기</t>
  </si>
  <si>
    <t>허밍버드맨</t>
  </si>
  <si>
    <t>유해무</t>
  </si>
  <si>
    <t>톡소</t>
  </si>
  <si>
    <t>최현수</t>
  </si>
  <si>
    <t>그레이트 핑거</t>
  </si>
  <si>
    <t>온영삼</t>
  </si>
  <si>
    <t>머미걸</t>
  </si>
  <si>
    <t>김연우</t>
  </si>
  <si>
    <t>그래비티</t>
  </si>
  <si>
    <t>송준석</t>
  </si>
  <si>
    <t>슈가슈가 팡팡</t>
  </si>
  <si>
    <t>정유정</t>
  </si>
  <si>
    <t>슈퍼 스캇</t>
  </si>
  <si>
    <t>파이어헤드</t>
  </si>
  <si>
    <t>이달래</t>
  </si>
  <si>
    <t>레오라</t>
  </si>
  <si>
    <t>이은조</t>
  </si>
  <si>
    <t>카멜리</t>
  </si>
  <si>
    <t>윤은서</t>
  </si>
  <si>
    <t>블랙나이트</t>
  </si>
  <si>
    <t>이정구</t>
  </si>
  <si>
    <t>진생맨</t>
  </si>
  <si>
    <t>럭키</t>
  </si>
  <si>
    <t>로커스트맨</t>
  </si>
  <si>
    <t>장민혁</t>
  </si>
  <si>
    <t>프로페서 Z</t>
  </si>
  <si>
    <t>장성호</t>
  </si>
  <si>
    <t>미스트</t>
  </si>
  <si>
    <t>최석필</t>
  </si>
  <si>
    <t>젤리킹</t>
  </si>
  <si>
    <t>25센트</t>
  </si>
  <si>
    <t>헤어리 해리</t>
  </si>
  <si>
    <t>성완경</t>
  </si>
  <si>
    <t>미스터 저스티스</t>
  </si>
  <si>
    <t>케이오</t>
  </si>
  <si>
    <t>송하림</t>
  </si>
  <si>
    <t>쿵푸세븐</t>
  </si>
  <si>
    <t>민승우</t>
  </si>
  <si>
    <t>캐리</t>
  </si>
  <si>
    <t>실프</t>
  </si>
  <si>
    <t>스파큘리스</t>
  </si>
  <si>
    <t>김혜성</t>
  </si>
  <si>
    <t>소연</t>
  </si>
  <si>
    <t>닉</t>
  </si>
  <si>
    <t>신용우</t>
  </si>
  <si>
    <t>타라</t>
  </si>
  <si>
    <t>티모</t>
  </si>
  <si>
    <t>크리스타</t>
  </si>
  <si>
    <t>바비 백</t>
  </si>
  <si>
    <t>투 톤 토니</t>
  </si>
  <si>
    <t>콜튼</t>
  </si>
  <si>
    <t>서정익</t>
  </si>
  <si>
    <t>스캇</t>
  </si>
  <si>
    <t>더크 오</t>
  </si>
  <si>
    <t>최낙윤</t>
  </si>
  <si>
    <t>핫버튼81</t>
  </si>
  <si>
    <t>스컬 크러셔</t>
  </si>
  <si>
    <t>파파 프린세스</t>
  </si>
  <si>
    <t>킹 블록버스터</t>
  </si>
  <si>
    <t>미스터 퀘스쳔</t>
  </si>
  <si>
    <t>네이선</t>
  </si>
  <si>
    <t>에릭</t>
  </si>
  <si>
    <t>테니슨 박사</t>
  </si>
  <si>
    <t>제리</t>
  </si>
  <si>
    <t>안젤로</t>
  </si>
  <si>
    <t>니콜로</t>
  </si>
  <si>
    <t>허니</t>
  </si>
  <si>
    <t>신시아</t>
  </si>
  <si>
    <t>아이샤</t>
  </si>
  <si>
    <t>아멜리</t>
  </si>
  <si>
    <t>커빈슨 부인</t>
  </si>
  <si>
    <t>도니</t>
  </si>
  <si>
    <t>Joogong MAENG</t>
  </si>
  <si>
    <t>Taewook KOH</t>
  </si>
  <si>
    <t>JeeHyun KIM</t>
  </si>
  <si>
    <t>Jiwon OH</t>
  </si>
  <si>
    <t>Production Manager</t>
  </si>
  <si>
    <t>Semin SHIN</t>
  </si>
  <si>
    <t>Written by</t>
  </si>
  <si>
    <t>Jake Goldman</t>
  </si>
  <si>
    <t>Episode Credits - 201</t>
  </si>
  <si>
    <t>Voice</t>
  </si>
  <si>
    <t>Michael</t>
  </si>
  <si>
    <t>Lucy</t>
  </si>
  <si>
    <t>Crying man</t>
  </si>
  <si>
    <t>Jack</t>
  </si>
  <si>
    <t>Ryan Andes</t>
  </si>
  <si>
    <t>Krista</t>
  </si>
  <si>
    <t>Bobby</t>
  </si>
  <si>
    <t>Other Voices</t>
  </si>
  <si>
    <t>Olile Wyman</t>
  </si>
  <si>
    <t>Eirca Schroeder</t>
  </si>
  <si>
    <t>Director</t>
  </si>
  <si>
    <t>Co-Director</t>
  </si>
  <si>
    <t>Assistant Director</t>
  </si>
  <si>
    <t>Story Supervisor</t>
  </si>
  <si>
    <t>Story Artist</t>
  </si>
  <si>
    <t>Won HWANG</t>
  </si>
  <si>
    <t>Story Editor</t>
  </si>
  <si>
    <t>Storyboard</t>
  </si>
  <si>
    <t>Studio Goindol Inc.</t>
  </si>
  <si>
    <t>Storyboard Director</t>
  </si>
  <si>
    <t>Youngkwang JO</t>
  </si>
  <si>
    <t>Storyboard Artist</t>
  </si>
  <si>
    <t>Jinwon Jung</t>
  </si>
  <si>
    <t>Yongryul YU</t>
  </si>
  <si>
    <t>Storyboard Revisionist</t>
  </si>
  <si>
    <t>Soomin Lim</t>
  </si>
  <si>
    <t>Production Coordinator</t>
  </si>
  <si>
    <t>Sehui JUNG</t>
  </si>
  <si>
    <t>Christina Yoonjung Han</t>
  </si>
  <si>
    <t>Woori KO</t>
  </si>
  <si>
    <t>Eunha HWANG</t>
  </si>
  <si>
    <t>Yeonjae KANG</t>
  </si>
  <si>
    <t>Skye Yonji LEE</t>
  </si>
  <si>
    <t>Art</t>
  </si>
  <si>
    <t>Character Design</t>
  </si>
  <si>
    <t>Nandaby KWON</t>
  </si>
  <si>
    <t>Manjoong LEE</t>
  </si>
  <si>
    <t>Hyunsong WE</t>
  </si>
  <si>
    <t>Heegyeong JUNG</t>
  </si>
  <si>
    <t>Sungmin Jung</t>
  </si>
  <si>
    <t>Set Design</t>
  </si>
  <si>
    <t>Bomi KIM</t>
  </si>
  <si>
    <t>Changrae BAEK</t>
  </si>
  <si>
    <t>Sunyoung PARK</t>
  </si>
  <si>
    <t>THE MONK STUDIOS</t>
  </si>
  <si>
    <t>Concept Artist</t>
  </si>
  <si>
    <t>Wanichaya Tangsutthiwong</t>
  </si>
  <si>
    <t>Pakorn Thongkwanjai</t>
  </si>
  <si>
    <t>Surachart Yamkuntong</t>
  </si>
  <si>
    <t>Buratouch Thongphisitsombat</t>
  </si>
  <si>
    <t xml:space="preserve">Asset </t>
  </si>
  <si>
    <t>Asset Supervisor</t>
  </si>
  <si>
    <t>Sangwoo NAM</t>
  </si>
  <si>
    <t>Modeling Supervisor</t>
  </si>
  <si>
    <t>Teayoung KIM</t>
  </si>
  <si>
    <t>Jungyun HA</t>
  </si>
  <si>
    <t>Kipyo KIM</t>
  </si>
  <si>
    <t>Lookdev Artist</t>
  </si>
  <si>
    <t>Yeonju LEE</t>
  </si>
  <si>
    <t>Rigging</t>
  </si>
  <si>
    <t>Minju YOO</t>
  </si>
  <si>
    <t>Attaporn Kanjanasahas</t>
  </si>
  <si>
    <t>Model Supervisor</t>
  </si>
  <si>
    <t>Thanittha Prompatima</t>
  </si>
  <si>
    <t>Modeler Leader</t>
  </si>
  <si>
    <t>Yannakron Wongphun</t>
  </si>
  <si>
    <t>Chanatith Tawanmai</t>
  </si>
  <si>
    <t>Modeler</t>
  </si>
  <si>
    <t>Jirawat Pangchompoo</t>
  </si>
  <si>
    <t>Teerawat Pho-Ob</t>
  </si>
  <si>
    <t>Supachock Nuamthong</t>
  </si>
  <si>
    <t>Viphada Karnjanawarit</t>
  </si>
  <si>
    <t>Teeraka Kongpaisand</t>
  </si>
  <si>
    <t>Natcha Nuntanajaroenkul</t>
  </si>
  <si>
    <t>Panuwat Vivattanawongsiri</t>
  </si>
  <si>
    <t>Kotchawan Praditukrit</t>
  </si>
  <si>
    <t>Supapak Sukwan</t>
  </si>
  <si>
    <t>Anurak Wasaendee</t>
  </si>
  <si>
    <t>Jakkrit Thanaphatthanakul</t>
  </si>
  <si>
    <t>Tanawat Yoriya</t>
  </si>
  <si>
    <t>Witsanukorn Chaliaotham</t>
  </si>
  <si>
    <t>Chanbhasakorn Mingsompan</t>
  </si>
  <si>
    <t>Texture Supervisor</t>
  </si>
  <si>
    <t>Rewat Sikhemngam</t>
  </si>
  <si>
    <t>Texture Lead</t>
  </si>
  <si>
    <t>Duangruethai Wongphakham</t>
  </si>
  <si>
    <t>Texture Artist</t>
  </si>
  <si>
    <t>Surang Pasamlee</t>
  </si>
  <si>
    <t>Rujikan Phenpaijit</t>
  </si>
  <si>
    <t>Poonnawat Santiyothin</t>
  </si>
  <si>
    <t>Nutchaya Puengpreeda</t>
  </si>
  <si>
    <t>Kanlayanee Suwannabut</t>
  </si>
  <si>
    <t>Thanawat Sawatchitang</t>
  </si>
  <si>
    <t>Natyada Wangkahat</t>
  </si>
  <si>
    <t>Kwanlarb Potjanasuntorn</t>
  </si>
  <si>
    <t>Klaoravee Panpeng</t>
  </si>
  <si>
    <t>Natpapon Titichoatrattna</t>
  </si>
  <si>
    <t>Rig Supervisor</t>
  </si>
  <si>
    <t>Sorawit Limkertpol</t>
  </si>
  <si>
    <t>Rig Lead</t>
  </si>
  <si>
    <t>Rathty Pongworapinit</t>
  </si>
  <si>
    <t>Chonnikan Sonsamrit</t>
  </si>
  <si>
    <t>Rig Artist</t>
  </si>
  <si>
    <t>Ali Raza</t>
  </si>
  <si>
    <t>Bhuminat Chaturamethanont</t>
  </si>
  <si>
    <t>Krittapad Dejjeenmuang</t>
  </si>
  <si>
    <t>Anawin Sarnmoung</t>
  </si>
  <si>
    <t>Chanya Kanichapong</t>
  </si>
  <si>
    <t>Jirayut Jaikla</t>
  </si>
  <si>
    <t>Nantapak Pruangkarn</t>
  </si>
  <si>
    <t>Panchanok Chomchuen</t>
  </si>
  <si>
    <t>Taweewat Taweepasas</t>
  </si>
  <si>
    <t>Grooming Supervisor</t>
  </si>
  <si>
    <t>Phurinut Tangcharoen</t>
  </si>
  <si>
    <t>Grooming Artist</t>
  </si>
  <si>
    <t>Budsaraporn Waichuenchorm</t>
  </si>
  <si>
    <t>Praewpan saepung</t>
  </si>
  <si>
    <t>Vanlipha Kaewkhao</t>
  </si>
  <si>
    <t>Patiparn Kawinchan</t>
  </si>
  <si>
    <t>Yotin Tongbanturng</t>
  </si>
  <si>
    <t>Layout</t>
  </si>
  <si>
    <t>Layout Director</t>
  </si>
  <si>
    <t>Kyungmin KIM</t>
  </si>
  <si>
    <t>Layout supervisor</t>
  </si>
  <si>
    <t>Nitat	Wimanjunt</t>
  </si>
  <si>
    <t>Layout artist</t>
  </si>
  <si>
    <t>Piyaphon	Sriphongngam</t>
  </si>
  <si>
    <t>Panya	Natekobkua</t>
  </si>
  <si>
    <t>Chonlathorn	Phusri</t>
  </si>
  <si>
    <t>Nopparat	Wangsin</t>
  </si>
  <si>
    <t>Kanyanee	Duangnapa</t>
  </si>
  <si>
    <t>Phiraphon	Pakaphongphan</t>
  </si>
  <si>
    <t>Animation</t>
  </si>
  <si>
    <t>Animation Director</t>
  </si>
  <si>
    <t>Jongeun LEE</t>
  </si>
  <si>
    <t>Animation Supervisor</t>
  </si>
  <si>
    <t>Eugene KIM</t>
  </si>
  <si>
    <t>Boram NOH</t>
  </si>
  <si>
    <t>Animator</t>
  </si>
  <si>
    <t>Kyoungsik BAE</t>
  </si>
  <si>
    <t>Hyeonsook KO</t>
  </si>
  <si>
    <t>Jihye KIM</t>
  </si>
  <si>
    <t>Doyoung KIM</t>
  </si>
  <si>
    <t>Yunhee KIM</t>
  </si>
  <si>
    <t>Jinho PARK</t>
  </si>
  <si>
    <t>Supaporn Klongphajonkit</t>
  </si>
  <si>
    <t>Chet Jeamkitrung</t>
  </si>
  <si>
    <t>Donnapat Chantavichanuwong</t>
  </si>
  <si>
    <t>Chattriya Thatayu</t>
  </si>
  <si>
    <t>Jaturathep Kongkhiaw</t>
  </si>
  <si>
    <t>Kamphon Ngernsong</t>
  </si>
  <si>
    <t>Khwanchanok Laepet</t>
  </si>
  <si>
    <t>Korapath Wunchum</t>
  </si>
  <si>
    <t>Nantatchaporn Mattaras</t>
  </si>
  <si>
    <t>Nattachai Kanoksinsomboon</t>
  </si>
  <si>
    <t>Nattawat Tadnoom</t>
  </si>
  <si>
    <t>Nattawut Tongpor</t>
  </si>
  <si>
    <t>Navatep Dankao</t>
  </si>
  <si>
    <t>Parinya Supanno</t>
  </si>
  <si>
    <t>Pattarawut Jarupramote</t>
  </si>
  <si>
    <t>Petch Sornsiri</t>
  </si>
  <si>
    <t>Ratchata Daduang</t>
  </si>
  <si>
    <t>Muhammad Rauf</t>
  </si>
  <si>
    <t>Sarut Pongsri</t>
  </si>
  <si>
    <t>Supicha Sitti</t>
  </si>
  <si>
    <t>Tanadon Srisomsong</t>
  </si>
  <si>
    <t>Suthiroj Jayasananon</t>
  </si>
  <si>
    <t>Worapon Ponchaicharoenkit</t>
  </si>
  <si>
    <t>Thanapha Yana</t>
  </si>
  <si>
    <t>Tharadon Khongthueng</t>
  </si>
  <si>
    <t>Monnatee Kulpanun</t>
  </si>
  <si>
    <t>Jiraporn Soonliang</t>
  </si>
  <si>
    <t>Lighting / VFX / Compositing</t>
  </si>
  <si>
    <t>VFX Supervisor</t>
  </si>
  <si>
    <t>Hyeongki KIM</t>
  </si>
  <si>
    <t>Lighting Supervisor</t>
  </si>
  <si>
    <t>Tae-in LEE</t>
  </si>
  <si>
    <t>Lighting Artist</t>
  </si>
  <si>
    <t>Byeonghyeon HWANG</t>
  </si>
  <si>
    <t>FX Supervisor</t>
  </si>
  <si>
    <t>Sewang KIM</t>
  </si>
  <si>
    <t>FX Artist</t>
  </si>
  <si>
    <t>Saebom OH</t>
  </si>
  <si>
    <t>Compositing Supervisor</t>
  </si>
  <si>
    <t>Yoonhee JUNG</t>
  </si>
  <si>
    <t>Compositing Artist</t>
  </si>
  <si>
    <t>Nammin KIM</t>
  </si>
  <si>
    <t>CFX Supervisor</t>
  </si>
  <si>
    <t>Korrapat Tangsutthiwong</t>
  </si>
  <si>
    <t>CFX Leader</t>
  </si>
  <si>
    <t>Thanawat Phukumchai</t>
  </si>
  <si>
    <t>CFX Artist</t>
  </si>
  <si>
    <t>Chermar Witoonwuttikul</t>
  </si>
  <si>
    <t>Komson Seechan</t>
  </si>
  <si>
    <t>Preechapong Noprumpa</t>
  </si>
  <si>
    <t>Suppachai Wongsalingkarn</t>
  </si>
  <si>
    <t>Thawatchay Kaewphuy</t>
  </si>
  <si>
    <t>Tittayanan Wannubol</t>
  </si>
  <si>
    <t>Pornneeka Thamwong</t>
  </si>
  <si>
    <t xml:space="preserve">Effect Supervisor </t>
  </si>
  <si>
    <t>Thachapong Ruangroj</t>
  </si>
  <si>
    <t>VFX Generalist</t>
  </si>
  <si>
    <t>Phuong Thanh Nam</t>
  </si>
  <si>
    <t>Effects Artist</t>
  </si>
  <si>
    <t>Chaipat Winyoovijit</t>
  </si>
  <si>
    <t>Chinnawat Asvinjaipetch</t>
  </si>
  <si>
    <t>Nattapon Krichavong</t>
  </si>
  <si>
    <t>Piyapong Janhalutai</t>
  </si>
  <si>
    <t>Silakorn Kongsuwan</t>
  </si>
  <si>
    <t>Sirawit Laoviriyakul</t>
  </si>
  <si>
    <t>Thanakorn Thaevakanjanaphokhin</t>
  </si>
  <si>
    <t>Thanawat Kaewarsa</t>
  </si>
  <si>
    <t>wasu lertamornwattana</t>
  </si>
  <si>
    <t>Lighting supervisor</t>
  </si>
  <si>
    <t>Tikumporn Srisang-ngam</t>
  </si>
  <si>
    <t>Lead Lighting Artist</t>
  </si>
  <si>
    <t>Chanin Pheungklay</t>
  </si>
  <si>
    <t>Titikamon Nanrudon</t>
  </si>
  <si>
    <t>Pradtana Karalop</t>
  </si>
  <si>
    <t>Worrapat Yimsukpaitoon</t>
  </si>
  <si>
    <t>Phanathon Warathip</t>
  </si>
  <si>
    <t>Boonyarat Ponomchoeng</t>
  </si>
  <si>
    <t>Nutchawee Srewai</t>
  </si>
  <si>
    <t>Chaniporn Porseela</t>
  </si>
  <si>
    <t>Kittisak Sopakul</t>
  </si>
  <si>
    <t>Korraphat Pongpaiboon</t>
  </si>
  <si>
    <t>Suphatcha Nuamthong</t>
  </si>
  <si>
    <t>Chaiyavudh Buranasonggram</t>
  </si>
  <si>
    <t>Phuwadon Khayanyiam</t>
  </si>
  <si>
    <t>Pipeline &amp; System</t>
  </si>
  <si>
    <t>Pipeline Supervisor</t>
  </si>
  <si>
    <t>Hyunkyu PARK</t>
  </si>
  <si>
    <t>System Manager</t>
  </si>
  <si>
    <t>Jiwoong RYU</t>
  </si>
  <si>
    <t>Management</t>
  </si>
  <si>
    <t>Studio Management</t>
  </si>
  <si>
    <t>Sangwan SEOK</t>
  </si>
  <si>
    <t>Supervising Producer</t>
  </si>
  <si>
    <t>Jarin SOHN</t>
  </si>
  <si>
    <t>IP Business</t>
  </si>
  <si>
    <t>Yeomin YOON</t>
  </si>
  <si>
    <t>Sangwon NAM</t>
  </si>
  <si>
    <t xml:space="preserve">Gahyun BAIK </t>
  </si>
  <si>
    <t>Accounting</t>
  </si>
  <si>
    <t>Jaehwan SHIN</t>
  </si>
  <si>
    <t>Human Resources</t>
  </si>
  <si>
    <t>Jin KIM</t>
  </si>
  <si>
    <t>Additional Artists</t>
  </si>
  <si>
    <t>Yggdrazil Group Public Co., Ltd.</t>
  </si>
  <si>
    <t>Pairatch Lertkajornwong</t>
  </si>
  <si>
    <t>Panuwat Bovornsirisarp</t>
  </si>
  <si>
    <t>Lead Asset</t>
  </si>
  <si>
    <t>Pradtana Tarwong</t>
  </si>
  <si>
    <t>Asset Artist</t>
  </si>
  <si>
    <t>Puchit Yotwichai</t>
  </si>
  <si>
    <t>Rithikeat Teacho</t>
  </si>
  <si>
    <t>Jakkrit Jaroensuk</t>
  </si>
  <si>
    <t>Nawapas Mainkoon</t>
  </si>
  <si>
    <t>Tharit Banchanurat</t>
  </si>
  <si>
    <t>Palinee Anuratanaprasit</t>
  </si>
  <si>
    <t>Pharunyoo Promkorn</t>
  </si>
  <si>
    <t>Chanankarn Kanta</t>
  </si>
  <si>
    <t>Chanapat Thuetrong</t>
  </si>
  <si>
    <t>Tarigan Sukontagon</t>
  </si>
  <si>
    <t>Watcharapol Panyapitakkul</t>
  </si>
  <si>
    <t>Prapabhorn Poomsiri</t>
  </si>
  <si>
    <t>Bavornsak Udomchimplee</t>
  </si>
  <si>
    <t>Voice Recording</t>
  </si>
  <si>
    <t>Voice Director</t>
  </si>
  <si>
    <t>Recording Engineer</t>
  </si>
  <si>
    <t>Dominic Dunn</t>
  </si>
  <si>
    <t>Fahad Rahman</t>
  </si>
  <si>
    <t>Voice casting</t>
  </si>
  <si>
    <t>Recorded by</t>
  </si>
  <si>
    <t>3Beep, NYC</t>
  </si>
  <si>
    <t>Producer for  3Beep</t>
  </si>
  <si>
    <t>Tim Werenko</t>
  </si>
  <si>
    <t>Post Production / Original Scores &amp; Songs</t>
  </si>
  <si>
    <t>Audio Post Production</t>
  </si>
  <si>
    <t>Doong Sound</t>
  </si>
  <si>
    <t>Sound Supervisor</t>
  </si>
  <si>
    <t>Jeongyoung PARK</t>
  </si>
  <si>
    <t>Sound Production Manager</t>
  </si>
  <si>
    <t>Hyejeong HWANG</t>
  </si>
  <si>
    <t>Sound</t>
  </si>
  <si>
    <t>Chief Sound Designer &amp; Effects &amp; Editor</t>
  </si>
  <si>
    <t>Voice Editor</t>
  </si>
  <si>
    <t>Mixing &amp; Mastering</t>
  </si>
  <si>
    <t>Original Score</t>
  </si>
  <si>
    <t>Music Supervisor</t>
  </si>
  <si>
    <t>Yoonho KIM</t>
  </si>
  <si>
    <t>Lead Composer</t>
  </si>
  <si>
    <t>Sieun Kim</t>
  </si>
  <si>
    <t>Additional Composer</t>
  </si>
  <si>
    <t>Nayeon LEE</t>
  </si>
  <si>
    <t>Dolly HWANG</t>
  </si>
  <si>
    <t>Haehoon LEE</t>
  </si>
  <si>
    <t>Soyoung KWON</t>
  </si>
  <si>
    <t>Bumpiz</t>
  </si>
  <si>
    <t>Yeonghun YUN</t>
  </si>
  <si>
    <t>Jiae YU</t>
  </si>
  <si>
    <t>Recording Session</t>
  </si>
  <si>
    <t>Guitar</t>
  </si>
  <si>
    <t>Bass</t>
  </si>
  <si>
    <t>KeyBoard</t>
  </si>
  <si>
    <t>Sieun KIM</t>
  </si>
  <si>
    <t>Music Programing</t>
  </si>
  <si>
    <t>Recording Studio</t>
  </si>
  <si>
    <t>Q6</t>
  </si>
  <si>
    <t>We R The Heroes</t>
  </si>
  <si>
    <t>Opening Song</t>
  </si>
  <si>
    <t>Composer &amp; Arranger</t>
  </si>
  <si>
    <t>Lyrics</t>
  </si>
  <si>
    <t>Vocal</t>
  </si>
  <si>
    <t>Purple Moon</t>
  </si>
  <si>
    <t>Teenage Dreaming</t>
  </si>
  <si>
    <t>Ending Song</t>
  </si>
  <si>
    <t>Paul Y. KIM</t>
  </si>
  <si>
    <t>Music By Episode</t>
  </si>
  <si>
    <t>Yoonho Kim</t>
  </si>
  <si>
    <t>Lead Sound Designer</t>
  </si>
  <si>
    <t>Foley Designer</t>
  </si>
  <si>
    <t>Taehun KIM</t>
  </si>
  <si>
    <t>Mastering</t>
  </si>
  <si>
    <t>Studio</t>
  </si>
  <si>
    <t>SBA</t>
  </si>
  <si>
    <t>Studio Dept. Director</t>
  </si>
  <si>
    <t>Jongmin HAHM</t>
  </si>
  <si>
    <t>Studio Manager</t>
  </si>
  <si>
    <t>Myunghoon LEE</t>
  </si>
  <si>
    <t>Haesu JEON</t>
  </si>
  <si>
    <t>Iyuno</t>
  </si>
  <si>
    <t>Media Operations Supervisor</t>
  </si>
  <si>
    <t>Jinwoo Yang</t>
  </si>
  <si>
    <t>Project Manager</t>
  </si>
  <si>
    <t>Wonjeong Song</t>
  </si>
  <si>
    <t>Video Editor</t>
  </si>
  <si>
    <t>Sangyoung Cho</t>
  </si>
  <si>
    <t>Jinah Jeong</t>
  </si>
  <si>
    <t>Songi Yoon</t>
  </si>
  <si>
    <t>Asset Manager</t>
  </si>
  <si>
    <t>Sangmin Park</t>
  </si>
  <si>
    <t>Tencent Video</t>
  </si>
  <si>
    <t>Business Director</t>
  </si>
  <si>
    <t>Vern Wang</t>
  </si>
  <si>
    <t>Ann Wang</t>
  </si>
  <si>
    <t>Producer</t>
  </si>
  <si>
    <t>Leeger Liu</t>
  </si>
  <si>
    <t>Angel Geng</t>
  </si>
  <si>
    <t>Lillians Li</t>
  </si>
  <si>
    <t>Programming Editor</t>
  </si>
  <si>
    <t>Xinci Chang</t>
  </si>
  <si>
    <t>Naiyue Hu</t>
  </si>
  <si>
    <t>Jing Lin</t>
  </si>
  <si>
    <t>Yoyo Gao</t>
  </si>
  <si>
    <t>Krystal Yang</t>
  </si>
  <si>
    <t>Betty Mei</t>
  </si>
  <si>
    <t>Rhea Liu</t>
  </si>
  <si>
    <t>Zhengdao Chen</t>
  </si>
  <si>
    <t>Business Editor</t>
  </si>
  <si>
    <t>Lainey Liu</t>
  </si>
  <si>
    <t>Dee Zhang</t>
  </si>
  <si>
    <t>Legal</t>
  </si>
  <si>
    <t>Kan Zhang</t>
  </si>
  <si>
    <t>Finance &amp; Tax</t>
  </si>
  <si>
    <t xml:space="preserve">Xiaochen Zhang </t>
  </si>
  <si>
    <t>Ying Chen</t>
  </si>
  <si>
    <t>Marketing</t>
  </si>
  <si>
    <t>Tracy Cui</t>
  </si>
  <si>
    <t>Mengjie He</t>
  </si>
  <si>
    <t>Iris Zhang</t>
  </si>
  <si>
    <t>Aaron Yu</t>
  </si>
  <si>
    <t>Production Services Provided By</t>
  </si>
  <si>
    <t>Production Executive</t>
  </si>
  <si>
    <t>Juck Somsaman</t>
  </si>
  <si>
    <t>Napassara Chaisukdamrong</t>
  </si>
  <si>
    <t>Rujira Poksomboonkij</t>
  </si>
  <si>
    <t>CG Supevisor</t>
  </si>
  <si>
    <t>Katha Na Badalung</t>
  </si>
  <si>
    <t>Budsarin Panomma</t>
  </si>
  <si>
    <t>Palapas Nimawan</t>
  </si>
  <si>
    <t>Animation Manager</t>
  </si>
  <si>
    <t>Parinya Pongsangiam</t>
  </si>
  <si>
    <t>CG Manager</t>
  </si>
  <si>
    <t>Sasiporn Panomma</t>
  </si>
  <si>
    <t>Asset Coordinator</t>
  </si>
  <si>
    <t>Chutchaphol Khantasophon</t>
  </si>
  <si>
    <t>Warissara Petsakul</t>
  </si>
  <si>
    <t>Layout Coordinator</t>
  </si>
  <si>
    <t>Patsawan Chuasritrakul</t>
  </si>
  <si>
    <t>Animation Coordinator</t>
  </si>
  <si>
    <t>Sawita Starpitchayanant</t>
  </si>
  <si>
    <t>Kunlaphat Jeeramaneemai</t>
  </si>
  <si>
    <t>Punyawee Tungjaisue</t>
  </si>
  <si>
    <t>FX Coordinator</t>
  </si>
  <si>
    <t>Navipas Suttichonsakul</t>
  </si>
  <si>
    <t>LRC Coordinator</t>
  </si>
  <si>
    <t>Sunida Dangthongkum</t>
  </si>
  <si>
    <t>Pipeline&amp;TD Coordinator</t>
  </si>
  <si>
    <t>Danuphol Jongariyakul</t>
  </si>
  <si>
    <t>Pipeline &amp; TD</t>
  </si>
  <si>
    <t>Head of Development</t>
  </si>
  <si>
    <t>Napaporn Metaaphanon</t>
  </si>
  <si>
    <t>Head of Pipeline</t>
  </si>
  <si>
    <t>Michael Isarasak Khantharod</t>
  </si>
  <si>
    <t>Lead Pipeline</t>
  </si>
  <si>
    <t>Sarinporn Pintusopon</t>
  </si>
  <si>
    <t>Pipeline developer</t>
  </si>
  <si>
    <t>Tanarat Luang-On</t>
  </si>
  <si>
    <t>Thanyathon Tayangkhanon</t>
  </si>
  <si>
    <t>Nuttapon Vanakittistien</t>
  </si>
  <si>
    <t>Apisit Senluang</t>
  </si>
  <si>
    <t>Lead Technical Director</t>
  </si>
  <si>
    <t>Thanapat Tummati</t>
  </si>
  <si>
    <t>Technical Director</t>
  </si>
  <si>
    <t>Tanawoot Singthongprasert</t>
  </si>
  <si>
    <t>Peerapat Sripeng</t>
  </si>
  <si>
    <t>Thirada Theethum</t>
  </si>
  <si>
    <t>Nichapat Kachacheewa</t>
  </si>
  <si>
    <t>Suchada  Khamwan</t>
  </si>
  <si>
    <t>Rig Technical Director</t>
  </si>
  <si>
    <t>Pongsopon Sroysomwong</t>
  </si>
  <si>
    <t>Sarawut Suwan</t>
  </si>
  <si>
    <t>IT</t>
  </si>
  <si>
    <t>IT Director</t>
  </si>
  <si>
    <t>Pakorn Chutinimitkul</t>
  </si>
  <si>
    <t>System Engineer</t>
  </si>
  <si>
    <t>Natee Koonjaturapat</t>
  </si>
  <si>
    <t>IT Support</t>
  </si>
  <si>
    <t>Chatchai Lohsiri</t>
  </si>
  <si>
    <t>Wimonwan Lertthongkam</t>
  </si>
  <si>
    <t>Storyboard &amp; Design</t>
  </si>
  <si>
    <t>Chief Producer</t>
  </si>
  <si>
    <t>Jungsoo HUR</t>
  </si>
  <si>
    <t>Geunjeong KIM</t>
  </si>
  <si>
    <t>Coordinator</t>
  </si>
  <si>
    <t>Jowon JUNG</t>
  </si>
  <si>
    <t>Lead Designer</t>
  </si>
  <si>
    <t>Woojin SEOK</t>
  </si>
  <si>
    <t>Designer</t>
  </si>
  <si>
    <t>Jihyun KIM</t>
  </si>
  <si>
    <t>Minchang KIM</t>
  </si>
  <si>
    <t>Jaewook JOO</t>
  </si>
  <si>
    <t>Namok EU</t>
  </si>
  <si>
    <t>Dai JEONG</t>
  </si>
  <si>
    <t>Episode Credits - 202</t>
  </si>
  <si>
    <t>Locust man</t>
  </si>
  <si>
    <t>Mc Cuffin</t>
  </si>
  <si>
    <t>Mr Question</t>
  </si>
  <si>
    <t>Allen Winter</t>
  </si>
  <si>
    <t>Nick Watson</t>
  </si>
  <si>
    <t>Youngki Lee</t>
  </si>
  <si>
    <t>Wanichaya Phraejunya</t>
  </si>
  <si>
    <t>Saruta Santiprap</t>
  </si>
  <si>
    <t>Phattaranan Charoenkiat</t>
  </si>
  <si>
    <t>Mincheol CHOI</t>
  </si>
  <si>
    <t>Phakamas Phasuk</t>
  </si>
  <si>
    <t>Sasin Politanont</t>
  </si>
  <si>
    <t>Chaiyapat Kiatthaveephong</t>
  </si>
  <si>
    <t>Chaowarat Sang-oan</t>
  </si>
  <si>
    <t>Duangporn Wongkaew</t>
  </si>
  <si>
    <t>Kittichai Boetbo</t>
  </si>
  <si>
    <t>Surached Siriprasert</t>
  </si>
  <si>
    <t>Nattapon Hongthong</t>
  </si>
  <si>
    <t>Pakarachon Rodklum</t>
  </si>
  <si>
    <t>Panupong Tipmonta</t>
  </si>
  <si>
    <t>Thanapol Tiamjan</t>
  </si>
  <si>
    <t>Paranpat Ngamtharanakit</t>
  </si>
  <si>
    <t>Pasin Nakin</t>
  </si>
  <si>
    <t>Pimlada Satianpakiranakorn</t>
  </si>
  <si>
    <t>Juthamas Poochapunth</t>
  </si>
  <si>
    <t>Chaiyapak Panaviboonpon</t>
  </si>
  <si>
    <t>Suphat pinkaew</t>
  </si>
  <si>
    <t>Worapot Ponchaicharoenkit</t>
  </si>
  <si>
    <t>Metee Palaphan</t>
  </si>
  <si>
    <t>Vittawat Kittisupat</t>
  </si>
  <si>
    <t>Korawit Karakorn</t>
  </si>
  <si>
    <t>Supanida Kosin</t>
  </si>
  <si>
    <t>Varat Sittinuntawat</t>
  </si>
  <si>
    <t>Suttida Butmata</t>
  </si>
  <si>
    <t>Tanchanok Songsang</t>
  </si>
  <si>
    <t>Lertluk Srijamorn</t>
  </si>
  <si>
    <t>NAYEON LEE</t>
  </si>
  <si>
    <t>Songs By Episode</t>
  </si>
  <si>
    <t>Jiae Yu</t>
  </si>
  <si>
    <t>Jiae Yu &amp; Gymjy</t>
  </si>
  <si>
    <t>Jiae YU &amp; Bumpiz</t>
  </si>
  <si>
    <t>Nattapong Nilprohm</t>
  </si>
  <si>
    <t>Tanawoot  Singthongprasert</t>
  </si>
  <si>
    <t>Pongsopon  Sroysomwong</t>
  </si>
  <si>
    <t>Episode Credits - 203</t>
  </si>
  <si>
    <t>Dirk-O</t>
  </si>
  <si>
    <t>Jesse Goldman</t>
  </si>
  <si>
    <t>Seungmin LEE</t>
  </si>
  <si>
    <t>Sungjun HONG</t>
  </si>
  <si>
    <t>Nasil BAEK</t>
  </si>
  <si>
    <t>Wanatchaporn Jantarapitak</t>
  </si>
  <si>
    <t>Episode Credits - 204</t>
  </si>
  <si>
    <t>Studio 105</t>
  </si>
  <si>
    <t>Miryoung HWANG</t>
  </si>
  <si>
    <t>Kangsadarn Thong-Aram</t>
  </si>
  <si>
    <t>Pailin Intrareangsorn</t>
  </si>
  <si>
    <t xml:space="preserve">Sittichok Pengruang </t>
  </si>
  <si>
    <t>Kulapong Vaiyamugamuygul</t>
  </si>
  <si>
    <t>Jirawut Kemglad</t>
  </si>
  <si>
    <t>Sirapob Kositchaimongkhon</t>
  </si>
  <si>
    <t>Tanawan Jamsri</t>
  </si>
  <si>
    <t>Chanchol Jantarat</t>
  </si>
  <si>
    <t>Sirunda Suwannapracha</t>
  </si>
  <si>
    <t>Kaset Reabreang</t>
  </si>
  <si>
    <t>Lalita Chinthawan</t>
  </si>
  <si>
    <t>Songsak Jansawang</t>
  </si>
  <si>
    <t>Nithirut Jirakangvanphat</t>
  </si>
  <si>
    <t>Chitawadee Sriruk</t>
  </si>
  <si>
    <t>Sirawat Punyarit</t>
  </si>
  <si>
    <t>Cry For You</t>
  </si>
  <si>
    <t>XYZ</t>
  </si>
  <si>
    <t>Doong Sound &amp; Waon Studio</t>
  </si>
  <si>
    <t>Bumpiz &amp; XYZ</t>
  </si>
  <si>
    <t>Episode Credits - 205</t>
  </si>
  <si>
    <t>25 Cent Reader</t>
  </si>
  <si>
    <t>Lucy's Father</t>
  </si>
  <si>
    <t>Mr. Question</t>
  </si>
  <si>
    <t>Anusart Supcharoenchai</t>
  </si>
  <si>
    <t>Phatchara Chattupot</t>
  </si>
  <si>
    <t>Phattarapon Choorujiporn</t>
  </si>
  <si>
    <t>Witchayut Piambanchong</t>
  </si>
  <si>
    <t>Nutcha Laohapatcharin</t>
  </si>
  <si>
    <t>Phatcharapoom Daidee</t>
  </si>
  <si>
    <t>Chanidapa Srisawang</t>
  </si>
  <si>
    <t>Jedsadapong Chunthp</t>
  </si>
  <si>
    <t>Napat Temsittichok</t>
  </si>
  <si>
    <t>Navaruj Panyasing</t>
  </si>
  <si>
    <t>Pisit kittiputtapim</t>
  </si>
  <si>
    <t>Rungtiwa Toomchai</t>
  </si>
  <si>
    <t>Tanakrit Chanrungrueang</t>
  </si>
  <si>
    <t>Narawit Pimonphun</t>
  </si>
  <si>
    <t>Colton Eatmon</t>
  </si>
  <si>
    <t>Episode Credits - 206</t>
  </si>
  <si>
    <t>Mrs. Cubbenson</t>
  </si>
  <si>
    <t>Mr. Justice</t>
  </si>
  <si>
    <t>Streamer</t>
  </si>
  <si>
    <t>Hoseong JEON</t>
  </si>
  <si>
    <t>Nitat Wimanjunt</t>
  </si>
  <si>
    <t>Piyaphon Sriphongngam</t>
  </si>
  <si>
    <t>Panya Natekobkua</t>
  </si>
  <si>
    <t>Chonlathorn Phusri</t>
  </si>
  <si>
    <t>Nopparat Wangsin</t>
  </si>
  <si>
    <t>Kanyanee Duangnapa</t>
  </si>
  <si>
    <t>Phiraphon Pakaphongphan</t>
  </si>
  <si>
    <t>Passakorn Benjapisut</t>
  </si>
  <si>
    <t>Lim Yew Chin</t>
  </si>
  <si>
    <t>Lee Mei Chin</t>
  </si>
  <si>
    <t>Loo Yen Lin</t>
  </si>
  <si>
    <t>Christopher Hu Edward</t>
  </si>
  <si>
    <t>Zarni Nugraha Saputra</t>
  </si>
  <si>
    <t>Nilesh Shakya</t>
  </si>
  <si>
    <t>Angie Chong Woon Ching</t>
  </si>
  <si>
    <t>Ong Seow Ying</t>
  </si>
  <si>
    <t>Jeayna Low Pei Chee</t>
  </si>
  <si>
    <t>John Mathew</t>
  </si>
  <si>
    <t>Yeong Chun Fai</t>
  </si>
  <si>
    <t>Tsvetelina Georgieva Netovska</t>
  </si>
  <si>
    <t>Andrew Chen Kel Jon</t>
  </si>
  <si>
    <t>Noviyanti</t>
  </si>
  <si>
    <t>Charles Chua Han Chao</t>
  </si>
  <si>
    <t>Lim Jo Vin</t>
  </si>
  <si>
    <t>Sutimon Chaisriariyakul</t>
  </si>
  <si>
    <t>Punith Goel</t>
  </si>
  <si>
    <t>Kittouch Witayapasitkul</t>
  </si>
  <si>
    <t>Weeraphat Sangrung</t>
  </si>
  <si>
    <t>Goh Shu Li</t>
  </si>
  <si>
    <t>Episode Credits - 207</t>
  </si>
  <si>
    <t>Kung-fu 7</t>
  </si>
  <si>
    <t>Arcade Troll</t>
  </si>
  <si>
    <t>Buzz</t>
  </si>
  <si>
    <t>Tanin Senasuttipun</t>
  </si>
  <si>
    <t>Pokin Manaudomsin</t>
  </si>
  <si>
    <t>Jadsadapong Chunthp</t>
  </si>
  <si>
    <t>Effect Supervisor</t>
  </si>
  <si>
    <t>Natarat Wongmek</t>
  </si>
  <si>
    <t>Nonpapat Pechsri</t>
  </si>
  <si>
    <t>Tamolwan Saelow</t>
  </si>
  <si>
    <t>Wattana Chawalitakul</t>
  </si>
  <si>
    <t>Episode Credits - 208</t>
  </si>
  <si>
    <t>Gwanhoon CHUNG</t>
  </si>
  <si>
    <t>Deborah KANG</t>
  </si>
  <si>
    <t>Thanet Phittayaphanurak</t>
  </si>
  <si>
    <t>Animation Lead</t>
  </si>
  <si>
    <t>Sirichai Thinyakul</t>
  </si>
  <si>
    <t>Veerawit  Phongniticharoen</t>
  </si>
  <si>
    <t>Thanawat Tungcharoen</t>
  </si>
  <si>
    <t>Patsawat Jongchansittho</t>
  </si>
  <si>
    <t>Witayapon Thaimai</t>
  </si>
  <si>
    <t>Guypat Teerasawat</t>
  </si>
  <si>
    <t>Worraphach Kanokapiwat</t>
  </si>
  <si>
    <t>Sakol Sutthipak</t>
  </si>
  <si>
    <t>Chutima Boonthanom</t>
  </si>
  <si>
    <t>Rathanon Santiwiriyakarn</t>
  </si>
  <si>
    <t xml:space="preserve">Tharin Wechapinant </t>
  </si>
  <si>
    <t>Animation producer</t>
  </si>
  <si>
    <t>Watcharin Phingthavongkul</t>
  </si>
  <si>
    <t>Nantiya Phongam</t>
  </si>
  <si>
    <t>Kachornpat Gullapatpornchai</t>
  </si>
  <si>
    <t>Suchada Khamwan</t>
  </si>
  <si>
    <t>Episode Credits - 209</t>
  </si>
  <si>
    <t>Apimuk Umnit</t>
  </si>
  <si>
    <t>Chitsanupong Sukkamnerd</t>
  </si>
  <si>
    <t>Pokin Namaudomsin</t>
  </si>
  <si>
    <t>Tawatchai Rattanasri</t>
  </si>
  <si>
    <t>Thitikon Saimpat</t>
  </si>
  <si>
    <t>맹주공</t>
  </si>
  <si>
    <t>고태욱</t>
  </si>
  <si>
    <t>김지현</t>
  </si>
  <si>
    <t>총괄 프로듀서</t>
  </si>
  <si>
    <t>프로듀서</t>
  </si>
  <si>
    <t>오지원</t>
  </si>
  <si>
    <t>프로덕션 매니저</t>
  </si>
  <si>
    <t>신세민</t>
  </si>
  <si>
    <t>목소리 출연</t>
  </si>
  <si>
    <t>마이크</t>
  </si>
  <si>
    <t>루시</t>
  </si>
  <si>
    <t>잭</t>
  </si>
  <si>
    <t>바비백</t>
  </si>
  <si>
    <t>기타 목소리</t>
  </si>
  <si>
    <t>감독</t>
  </si>
  <si>
    <t>공동감독</t>
  </si>
  <si>
    <t>조감독</t>
  </si>
  <si>
    <t>스토리 슈퍼바이저</t>
  </si>
  <si>
    <t>스토리 아티스트</t>
  </si>
  <si>
    <t>황원</t>
  </si>
  <si>
    <t>스크립트 슈퍼바이저</t>
  </si>
  <si>
    <t>작가</t>
  </si>
  <si>
    <t>스토리보드</t>
  </si>
  <si>
    <t>스튜디오 고인돌</t>
  </si>
  <si>
    <t>스토리보드 감독</t>
  </si>
  <si>
    <t>조영광</t>
  </si>
  <si>
    <t>스토리보드 아티스트</t>
  </si>
  <si>
    <t>정진원</t>
  </si>
  <si>
    <t>유용렬</t>
  </si>
  <si>
    <t>스토리보드 리비저니스트</t>
  </si>
  <si>
    <t>임수민</t>
  </si>
  <si>
    <t>프로덕션 코디네이터</t>
  </si>
  <si>
    <t>정세희</t>
  </si>
  <si>
    <t>한윤정</t>
  </si>
  <si>
    <t>고우리</t>
  </si>
  <si>
    <t>황은하</t>
  </si>
  <si>
    <t>강연재</t>
  </si>
  <si>
    <t>이연지</t>
  </si>
  <si>
    <t>미술</t>
  </si>
  <si>
    <t>캐릭터 디자인</t>
  </si>
  <si>
    <t>권난다비</t>
  </si>
  <si>
    <t>이만중</t>
  </si>
  <si>
    <t>위현송</t>
  </si>
  <si>
    <t>정희경</t>
  </si>
  <si>
    <t>정성민</t>
  </si>
  <si>
    <t>배경 디자인</t>
  </si>
  <si>
    <t>김보미</t>
  </si>
  <si>
    <t>백창래</t>
  </si>
  <si>
    <t>박선영</t>
  </si>
  <si>
    <t>어셋</t>
  </si>
  <si>
    <t>어셋 슈퍼바이저</t>
  </si>
  <si>
    <t>남상우</t>
  </si>
  <si>
    <t>모델링  슈퍼바이저</t>
  </si>
  <si>
    <t>김태영</t>
  </si>
  <si>
    <t>하정윤</t>
  </si>
  <si>
    <t>김기표</t>
  </si>
  <si>
    <t>룩 디벨롭 아티스트</t>
  </si>
  <si>
    <t>이연주</t>
  </si>
  <si>
    <t>리깅</t>
  </si>
  <si>
    <t xml:space="preserve">유민주 </t>
  </si>
  <si>
    <t>레이아웃</t>
  </si>
  <si>
    <t>레이아웃 감독</t>
  </si>
  <si>
    <t>김경민</t>
  </si>
  <si>
    <t>애니메이션</t>
  </si>
  <si>
    <t>애니메이션 감독</t>
  </si>
  <si>
    <t>이종은</t>
  </si>
  <si>
    <t>애니메이션 슈퍼바이저</t>
  </si>
  <si>
    <t>김유진</t>
  </si>
  <si>
    <t>노보람</t>
  </si>
  <si>
    <t>애니메이터</t>
  </si>
  <si>
    <t>배경식</t>
  </si>
  <si>
    <t>고현숙</t>
  </si>
  <si>
    <t>김지혜</t>
  </si>
  <si>
    <t>김도영</t>
  </si>
  <si>
    <t>김윤희</t>
  </si>
  <si>
    <t>박진호</t>
  </si>
  <si>
    <t>라이팅 / VFX / 합성</t>
  </si>
  <si>
    <t>VFX 슈퍼바이저</t>
  </si>
  <si>
    <t>김형기</t>
  </si>
  <si>
    <t>라이팅 슈퍼바이저</t>
  </si>
  <si>
    <t>이태인</t>
  </si>
  <si>
    <t>라이팅 아티스트</t>
  </si>
  <si>
    <t>황병현</t>
  </si>
  <si>
    <t>이펙트 슈퍼바이저</t>
  </si>
  <si>
    <t>김세왕</t>
  </si>
  <si>
    <t>이펙트 아티스트</t>
  </si>
  <si>
    <t>오새봄</t>
  </si>
  <si>
    <t>합성 슈퍼바이저</t>
  </si>
  <si>
    <t>정윤희</t>
  </si>
  <si>
    <t>합성 아티스트</t>
  </si>
  <si>
    <t>김남민</t>
  </si>
  <si>
    <t>파이프라인 &amp; 시스템</t>
  </si>
  <si>
    <t>파이프라인 슈퍼바이저</t>
  </si>
  <si>
    <t>박현규</t>
  </si>
  <si>
    <t>시스템 매니저</t>
  </si>
  <si>
    <t>류지웅</t>
  </si>
  <si>
    <t>매니지먼트</t>
  </si>
  <si>
    <t>COO</t>
  </si>
  <si>
    <t>석상완</t>
  </si>
  <si>
    <t>제작이사</t>
  </si>
  <si>
    <t>손자아린</t>
  </si>
  <si>
    <t>IP 사업</t>
  </si>
  <si>
    <t>윤여민</t>
  </si>
  <si>
    <t>남상원</t>
  </si>
  <si>
    <t>백가현</t>
  </si>
  <si>
    <t>Hanna Bang</t>
  </si>
  <si>
    <t>방한나</t>
  </si>
  <si>
    <t>회계</t>
  </si>
  <si>
    <t>신재환</t>
  </si>
  <si>
    <t>인사</t>
  </si>
  <si>
    <t>김진</t>
  </si>
  <si>
    <t>도움준 아티스트들</t>
  </si>
  <si>
    <t>한국어 성우 녹음 세션</t>
  </si>
  <si>
    <t>녹음 스튜디오</t>
  </si>
  <si>
    <t>둥사운드</t>
  </si>
  <si>
    <t>성우 캐스팅 &amp; 진행</t>
  </si>
  <si>
    <t>황혜정</t>
  </si>
  <si>
    <t>녹음 엔지니어</t>
  </si>
  <si>
    <t>녹음 편집</t>
  </si>
  <si>
    <t>포스트 프로덕션 / 오리지널 스코어 &amp; 노래</t>
  </si>
  <si>
    <t>사운드 스튜디오</t>
  </si>
  <si>
    <t>사운드 슈퍼바이저</t>
  </si>
  <si>
    <t>박정영</t>
  </si>
  <si>
    <t>사운드 프로덕션 매니저</t>
  </si>
  <si>
    <t>사운드</t>
  </si>
  <si>
    <t>사운드 제작 및 편집 책임자</t>
  </si>
  <si>
    <t>목소리 편집</t>
  </si>
  <si>
    <t>믹싱 &amp; 마스터링</t>
  </si>
  <si>
    <t>연주곡</t>
  </si>
  <si>
    <t>음악 슈퍼바이저</t>
  </si>
  <si>
    <t>김윤호</t>
  </si>
  <si>
    <t>작곡가</t>
  </si>
  <si>
    <t>김시은</t>
  </si>
  <si>
    <t>보조 작곡가</t>
  </si>
  <si>
    <t>이나연</t>
  </si>
  <si>
    <t>이해훈</t>
  </si>
  <si>
    <t>권소영</t>
  </si>
  <si>
    <t>윤영훈</t>
  </si>
  <si>
    <t>유지애</t>
  </si>
  <si>
    <t>연주</t>
  </si>
  <si>
    <t>기타</t>
  </si>
  <si>
    <t>베이스</t>
  </si>
  <si>
    <t>키보드</t>
  </si>
  <si>
    <t>녹음</t>
  </si>
  <si>
    <t>음악 편집</t>
  </si>
  <si>
    <t>오프닝 곡</t>
  </si>
  <si>
    <t>작곡 &amp; 편곡</t>
  </si>
  <si>
    <t>작사</t>
  </si>
  <si>
    <t>노래</t>
  </si>
  <si>
    <t>엔딩 곡</t>
  </si>
  <si>
    <t>에피소드 곡</t>
  </si>
  <si>
    <t>사운드 디자이너</t>
  </si>
  <si>
    <t>폴리 디자이너</t>
  </si>
  <si>
    <t>김태훈</t>
  </si>
  <si>
    <t>마스터링</t>
  </si>
  <si>
    <t>스튜디오</t>
  </si>
  <si>
    <t>팀장</t>
  </si>
  <si>
    <t>함종민</t>
  </si>
  <si>
    <t>책임</t>
  </si>
  <si>
    <t>이명훈</t>
  </si>
  <si>
    <t>전혜수</t>
  </si>
  <si>
    <t>마스터링 슈퍼바이저</t>
  </si>
  <si>
    <t>양진우</t>
  </si>
  <si>
    <t>프로젝트 매니저</t>
  </si>
  <si>
    <t>송원정</t>
  </si>
  <si>
    <t>영상 편집</t>
  </si>
  <si>
    <t>조상용</t>
  </si>
  <si>
    <t>정진아</t>
  </si>
  <si>
    <t>윤송이</t>
  </si>
  <si>
    <t>에셋 매니저</t>
  </si>
  <si>
    <t>박상민</t>
  </si>
  <si>
    <t>제작 협력업체</t>
  </si>
  <si>
    <t>스토리보드 &amp; 디자인</t>
  </si>
  <si>
    <t>허정수</t>
  </si>
  <si>
    <t>김근정</t>
  </si>
  <si>
    <t>코디네이터</t>
  </si>
  <si>
    <t>정조원</t>
  </si>
  <si>
    <t>리드 디자이너</t>
  </si>
  <si>
    <t>석우진</t>
  </si>
  <si>
    <t>디자이너</t>
  </si>
  <si>
    <t>김민창</t>
  </si>
  <si>
    <t>주재욱</t>
  </si>
  <si>
    <t>유남옥</t>
  </si>
  <si>
    <t>정다이</t>
  </si>
  <si>
    <t>이영기</t>
  </si>
  <si>
    <t>최민철</t>
  </si>
  <si>
    <t>유지애 &amp; Gymjy</t>
  </si>
  <si>
    <t>유지애 &amp; Bumpiz</t>
  </si>
  <si>
    <t>스토리보드 리비져니스트</t>
  </si>
  <si>
    <t>이승민</t>
  </si>
  <si>
    <t>홍성준</t>
  </si>
  <si>
    <t>백나실</t>
  </si>
  <si>
    <t>스튜디오 일령오</t>
  </si>
  <si>
    <t>황미령</t>
  </si>
  <si>
    <t>둥사운드 &amp; Waon Studio</t>
  </si>
  <si>
    <t>스컬크러셔</t>
  </si>
  <si>
    <t>25센트 리더</t>
  </si>
  <si>
    <t>루시 아빠</t>
  </si>
  <si>
    <t>유튜버</t>
  </si>
  <si>
    <t>해당없음</t>
  </si>
  <si>
    <t>전호성</t>
  </si>
  <si>
    <t>비트데이브</t>
  </si>
  <si>
    <t>아케이드 트롤</t>
  </si>
  <si>
    <t>김연후</t>
  </si>
  <si>
    <t>정관훈</t>
  </si>
  <si>
    <t>강드보라</t>
  </si>
  <si>
    <t>맥거핀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</si>
</sst>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</font>
    <font>
      <b/>
      <sz val="10"/>
      <color rgb="FF000000"/>
      <name val="Arial"/>
      <family val="2"/>
    </font>
    <font>
      <b/>
      <sz val="18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0"/>
      <color theme="1"/>
      <name val="Cairo"/>
    </font>
    <font>
      <sz val="10"/>
      <color rgb="FF000000"/>
      <name val="Cairo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4"/>
      <color theme="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Roboto"/>
    </font>
    <font>
      <sz val="9"/>
      <color theme="0"/>
      <name val="Arial"/>
      <family val="2"/>
    </font>
    <font>
      <sz val="9"/>
      <color rgb="FF000000"/>
      <name val="Roboto"/>
    </font>
    <font>
      <sz val="9"/>
      <color rgb="FF000000"/>
      <name val="Arial"/>
      <family val="2"/>
    </font>
    <font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rgb="FFFFFFFF"/>
      <name val="Arial"/>
      <family val="2"/>
    </font>
    <font>
      <sz val="10"/>
      <color rgb="FF000000"/>
      <name val="Roboto"/>
    </font>
    <font>
      <sz val="10"/>
      <color theme="1"/>
      <name val="Roboto"/>
    </font>
    <font>
      <sz val="10"/>
      <color rgb="FF2F343D"/>
      <name val="Arial"/>
      <family val="2"/>
    </font>
    <font>
      <sz val="10"/>
      <color rgb="FF000000"/>
      <name val="Montserrat"/>
    </font>
    <font>
      <sz val="10"/>
      <color rgb="FF2F343D"/>
      <name val="Arial"/>
      <family val="2"/>
    </font>
    <font>
      <sz val="10"/>
      <color rgb="FF000000"/>
      <name val="Cairo"/>
    </font>
    <font>
      <sz val="10"/>
      <color theme="1"/>
      <name val="Cairo"/>
    </font>
    <font>
      <b/>
      <sz val="10"/>
      <color theme="1"/>
      <name val="Roboto"/>
    </font>
    <font>
      <sz val="9"/>
      <color theme="1"/>
      <name val="Roboto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rgb="FF1F1F1F"/>
      <name val="Cairo"/>
    </font>
    <font>
      <sz val="10"/>
      <color theme="1"/>
      <name val="Montserrat"/>
    </font>
    <font>
      <sz val="12"/>
      <color theme="1"/>
      <name val="Arial"/>
      <family val="2"/>
    </font>
    <font>
      <sz val="10"/>
      <color theme="1"/>
      <name val="Inter"/>
    </font>
    <font>
      <sz val="10"/>
      <color theme="1"/>
      <name val="Inter"/>
    </font>
    <font>
      <sz val="11"/>
      <color theme="1"/>
      <name val="Noto Sans KR"/>
    </font>
    <font>
      <sz val="10"/>
      <color theme="1"/>
      <name val="Noto Sans KR"/>
    </font>
    <font>
      <sz val="10"/>
      <color theme="1"/>
      <name val="Roboto"/>
    </font>
    <font>
      <sz val="10"/>
      <color rgb="FF1F1F1F"/>
      <name val="Arial"/>
      <family val="2"/>
    </font>
    <font>
      <sz val="10"/>
      <color rgb="FF000000"/>
      <name val="Roboto"/>
    </font>
    <font>
      <sz val="10"/>
      <color rgb="FF2F343D"/>
      <name val="Inter"/>
    </font>
    <font>
      <sz val="10"/>
      <color rgb="FF2F343D"/>
      <name val="Inter"/>
    </font>
    <font>
      <sz val="9"/>
      <color rgb="FF1F1F1F"/>
      <name val="&quot;Google Sans&quot;"/>
    </font>
    <font>
      <sz val="8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/>
      <right style="hair">
        <color rgb="FF000000"/>
      </right>
      <top/>
      <bottom/>
      <diagonal/>
    </border>
  </borders>
  <cellStyleXfs count="1">
    <xf numFmtId="0" fontId="0" fillId="0" borderId="0"/>
  </cellStyleXfs>
  <cellXfs count="18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1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0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0" fillId="0" borderId="1" xfId="0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/>
    </xf>
    <xf numFmtId="49" fontId="1" fillId="0" borderId="0" xfId="0" applyNumberFormat="1" applyFont="1"/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18" fillId="3" borderId="0" xfId="0" applyFont="1" applyFill="1" applyAlignment="1">
      <alignment horizontal="center" vertical="center"/>
    </xf>
    <xf numFmtId="0" fontId="16" fillId="0" borderId="0" xfId="0" applyFont="1" applyAlignment="1">
      <alignment horizontal="left"/>
    </xf>
    <xf numFmtId="0" fontId="19" fillId="3" borderId="0" xfId="0" applyFont="1" applyFill="1" applyAlignment="1">
      <alignment vertical="center"/>
    </xf>
    <xf numFmtId="49" fontId="9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0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1" fillId="0" borderId="0" xfId="0" applyFont="1" applyAlignment="1">
      <alignment horizontal="right"/>
    </xf>
    <xf numFmtId="0" fontId="21" fillId="0" borderId="0" xfId="0" applyFont="1" applyAlignment="1">
      <alignment vertical="center"/>
    </xf>
    <xf numFmtId="0" fontId="21" fillId="0" borderId="0" xfId="0" applyFont="1"/>
    <xf numFmtId="0" fontId="21" fillId="0" borderId="0" xfId="0" applyFont="1" applyAlignment="1">
      <alignment horizontal="right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/>
    <xf numFmtId="0" fontId="27" fillId="3" borderId="0" xfId="0" applyFont="1" applyFill="1" applyAlignment="1">
      <alignment vertical="center"/>
    </xf>
    <xf numFmtId="0" fontId="28" fillId="3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right" vertical="center"/>
    </xf>
    <xf numFmtId="0" fontId="30" fillId="0" borderId="0" xfId="0" applyFont="1" applyAlignment="1">
      <alignment horizontal="right" vertical="center"/>
    </xf>
    <xf numFmtId="0" fontId="1" fillId="0" borderId="0" xfId="0" applyFont="1" applyAlignment="1">
      <alignment horizontal="left" wrapText="1"/>
    </xf>
    <xf numFmtId="0" fontId="32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0" fontId="35" fillId="0" borderId="0" xfId="0" applyFont="1" applyAlignment="1">
      <alignment vertical="center"/>
    </xf>
    <xf numFmtId="0" fontId="36" fillId="0" borderId="0" xfId="0" applyFont="1"/>
    <xf numFmtId="0" fontId="35" fillId="0" borderId="0" xfId="0" applyFont="1" applyAlignment="1">
      <alignment horizontal="left"/>
    </xf>
    <xf numFmtId="0" fontId="3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37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41" fillId="0" borderId="0" xfId="0" applyFont="1" applyAlignment="1">
      <alignment horizontal="right"/>
    </xf>
    <xf numFmtId="0" fontId="15" fillId="0" borderId="0" xfId="0" applyFont="1" applyAlignment="1">
      <alignment vertical="center"/>
    </xf>
    <xf numFmtId="0" fontId="41" fillId="0" borderId="0" xfId="0" applyFont="1"/>
    <xf numFmtId="0" fontId="27" fillId="0" borderId="0" xfId="0" applyFont="1" applyAlignment="1">
      <alignment vertical="center"/>
    </xf>
    <xf numFmtId="0" fontId="42" fillId="0" borderId="0" xfId="0" applyFont="1"/>
    <xf numFmtId="0" fontId="43" fillId="0" borderId="0" xfId="0" applyFont="1" applyAlignment="1">
      <alignment horizontal="right"/>
    </xf>
    <xf numFmtId="0" fontId="43" fillId="0" borderId="0" xfId="0" applyFont="1"/>
    <xf numFmtId="0" fontId="43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44" fillId="0" borderId="0" xfId="0" applyFont="1" applyAlignment="1">
      <alignment horizontal="right"/>
    </xf>
    <xf numFmtId="0" fontId="45" fillId="0" borderId="0" xfId="0" applyFont="1" applyAlignment="1">
      <alignment horizontal="left"/>
    </xf>
    <xf numFmtId="0" fontId="44" fillId="0" borderId="1" xfId="0" applyFont="1" applyBorder="1" applyAlignment="1">
      <alignment horizontal="right"/>
    </xf>
    <xf numFmtId="0" fontId="44" fillId="0" borderId="0" xfId="0" applyFont="1" applyAlignment="1">
      <alignment horizontal="left"/>
    </xf>
    <xf numFmtId="0" fontId="45" fillId="0" borderId="0" xfId="0" applyFont="1" applyAlignment="1">
      <alignment horizontal="right"/>
    </xf>
    <xf numFmtId="0" fontId="46" fillId="0" borderId="0" xfId="0" applyFont="1" applyAlignment="1">
      <alignment horizontal="left"/>
    </xf>
    <xf numFmtId="0" fontId="47" fillId="0" borderId="0" xfId="0" applyFont="1" applyAlignment="1">
      <alignment horizontal="left"/>
    </xf>
    <xf numFmtId="0" fontId="31" fillId="0" borderId="0" xfId="0" applyFont="1" applyAlignment="1">
      <alignment vertical="center"/>
    </xf>
    <xf numFmtId="0" fontId="48" fillId="0" borderId="0" xfId="0" applyFont="1" applyAlignment="1">
      <alignment horizontal="right" vertical="center"/>
    </xf>
    <xf numFmtId="0" fontId="45" fillId="0" borderId="0" xfId="0" applyFont="1" applyAlignment="1">
      <alignment horizontal="left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horizontal="left"/>
    </xf>
    <xf numFmtId="0" fontId="10" fillId="2" borderId="0" xfId="0" applyFont="1" applyFill="1" applyAlignment="1">
      <alignment horizontal="right"/>
    </xf>
    <xf numFmtId="0" fontId="10" fillId="2" borderId="0" xfId="0" applyFont="1" applyFill="1"/>
    <xf numFmtId="0" fontId="10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7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/>
    </xf>
    <xf numFmtId="0" fontId="10" fillId="2" borderId="1" xfId="0" applyFont="1" applyFill="1" applyBorder="1" applyAlignment="1">
      <alignment horizontal="right"/>
    </xf>
    <xf numFmtId="0" fontId="4" fillId="2" borderId="0" xfId="0" applyFont="1" applyFill="1" applyAlignment="1">
      <alignment horizontal="left" vertical="center"/>
    </xf>
    <xf numFmtId="49" fontId="10" fillId="2" borderId="0" xfId="0" applyNumberFormat="1" applyFont="1" applyFill="1" applyAlignment="1">
      <alignment horizontal="left"/>
    </xf>
    <xf numFmtId="49" fontId="1" fillId="2" borderId="0" xfId="0" applyNumberFormat="1" applyFont="1" applyFill="1"/>
    <xf numFmtId="49" fontId="1" fillId="2" borderId="0" xfId="0" applyNumberFormat="1" applyFont="1" applyFill="1" applyAlignment="1">
      <alignment horizontal="left"/>
    </xf>
    <xf numFmtId="0" fontId="16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3" fillId="2" borderId="0" xfId="0" applyFont="1" applyFill="1" applyAlignment="1">
      <alignment horizontal="right"/>
    </xf>
    <xf numFmtId="0" fontId="43" fillId="2" borderId="0" xfId="0" applyFont="1" applyFill="1"/>
    <xf numFmtId="0" fontId="43" fillId="2" borderId="0" xfId="0" applyFont="1" applyFill="1" applyAlignment="1">
      <alignment horizontal="left"/>
    </xf>
    <xf numFmtId="0" fontId="31" fillId="2" borderId="0" xfId="0" applyFont="1" applyFill="1" applyAlignment="1">
      <alignment horizontal="left" vertical="center"/>
    </xf>
    <xf numFmtId="0" fontId="3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wrapText="1"/>
    </xf>
    <xf numFmtId="0" fontId="42" fillId="2" borderId="0" xfId="0" applyFont="1" applyFill="1"/>
    <xf numFmtId="0" fontId="49" fillId="0" borderId="0" xfId="0" applyFont="1" applyAlignment="1">
      <alignment horizontal="right"/>
    </xf>
    <xf numFmtId="0" fontId="50" fillId="0" borderId="0" xfId="0" applyFont="1" applyAlignment="1">
      <alignment horizontal="right" vertical="center"/>
    </xf>
    <xf numFmtId="0" fontId="51" fillId="0" borderId="0" xfId="0" applyFont="1" applyAlignment="1">
      <alignment horizontal="right"/>
    </xf>
    <xf numFmtId="0" fontId="52" fillId="0" borderId="0" xfId="0" applyFont="1" applyAlignment="1">
      <alignment horizontal="right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53" fillId="2" borderId="0" xfId="0" applyFont="1" applyFill="1" applyAlignment="1">
      <alignment vertical="center"/>
    </xf>
    <xf numFmtId="0" fontId="32" fillId="0" borderId="0" xfId="0" applyFont="1" applyAlignment="1">
      <alignment horizontal="right" vertical="center"/>
    </xf>
    <xf numFmtId="0" fontId="33" fillId="0" borderId="0" xfId="0" applyFont="1" applyAlignment="1">
      <alignment vertical="center"/>
    </xf>
    <xf numFmtId="0" fontId="2" fillId="0" borderId="0" xfId="0" applyFont="1"/>
    <xf numFmtId="0" fontId="0" fillId="0" borderId="0" xfId="0"/>
    <xf numFmtId="0" fontId="23" fillId="0" borderId="0" xfId="0" applyFont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24" fillId="3" borderId="0" xfId="0" applyFont="1" applyFill="1" applyAlignment="1">
      <alignment horizontal="center" vertic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8" fillId="3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0" fillId="0" borderId="0" xfId="0" applyFont="1" applyAlignment="1">
      <alignment horizontal="center"/>
    </xf>
    <xf numFmtId="0" fontId="38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0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center"/>
    </xf>
    <xf numFmtId="0" fontId="39" fillId="2" borderId="0" xfId="0" applyFont="1" applyFill="1" applyAlignment="1">
      <alignment horizont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R742"/>
  <sheetViews>
    <sheetView tabSelected="1" workbookViewId="0">
      <pane ySplit="2" topLeftCell="A3" activePane="bottomLeft" state="frozen"/>
      <selection pane="bottomLeft" sqref="A1:R2"/>
    </sheetView>
  </sheetViews>
  <sheetFormatPr defaultColWidth="12.5703125" defaultRowHeight="15.75" customHeight="1"/>
  <cols>
    <col min="1" max="1" width="2.5703125" customWidth="1"/>
    <col min="2" max="3" width="18.85546875" customWidth="1"/>
    <col min="4" max="4" width="1.42578125" customWidth="1"/>
    <col min="5" max="6" width="18.85546875" customWidth="1"/>
    <col min="7" max="7" width="1.42578125" customWidth="1"/>
    <col min="8" max="9" width="18.85546875" customWidth="1"/>
    <col min="10" max="10" width="1.42578125" customWidth="1"/>
    <col min="11" max="12" width="18.85546875" customWidth="1"/>
    <col min="13" max="13" width="1.42578125" customWidth="1"/>
    <col min="16" max="16" width="1.42578125" customWidth="1"/>
  </cols>
  <sheetData>
    <row r="1" spans="1:18">
      <c r="A1" s="152" t="s">
        <v>156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</row>
    <row r="2" spans="1:18">
      <c r="A2" s="141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</row>
    <row r="3" spans="1:18">
      <c r="A3" s="14"/>
      <c r="B3" s="4"/>
      <c r="C3" s="4"/>
      <c r="D3" s="4"/>
      <c r="E3" s="4"/>
      <c r="F3" s="4"/>
      <c r="G3" s="5"/>
      <c r="H3" s="15"/>
      <c r="I3" s="15"/>
      <c r="J3" s="15"/>
      <c r="K3" s="5"/>
      <c r="L3" s="15"/>
      <c r="M3" s="5"/>
      <c r="N3" s="5"/>
      <c r="O3" s="16"/>
      <c r="P3" s="5"/>
      <c r="Q3" s="5"/>
      <c r="R3" s="5"/>
    </row>
    <row r="4" spans="1:18">
      <c r="A4" s="14"/>
      <c r="B4" s="150" t="str">
        <f>UPPER(H4)</f>
        <v>VOICE</v>
      </c>
      <c r="C4" s="141"/>
      <c r="D4" s="141"/>
      <c r="E4" s="141"/>
      <c r="F4" s="141"/>
      <c r="G4" s="18"/>
      <c r="H4" s="148" t="s">
        <v>157</v>
      </c>
      <c r="I4" s="141"/>
      <c r="J4" s="141"/>
      <c r="K4" s="141"/>
      <c r="L4" s="141"/>
      <c r="M4" s="18"/>
      <c r="N4" s="149" t="s">
        <v>777</v>
      </c>
      <c r="O4" s="141"/>
      <c r="P4" s="141"/>
      <c r="Q4" s="141"/>
      <c r="R4" s="141"/>
    </row>
    <row r="5" spans="1:18">
      <c r="A5" s="14"/>
      <c r="B5" s="9"/>
      <c r="C5" s="10" t="str">
        <f t="shared" ref="C5:C24" si="0">UPPER(I5)</f>
        <v>MICHAEL</v>
      </c>
      <c r="D5" s="9"/>
      <c r="E5" s="9" t="str">
        <f t="shared" ref="E5:E23" si="1">UPPER(K5)</f>
        <v>MARC THOMPSON</v>
      </c>
      <c r="F5" s="9"/>
      <c r="G5" s="3"/>
      <c r="H5" s="20"/>
      <c r="I5" s="21" t="s">
        <v>158</v>
      </c>
      <c r="J5" s="20"/>
      <c r="K5" s="22" t="s">
        <v>10</v>
      </c>
      <c r="L5" s="3"/>
      <c r="M5" s="8"/>
      <c r="N5" s="8"/>
      <c r="O5" s="21" t="s">
        <v>778</v>
      </c>
      <c r="P5" s="3"/>
      <c r="Q5" s="3" t="s">
        <v>117</v>
      </c>
      <c r="R5" s="3"/>
    </row>
    <row r="6" spans="1:18">
      <c r="A6" s="14"/>
      <c r="B6" s="9"/>
      <c r="C6" s="10" t="str">
        <f t="shared" si="0"/>
        <v>LUCY</v>
      </c>
      <c r="D6" s="9"/>
      <c r="E6" s="9" t="str">
        <f t="shared" si="1"/>
        <v>SAMANTHA COOPER</v>
      </c>
      <c r="F6" s="9"/>
      <c r="G6" s="3"/>
      <c r="H6" s="20"/>
      <c r="I6" s="21" t="s">
        <v>159</v>
      </c>
      <c r="J6" s="20"/>
      <c r="K6" s="22" t="s">
        <v>37</v>
      </c>
      <c r="L6" s="3"/>
      <c r="M6" s="8"/>
      <c r="N6" s="8"/>
      <c r="O6" s="21" t="s">
        <v>779</v>
      </c>
      <c r="P6" s="3"/>
      <c r="Q6" s="3" t="s">
        <v>118</v>
      </c>
      <c r="R6" s="3"/>
    </row>
    <row r="7" spans="1:18">
      <c r="A7" s="14"/>
      <c r="B7" s="9"/>
      <c r="C7" s="10" t="str">
        <f t="shared" si="0"/>
        <v>NICK</v>
      </c>
      <c r="D7" s="9"/>
      <c r="E7" s="9" t="str">
        <f t="shared" si="1"/>
        <v>JAMES BROWN JR</v>
      </c>
      <c r="F7" s="9"/>
      <c r="G7" s="3"/>
      <c r="H7" s="20"/>
      <c r="I7" s="21" t="s">
        <v>42</v>
      </c>
      <c r="J7" s="20"/>
      <c r="K7" s="22" t="s">
        <v>43</v>
      </c>
      <c r="L7" s="3"/>
      <c r="M7" s="8"/>
      <c r="N7" s="8"/>
      <c r="O7" s="21" t="s">
        <v>119</v>
      </c>
      <c r="P7" s="3"/>
      <c r="Q7" s="3" t="s">
        <v>120</v>
      </c>
      <c r="R7" s="3"/>
    </row>
    <row r="8" spans="1:18">
      <c r="A8" s="14"/>
      <c r="B8" s="9"/>
      <c r="C8" s="10" t="str">
        <f t="shared" si="0"/>
        <v>CRYING MAN</v>
      </c>
      <c r="D8" s="9"/>
      <c r="E8" s="9" t="str">
        <f t="shared" si="1"/>
        <v>BARRETT LEDDY</v>
      </c>
      <c r="F8" s="9"/>
      <c r="G8" s="3"/>
      <c r="H8" s="20"/>
      <c r="I8" s="21" t="s">
        <v>160</v>
      </c>
      <c r="J8" s="20"/>
      <c r="K8" s="22" t="s">
        <v>1</v>
      </c>
      <c r="L8" s="3"/>
      <c r="M8" s="8"/>
      <c r="N8" s="8"/>
      <c r="O8" s="21" t="s">
        <v>74</v>
      </c>
      <c r="P8" s="3"/>
      <c r="Q8" s="3" t="s">
        <v>75</v>
      </c>
      <c r="R8" s="3"/>
    </row>
    <row r="9" spans="1:18">
      <c r="A9" s="14"/>
      <c r="B9" s="9"/>
      <c r="C9" s="10" t="str">
        <f t="shared" si="0"/>
        <v>HUMMINGBIRD MAN</v>
      </c>
      <c r="D9" s="9"/>
      <c r="E9" s="9" t="str">
        <f t="shared" si="1"/>
        <v>ROBB MOREIRA</v>
      </c>
      <c r="F9" s="9"/>
      <c r="G9" s="3"/>
      <c r="H9" s="20"/>
      <c r="I9" s="21" t="s">
        <v>2</v>
      </c>
      <c r="J9" s="20"/>
      <c r="K9" s="22" t="s">
        <v>6</v>
      </c>
      <c r="L9" s="3"/>
      <c r="M9" s="8"/>
      <c r="N9" s="8"/>
      <c r="O9" s="21" t="s">
        <v>76</v>
      </c>
      <c r="P9" s="3"/>
      <c r="Q9" s="3" t="s">
        <v>77</v>
      </c>
      <c r="R9" s="3"/>
    </row>
    <row r="10" spans="1:18">
      <c r="A10" s="14"/>
      <c r="B10" s="9"/>
      <c r="C10" s="10" t="str">
        <f t="shared" si="0"/>
        <v>TOXO</v>
      </c>
      <c r="D10" s="9"/>
      <c r="E10" s="9" t="str">
        <f t="shared" si="1"/>
        <v>LUCAS SCHUNEMAN</v>
      </c>
      <c r="F10" s="9"/>
      <c r="G10" s="3"/>
      <c r="H10" s="20"/>
      <c r="I10" s="21" t="s">
        <v>3</v>
      </c>
      <c r="J10" s="20"/>
      <c r="K10" s="22" t="s">
        <v>4</v>
      </c>
      <c r="L10" s="3"/>
      <c r="M10" s="8"/>
      <c r="N10" s="8"/>
      <c r="O10" s="21" t="s">
        <v>78</v>
      </c>
      <c r="P10" s="3"/>
      <c r="Q10" s="3" t="s">
        <v>79</v>
      </c>
      <c r="R10" s="3"/>
    </row>
    <row r="11" spans="1:18">
      <c r="A11" s="14"/>
      <c r="B11" s="9"/>
      <c r="C11" s="10" t="str">
        <f t="shared" si="0"/>
        <v>GREAT FINGER</v>
      </c>
      <c r="D11" s="9"/>
      <c r="E11" s="9" t="str">
        <f t="shared" si="1"/>
        <v>ROBB MOREIRA</v>
      </c>
      <c r="F11" s="9"/>
      <c r="G11" s="3"/>
      <c r="H11" s="20"/>
      <c r="I11" s="21" t="s">
        <v>5</v>
      </c>
      <c r="J11" s="20"/>
      <c r="K11" s="22" t="s">
        <v>6</v>
      </c>
      <c r="L11" s="3"/>
      <c r="M11" s="8"/>
      <c r="N11" s="8"/>
      <c r="O11" s="21" t="s">
        <v>80</v>
      </c>
      <c r="P11" s="20"/>
      <c r="Q11" s="135" t="s">
        <v>81</v>
      </c>
      <c r="R11" s="3"/>
    </row>
    <row r="12" spans="1:18">
      <c r="A12" s="14"/>
      <c r="B12" s="9"/>
      <c r="C12" s="10" t="str">
        <f t="shared" si="0"/>
        <v>MUMMY GIRL</v>
      </c>
      <c r="D12" s="9"/>
      <c r="E12" s="9" t="str">
        <f t="shared" si="1"/>
        <v>OLIVIA VIDAS</v>
      </c>
      <c r="F12" s="9"/>
      <c r="G12" s="3"/>
      <c r="H12" s="20"/>
      <c r="I12" s="21" t="s">
        <v>7</v>
      </c>
      <c r="J12" s="20"/>
      <c r="K12" s="22" t="s">
        <v>8</v>
      </c>
      <c r="L12" s="3"/>
      <c r="M12" s="8"/>
      <c r="N12" s="8"/>
      <c r="O12" s="21" t="s">
        <v>82</v>
      </c>
      <c r="P12" s="20"/>
      <c r="Q12" s="135" t="s">
        <v>83</v>
      </c>
      <c r="R12" s="3"/>
    </row>
    <row r="13" spans="1:18">
      <c r="A13" s="14"/>
      <c r="B13" s="9"/>
      <c r="C13" s="10" t="str">
        <f t="shared" si="0"/>
        <v>GRAVITY</v>
      </c>
      <c r="D13" s="9"/>
      <c r="E13" s="9" t="str">
        <f t="shared" si="1"/>
        <v>MARC THOMPSON</v>
      </c>
      <c r="F13" s="9"/>
      <c r="G13" s="3"/>
      <c r="H13" s="20"/>
      <c r="I13" s="21" t="s">
        <v>9</v>
      </c>
      <c r="J13" s="20"/>
      <c r="K13" s="22" t="s">
        <v>10</v>
      </c>
      <c r="L13" s="3"/>
      <c r="M13" s="8"/>
      <c r="N13" s="8"/>
      <c r="O13" s="21" t="s">
        <v>84</v>
      </c>
      <c r="P13" s="20"/>
      <c r="Q13" s="135" t="s">
        <v>85</v>
      </c>
      <c r="R13" s="3"/>
    </row>
    <row r="14" spans="1:18">
      <c r="A14" s="14"/>
      <c r="B14" s="9"/>
      <c r="C14" s="10" t="str">
        <f t="shared" si="0"/>
        <v>SUGARSUGAR PANGPANG</v>
      </c>
      <c r="D14" s="9"/>
      <c r="E14" s="9" t="str">
        <f t="shared" si="1"/>
        <v>JENNY YOKOBORI</v>
      </c>
      <c r="F14" s="9"/>
      <c r="G14" s="3"/>
      <c r="H14" s="20"/>
      <c r="I14" s="21" t="s">
        <v>11</v>
      </c>
      <c r="J14" s="20"/>
      <c r="K14" s="22" t="s">
        <v>12</v>
      </c>
      <c r="L14" s="3"/>
      <c r="M14" s="8"/>
      <c r="N14" s="8"/>
      <c r="O14" s="21" t="s">
        <v>86</v>
      </c>
      <c r="P14" s="20"/>
      <c r="Q14" s="135" t="s">
        <v>87</v>
      </c>
      <c r="R14" s="3"/>
    </row>
    <row r="15" spans="1:18">
      <c r="A15" s="14"/>
      <c r="B15" s="9"/>
      <c r="C15" s="10" t="str">
        <f t="shared" si="0"/>
        <v>TARA</v>
      </c>
      <c r="D15" s="9"/>
      <c r="E15" s="9" t="str">
        <f t="shared" si="1"/>
        <v>JUSTIS BOLDING</v>
      </c>
      <c r="F15" s="9"/>
      <c r="G15" s="3"/>
      <c r="H15" s="20"/>
      <c r="I15" s="21" t="s">
        <v>44</v>
      </c>
      <c r="J15" s="20"/>
      <c r="K15" s="22" t="s">
        <v>45</v>
      </c>
      <c r="L15" s="3"/>
      <c r="M15" s="8"/>
      <c r="N15" s="8"/>
      <c r="O15" s="21" t="s">
        <v>121</v>
      </c>
      <c r="P15" s="20"/>
      <c r="Q15" s="136" t="s">
        <v>87</v>
      </c>
      <c r="R15" s="3"/>
    </row>
    <row r="16" spans="1:18">
      <c r="A16" s="14"/>
      <c r="B16" s="9"/>
      <c r="C16" s="10" t="str">
        <f t="shared" si="0"/>
        <v>JACK</v>
      </c>
      <c r="D16" s="9"/>
      <c r="E16" s="9" t="str">
        <f t="shared" si="1"/>
        <v>RYAN ANDES</v>
      </c>
      <c r="F16" s="9"/>
      <c r="G16" s="3"/>
      <c r="H16" s="20"/>
      <c r="I16" s="21" t="s">
        <v>161</v>
      </c>
      <c r="J16" s="20"/>
      <c r="K16" s="23" t="s">
        <v>162</v>
      </c>
      <c r="L16" s="3"/>
      <c r="M16" s="8"/>
      <c r="N16" s="8"/>
      <c r="O16" s="21" t="s">
        <v>780</v>
      </c>
      <c r="P16" s="3"/>
      <c r="Q16" s="3" t="s">
        <v>75</v>
      </c>
      <c r="R16" s="3"/>
    </row>
    <row r="17" spans="1:18">
      <c r="A17" s="14"/>
      <c r="B17" s="9"/>
      <c r="C17" s="10" t="str">
        <f t="shared" si="0"/>
        <v>SUPER SCOTT</v>
      </c>
      <c r="D17" s="9"/>
      <c r="E17" s="9" t="str">
        <f t="shared" si="1"/>
        <v>ADIN RUDD</v>
      </c>
      <c r="F17" s="9"/>
      <c r="G17" s="3"/>
      <c r="H17" s="20"/>
      <c r="I17" s="21" t="s">
        <v>13</v>
      </c>
      <c r="J17" s="20"/>
      <c r="K17" s="22" t="s">
        <v>14</v>
      </c>
      <c r="L17" s="3"/>
      <c r="M17" s="8"/>
      <c r="N17" s="8"/>
      <c r="O17" s="21" t="s">
        <v>88</v>
      </c>
      <c r="P17" s="20"/>
      <c r="Q17" s="78" t="s">
        <v>79</v>
      </c>
      <c r="R17" s="3"/>
    </row>
    <row r="18" spans="1:18">
      <c r="A18" s="14"/>
      <c r="B18" s="9"/>
      <c r="C18" s="10" t="str">
        <f t="shared" si="0"/>
        <v>TIMO</v>
      </c>
      <c r="D18" s="9"/>
      <c r="E18" s="9" t="str">
        <f t="shared" si="1"/>
        <v>AMANDA HUFFORD</v>
      </c>
      <c r="F18" s="9"/>
      <c r="G18" s="3"/>
      <c r="H18" s="20"/>
      <c r="I18" s="21" t="s">
        <v>46</v>
      </c>
      <c r="J18" s="20"/>
      <c r="K18" s="22" t="s">
        <v>18</v>
      </c>
      <c r="L18" s="3"/>
      <c r="M18" s="8"/>
      <c r="N18" s="8"/>
      <c r="O18" s="21" t="s">
        <v>122</v>
      </c>
      <c r="P18" s="3"/>
      <c r="Q18" s="3" t="s">
        <v>87</v>
      </c>
      <c r="R18" s="3"/>
    </row>
    <row r="19" spans="1:18">
      <c r="A19" s="14"/>
      <c r="B19" s="9"/>
      <c r="C19" s="10" t="str">
        <f t="shared" si="0"/>
        <v>KRISTA</v>
      </c>
      <c r="D19" s="9"/>
      <c r="E19" s="9" t="str">
        <f t="shared" si="1"/>
        <v>ZURI WASHINGTON</v>
      </c>
      <c r="F19" s="9"/>
      <c r="G19" s="3"/>
      <c r="H19" s="20"/>
      <c r="I19" s="21" t="s">
        <v>163</v>
      </c>
      <c r="J19" s="20"/>
      <c r="K19" s="22" t="s">
        <v>47</v>
      </c>
      <c r="L19" s="3"/>
      <c r="M19" s="8"/>
      <c r="N19" s="8"/>
      <c r="O19" s="21" t="s">
        <v>123</v>
      </c>
      <c r="P19" s="3"/>
      <c r="Q19" s="3" t="s">
        <v>87</v>
      </c>
      <c r="R19" s="3"/>
    </row>
    <row r="20" spans="1:18">
      <c r="A20" s="14"/>
      <c r="B20" s="9"/>
      <c r="C20" s="10" t="str">
        <f t="shared" si="0"/>
        <v>FIRE HEAD</v>
      </c>
      <c r="D20" s="9"/>
      <c r="E20" s="9" t="str">
        <f t="shared" si="1"/>
        <v>ERICA SCHROEDER</v>
      </c>
      <c r="F20" s="9"/>
      <c r="G20" s="3"/>
      <c r="H20" s="20"/>
      <c r="I20" s="21" t="s">
        <v>15</v>
      </c>
      <c r="J20" s="20"/>
      <c r="K20" s="22" t="s">
        <v>16</v>
      </c>
      <c r="L20" s="3"/>
      <c r="M20" s="8"/>
      <c r="N20" s="8"/>
      <c r="O20" s="21" t="s">
        <v>89</v>
      </c>
      <c r="P20" s="3"/>
      <c r="Q20" s="3" t="s">
        <v>90</v>
      </c>
      <c r="R20" s="3"/>
    </row>
    <row r="21" spans="1:18">
      <c r="A21" s="14"/>
      <c r="B21" s="9"/>
      <c r="C21" s="10" t="str">
        <f t="shared" si="0"/>
        <v>LEORA</v>
      </c>
      <c r="D21" s="9"/>
      <c r="E21" s="9" t="str">
        <f t="shared" si="1"/>
        <v>AMANDA HUFFORD</v>
      </c>
      <c r="F21" s="9"/>
      <c r="G21" s="3"/>
      <c r="H21" s="20"/>
      <c r="I21" s="21" t="s">
        <v>17</v>
      </c>
      <c r="J21" s="20"/>
      <c r="K21" s="22" t="s">
        <v>18</v>
      </c>
      <c r="L21" s="3"/>
      <c r="M21" s="8"/>
      <c r="N21" s="8"/>
      <c r="O21" s="21" t="s">
        <v>91</v>
      </c>
      <c r="P21" s="3"/>
      <c r="Q21" s="3" t="s">
        <v>92</v>
      </c>
      <c r="R21" s="3"/>
    </row>
    <row r="22" spans="1:18">
      <c r="A22" s="14"/>
      <c r="B22" s="9"/>
      <c r="C22" s="10" t="str">
        <f t="shared" si="0"/>
        <v>CYNTHIA</v>
      </c>
      <c r="D22" s="9"/>
      <c r="E22" s="9" t="str">
        <f t="shared" si="1"/>
        <v>MARY O'BRADY</v>
      </c>
      <c r="F22" s="9"/>
      <c r="G22" s="3"/>
      <c r="H22" s="20"/>
      <c r="I22" s="21" t="s">
        <v>68</v>
      </c>
      <c r="J22" s="20"/>
      <c r="K22" s="24" t="s">
        <v>69</v>
      </c>
      <c r="L22" s="3"/>
      <c r="M22" s="8"/>
      <c r="N22" s="8"/>
      <c r="O22" s="21" t="s">
        <v>143</v>
      </c>
      <c r="P22" s="3"/>
      <c r="Q22" s="3" t="s">
        <v>83</v>
      </c>
      <c r="R22" s="3"/>
    </row>
    <row r="23" spans="1:18">
      <c r="A23" s="14"/>
      <c r="B23" s="9"/>
      <c r="C23" s="10" t="str">
        <f t="shared" si="0"/>
        <v>BOBBY</v>
      </c>
      <c r="D23" s="9"/>
      <c r="E23" s="9" t="str">
        <f t="shared" si="1"/>
        <v xml:space="preserve">ALLEN WINTER </v>
      </c>
      <c r="F23" s="9"/>
      <c r="G23" s="3"/>
      <c r="H23" s="20"/>
      <c r="I23" s="21" t="s">
        <v>164</v>
      </c>
      <c r="J23" s="20"/>
      <c r="K23" s="23" t="s">
        <v>34</v>
      </c>
      <c r="L23" s="3"/>
      <c r="M23" s="8"/>
      <c r="N23" s="8"/>
      <c r="O23" s="21" t="s">
        <v>781</v>
      </c>
      <c r="P23" s="3"/>
      <c r="Q23" s="3" t="s">
        <v>113</v>
      </c>
      <c r="R23" s="3"/>
    </row>
    <row r="24" spans="1:18">
      <c r="A24" s="14"/>
      <c r="B24" s="9"/>
      <c r="C24" s="10" t="str">
        <f t="shared" si="0"/>
        <v/>
      </c>
      <c r="D24" s="9"/>
      <c r="E24" s="9"/>
      <c r="F24" s="9"/>
      <c r="G24" s="3"/>
      <c r="H24" s="20"/>
      <c r="I24" s="21"/>
      <c r="J24" s="20"/>
      <c r="K24" s="25"/>
      <c r="L24" s="3"/>
      <c r="M24" s="8"/>
      <c r="N24" s="8"/>
      <c r="O24" s="21"/>
      <c r="P24" s="3"/>
      <c r="Q24" s="3"/>
      <c r="R24" s="3"/>
    </row>
    <row r="25" spans="1:18">
      <c r="A25" s="14"/>
      <c r="B25" s="11"/>
      <c r="C25" s="12"/>
      <c r="D25" s="11"/>
      <c r="E25" s="11"/>
      <c r="F25" s="11"/>
      <c r="G25" s="3"/>
      <c r="H25" s="20"/>
      <c r="I25" s="21"/>
      <c r="J25" s="20"/>
      <c r="K25" s="25"/>
      <c r="L25" s="3"/>
      <c r="M25" s="8"/>
      <c r="N25" s="8"/>
      <c r="O25" s="21"/>
      <c r="P25" s="3"/>
      <c r="Q25" s="3"/>
      <c r="R25" s="3"/>
    </row>
    <row r="26" spans="1:18">
      <c r="A26" s="14"/>
      <c r="B26" s="9"/>
      <c r="C26" s="10"/>
      <c r="D26" s="9"/>
      <c r="E26" s="9"/>
      <c r="F26" s="9"/>
      <c r="G26" s="3"/>
      <c r="H26" s="20"/>
      <c r="I26" s="21"/>
      <c r="J26" s="20"/>
      <c r="K26" s="25"/>
      <c r="L26" s="3"/>
      <c r="M26" s="8"/>
      <c r="N26" s="8"/>
      <c r="O26" s="21"/>
      <c r="P26" s="3"/>
      <c r="Q26" s="3"/>
      <c r="R26" s="3"/>
    </row>
    <row r="27" spans="1:18">
      <c r="A27" s="14"/>
      <c r="B27" s="150" t="str">
        <f>UPPER(H27)</f>
        <v>VOICE</v>
      </c>
      <c r="C27" s="141"/>
      <c r="D27" s="141"/>
      <c r="E27" s="141"/>
      <c r="F27" s="141"/>
      <c r="G27" s="18"/>
      <c r="H27" s="148" t="s">
        <v>157</v>
      </c>
      <c r="I27" s="141"/>
      <c r="J27" s="141"/>
      <c r="K27" s="141"/>
      <c r="L27" s="141"/>
      <c r="M27" s="18"/>
      <c r="N27" s="149" t="s">
        <v>777</v>
      </c>
      <c r="O27" s="141"/>
      <c r="P27" s="141"/>
      <c r="Q27" s="141"/>
      <c r="R27" s="141"/>
    </row>
    <row r="28" spans="1:18">
      <c r="A28" s="14"/>
      <c r="B28" s="9"/>
      <c r="C28" s="10" t="str">
        <f t="shared" ref="C28:C35" si="2">UPPER(I28)</f>
        <v>OTHER VOICES</v>
      </c>
      <c r="D28" s="9"/>
      <c r="E28" s="9" t="str">
        <f t="shared" ref="E28:E35" si="3">UPPER(K28)</f>
        <v>ADIN RUDD</v>
      </c>
      <c r="F28" s="9"/>
      <c r="G28" s="3"/>
      <c r="H28" s="20"/>
      <c r="I28" s="21" t="s">
        <v>165</v>
      </c>
      <c r="J28" s="20"/>
      <c r="K28" s="14" t="s">
        <v>14</v>
      </c>
      <c r="L28" s="3"/>
      <c r="M28" s="8"/>
      <c r="N28" s="8"/>
      <c r="O28" s="21" t="s">
        <v>782</v>
      </c>
      <c r="P28" s="3"/>
      <c r="Q28" s="3" t="s">
        <v>75</v>
      </c>
      <c r="R28" s="3"/>
    </row>
    <row r="29" spans="1:18">
      <c r="A29" s="14"/>
      <c r="B29" s="9"/>
      <c r="C29" s="10" t="str">
        <f t="shared" si="2"/>
        <v/>
      </c>
      <c r="D29" s="9"/>
      <c r="E29" s="9" t="str">
        <f t="shared" si="3"/>
        <v>LUCAS SCHUNEMAN</v>
      </c>
      <c r="F29" s="9"/>
      <c r="G29" s="3"/>
      <c r="H29" s="20"/>
      <c r="I29" s="21"/>
      <c r="J29" s="20"/>
      <c r="K29" s="14" t="s">
        <v>4</v>
      </c>
      <c r="L29" s="3"/>
      <c r="M29" s="8"/>
      <c r="N29" s="8"/>
      <c r="O29" s="21"/>
      <c r="P29" s="3"/>
      <c r="Q29" s="3" t="s">
        <v>79</v>
      </c>
      <c r="R29" s="3"/>
    </row>
    <row r="30" spans="1:18">
      <c r="A30" s="14"/>
      <c r="B30" s="9"/>
      <c r="C30" s="10" t="str">
        <f t="shared" si="2"/>
        <v/>
      </c>
      <c r="D30" s="9"/>
      <c r="E30" s="9" t="str">
        <f t="shared" si="3"/>
        <v>JUSTIS BOLDING</v>
      </c>
      <c r="F30" s="9"/>
      <c r="G30" s="3"/>
      <c r="H30" s="20"/>
      <c r="I30" s="21"/>
      <c r="J30" s="20"/>
      <c r="K30" s="14" t="s">
        <v>45</v>
      </c>
      <c r="L30" s="3"/>
      <c r="M30" s="8"/>
      <c r="N30" s="8"/>
      <c r="O30" s="21"/>
      <c r="P30" s="3"/>
      <c r="Q30" s="3" t="s">
        <v>117</v>
      </c>
      <c r="R30" s="3"/>
    </row>
    <row r="31" spans="1:18">
      <c r="A31" s="14"/>
      <c r="B31" s="9"/>
      <c r="C31" s="10" t="str">
        <f t="shared" si="2"/>
        <v/>
      </c>
      <c r="D31" s="9"/>
      <c r="E31" s="9" t="str">
        <f t="shared" si="3"/>
        <v>OLILE WYMAN</v>
      </c>
      <c r="F31" s="9"/>
      <c r="G31" s="3"/>
      <c r="H31" s="20"/>
      <c r="I31" s="21"/>
      <c r="J31" s="20"/>
      <c r="K31" s="14" t="s">
        <v>166</v>
      </c>
      <c r="L31" s="3"/>
      <c r="M31" s="8"/>
      <c r="N31" s="8"/>
      <c r="O31" s="21"/>
      <c r="P31" s="3"/>
      <c r="Q31" s="3" t="s">
        <v>113</v>
      </c>
      <c r="R31" s="3"/>
    </row>
    <row r="32" spans="1:18">
      <c r="A32" s="14"/>
      <c r="B32" s="9"/>
      <c r="C32" s="10" t="str">
        <f t="shared" si="2"/>
        <v/>
      </c>
      <c r="D32" s="9"/>
      <c r="E32" s="9" t="str">
        <f t="shared" si="3"/>
        <v>ROBB MOREIRA</v>
      </c>
      <c r="F32" s="9"/>
      <c r="G32" s="3"/>
      <c r="H32" s="20"/>
      <c r="I32" s="21"/>
      <c r="J32" s="20"/>
      <c r="K32" s="14" t="s">
        <v>6</v>
      </c>
      <c r="L32" s="3"/>
      <c r="M32" s="8"/>
      <c r="N32" s="8"/>
      <c r="O32" s="21"/>
      <c r="P32" s="3"/>
      <c r="Q32" s="3" t="s">
        <v>83</v>
      </c>
      <c r="R32" s="3"/>
    </row>
    <row r="33" spans="1:18">
      <c r="A33" s="14"/>
      <c r="B33" s="9"/>
      <c r="C33" s="10" t="str">
        <f t="shared" si="2"/>
        <v/>
      </c>
      <c r="D33" s="9"/>
      <c r="E33" s="9" t="str">
        <f t="shared" si="3"/>
        <v>OLIVIA VIDAS</v>
      </c>
      <c r="F33" s="9"/>
      <c r="G33" s="3"/>
      <c r="H33" s="20"/>
      <c r="I33" s="21"/>
      <c r="J33" s="20"/>
      <c r="K33" s="14" t="s">
        <v>8</v>
      </c>
      <c r="L33" s="3"/>
      <c r="M33" s="8"/>
      <c r="N33" s="8"/>
      <c r="O33" s="21"/>
      <c r="P33" s="3"/>
      <c r="Q33" s="3" t="s">
        <v>118</v>
      </c>
      <c r="R33" s="3"/>
    </row>
    <row r="34" spans="1:18">
      <c r="A34" s="14"/>
      <c r="B34" s="9"/>
      <c r="C34" s="10" t="str">
        <f t="shared" si="2"/>
        <v/>
      </c>
      <c r="D34" s="9"/>
      <c r="E34" s="9" t="str">
        <f t="shared" si="3"/>
        <v>EIRCA SCHROEDER</v>
      </c>
      <c r="F34" s="9"/>
      <c r="G34" s="3"/>
      <c r="H34" s="20"/>
      <c r="I34" s="21"/>
      <c r="J34" s="20"/>
      <c r="K34" s="14" t="s">
        <v>167</v>
      </c>
      <c r="L34" s="3"/>
      <c r="M34" s="8"/>
      <c r="N34" s="8"/>
      <c r="O34" s="21"/>
      <c r="P34" s="3"/>
      <c r="Q34" s="3" t="s">
        <v>90</v>
      </c>
      <c r="R34" s="3"/>
    </row>
    <row r="35" spans="1:18">
      <c r="A35" s="14"/>
      <c r="B35" s="9"/>
      <c r="C35" s="10" t="str">
        <f t="shared" si="2"/>
        <v/>
      </c>
      <c r="D35" s="9"/>
      <c r="E35" s="9" t="str">
        <f t="shared" si="3"/>
        <v>JENNY YOKOBORI</v>
      </c>
      <c r="F35" s="9"/>
      <c r="G35" s="3"/>
      <c r="H35" s="20"/>
      <c r="I35" s="21"/>
      <c r="J35" s="20"/>
      <c r="K35" s="14" t="s">
        <v>12</v>
      </c>
      <c r="L35" s="3"/>
      <c r="M35" s="8"/>
      <c r="N35" s="8"/>
      <c r="O35" s="21"/>
      <c r="P35" s="3"/>
      <c r="Q35" s="3" t="s">
        <v>85</v>
      </c>
      <c r="R35" s="3"/>
    </row>
    <row r="36" spans="1:18">
      <c r="A36" s="14"/>
      <c r="B36" s="9"/>
      <c r="C36" s="10"/>
      <c r="D36" s="9"/>
      <c r="E36" s="9"/>
      <c r="F36" s="9"/>
      <c r="G36" s="3"/>
      <c r="H36" s="20"/>
      <c r="I36" s="21"/>
      <c r="J36" s="20"/>
      <c r="K36" s="14"/>
      <c r="L36" s="3"/>
      <c r="M36" s="8"/>
      <c r="N36" s="8"/>
      <c r="O36" s="21"/>
      <c r="P36" s="3"/>
      <c r="Q36" s="3"/>
      <c r="R36" s="3"/>
    </row>
    <row r="37" spans="1:18">
      <c r="A37" s="14"/>
      <c r="B37" s="11" t="str">
        <f t="shared" ref="B37:C37" si="4">UPPER(H37)</f>
        <v/>
      </c>
      <c r="C37" s="12" t="str">
        <f t="shared" si="4"/>
        <v/>
      </c>
      <c r="D37" s="11"/>
      <c r="E37" s="11" t="str">
        <f>UPPER(K37)</f>
        <v/>
      </c>
      <c r="F37" s="11"/>
      <c r="G37" s="3"/>
      <c r="H37" s="20"/>
      <c r="I37" s="21"/>
      <c r="J37" s="20"/>
      <c r="K37" s="13"/>
      <c r="L37" s="3"/>
      <c r="M37" s="8"/>
      <c r="N37" s="8"/>
      <c r="O37" s="21"/>
      <c r="P37" s="3"/>
      <c r="Q37" s="3"/>
      <c r="R37" s="3"/>
    </row>
    <row r="38" spans="1:18">
      <c r="A38" s="14"/>
      <c r="B38" s="9"/>
      <c r="C38" s="10"/>
      <c r="D38" s="9"/>
      <c r="E38" s="9"/>
      <c r="F38" s="9"/>
      <c r="G38" s="3"/>
      <c r="H38" s="20"/>
      <c r="I38" s="21"/>
      <c r="J38" s="20"/>
      <c r="K38" s="3"/>
      <c r="L38" s="3"/>
      <c r="M38" s="8"/>
      <c r="N38" s="8"/>
      <c r="O38" s="21"/>
      <c r="P38" s="3"/>
      <c r="Q38" s="3"/>
      <c r="R38" s="3"/>
    </row>
    <row r="39" spans="1:18">
      <c r="A39" s="14"/>
      <c r="B39" s="9"/>
      <c r="C39" s="10" t="str">
        <f t="shared" ref="C39:C51" si="5">UPPER(I39)</f>
        <v>DIRECTOR</v>
      </c>
      <c r="D39" s="9"/>
      <c r="E39" s="9" t="str">
        <f t="shared" ref="E39:E51" si="6">UPPER(K39)</f>
        <v>JOOGONG MAENG</v>
      </c>
      <c r="F39" s="9"/>
      <c r="G39" s="3"/>
      <c r="H39" s="20"/>
      <c r="I39" s="21" t="s">
        <v>168</v>
      </c>
      <c r="J39" s="20"/>
      <c r="K39" s="3" t="s">
        <v>148</v>
      </c>
      <c r="L39" s="3"/>
      <c r="M39" s="8"/>
      <c r="N39" s="8"/>
      <c r="O39" s="8" t="s">
        <v>783</v>
      </c>
      <c r="P39" s="3"/>
      <c r="Q39" s="3" t="s">
        <v>769</v>
      </c>
      <c r="R39" s="3"/>
    </row>
    <row r="40" spans="1:18">
      <c r="A40" s="14"/>
      <c r="B40" s="9"/>
      <c r="C40" s="10" t="str">
        <f t="shared" si="5"/>
        <v/>
      </c>
      <c r="D40" s="9"/>
      <c r="E40" s="9" t="str">
        <f t="shared" si="6"/>
        <v/>
      </c>
      <c r="F40" s="9"/>
      <c r="G40" s="3"/>
      <c r="H40" s="20"/>
      <c r="I40" s="21"/>
      <c r="J40" s="20"/>
      <c r="K40" s="13"/>
      <c r="L40" s="3"/>
      <c r="M40" s="8"/>
      <c r="N40" s="8"/>
      <c r="O40" s="3"/>
      <c r="P40" s="3"/>
      <c r="Q40" s="3"/>
      <c r="R40" s="3"/>
    </row>
    <row r="41" spans="1:18">
      <c r="A41" s="14"/>
      <c r="B41" s="9"/>
      <c r="C41" s="10" t="str">
        <f t="shared" si="5"/>
        <v>CO-DIRECTOR</v>
      </c>
      <c r="D41" s="9"/>
      <c r="E41" s="9" t="str">
        <f t="shared" si="6"/>
        <v>TAEWOOK KOH</v>
      </c>
      <c r="F41" s="9"/>
      <c r="G41" s="3"/>
      <c r="H41" s="20"/>
      <c r="I41" s="21" t="s">
        <v>169</v>
      </c>
      <c r="J41" s="20"/>
      <c r="K41" s="13" t="s">
        <v>149</v>
      </c>
      <c r="L41" s="3"/>
      <c r="M41" s="8"/>
      <c r="N41" s="8"/>
      <c r="O41" s="8" t="s">
        <v>784</v>
      </c>
      <c r="P41" s="3"/>
      <c r="Q41" s="3" t="s">
        <v>770</v>
      </c>
      <c r="R41" s="3"/>
    </row>
    <row r="42" spans="1:18">
      <c r="A42" s="14"/>
      <c r="B42" s="9"/>
      <c r="C42" s="10" t="str">
        <f t="shared" si="5"/>
        <v/>
      </c>
      <c r="D42" s="9"/>
      <c r="E42" s="9" t="str">
        <f t="shared" si="6"/>
        <v/>
      </c>
      <c r="F42" s="9"/>
      <c r="G42" s="3"/>
      <c r="H42" s="20"/>
      <c r="I42" s="21"/>
      <c r="J42" s="20"/>
      <c r="K42" s="13"/>
      <c r="L42" s="3"/>
      <c r="M42" s="8"/>
      <c r="N42" s="8"/>
      <c r="O42" s="3"/>
      <c r="P42" s="3"/>
      <c r="Q42" s="3"/>
      <c r="R42" s="3"/>
    </row>
    <row r="43" spans="1:18">
      <c r="A43" s="14"/>
      <c r="B43" s="9"/>
      <c r="C43" s="10" t="str">
        <f t="shared" si="5"/>
        <v>ASSISTANT DIRECTOR</v>
      </c>
      <c r="D43" s="9"/>
      <c r="E43" s="9" t="str">
        <f t="shared" si="6"/>
        <v>JEEHYUN KIM</v>
      </c>
      <c r="F43" s="9"/>
      <c r="G43" s="3"/>
      <c r="H43" s="20"/>
      <c r="I43" s="21" t="s">
        <v>170</v>
      </c>
      <c r="J43" s="20"/>
      <c r="K43" s="13" t="s">
        <v>150</v>
      </c>
      <c r="L43" s="3"/>
      <c r="M43" s="8"/>
      <c r="N43" s="8"/>
      <c r="O43" s="8" t="s">
        <v>785</v>
      </c>
      <c r="P43" s="3"/>
      <c r="Q43" s="3" t="s">
        <v>771</v>
      </c>
      <c r="R43" s="3"/>
    </row>
    <row r="44" spans="1:18">
      <c r="A44" s="14"/>
      <c r="B44" s="9"/>
      <c r="C44" s="10" t="str">
        <f t="shared" si="5"/>
        <v/>
      </c>
      <c r="D44" s="9"/>
      <c r="E44" s="9" t="str">
        <f t="shared" si="6"/>
        <v/>
      </c>
      <c r="F44" s="9"/>
      <c r="G44" s="3"/>
      <c r="H44" s="20"/>
      <c r="I44" s="21"/>
      <c r="J44" s="20"/>
      <c r="K44" s="13"/>
      <c r="L44" s="3"/>
      <c r="M44" s="8"/>
      <c r="N44" s="8"/>
      <c r="O44" s="3"/>
      <c r="P44" s="3"/>
      <c r="Q44" s="3"/>
      <c r="R44" s="3"/>
    </row>
    <row r="45" spans="1:18">
      <c r="A45" s="14"/>
      <c r="B45" s="9"/>
      <c r="C45" s="10" t="str">
        <f t="shared" si="5"/>
        <v>STORY SUPERVISOR</v>
      </c>
      <c r="D45" s="9"/>
      <c r="E45" s="9" t="str">
        <f t="shared" si="6"/>
        <v>TAEWOOK KOH</v>
      </c>
      <c r="F45" s="9"/>
      <c r="G45" s="3"/>
      <c r="H45" s="20"/>
      <c r="I45" s="21" t="s">
        <v>171</v>
      </c>
      <c r="J45" s="20"/>
      <c r="K45" s="13" t="s">
        <v>149</v>
      </c>
      <c r="L45" s="3"/>
      <c r="M45" s="3"/>
      <c r="N45" s="3"/>
      <c r="O45" s="8" t="s">
        <v>786</v>
      </c>
      <c r="P45" s="3"/>
      <c r="Q45" s="3" t="s">
        <v>770</v>
      </c>
      <c r="R45" s="3"/>
    </row>
    <row r="46" spans="1:18">
      <c r="A46" s="14"/>
      <c r="B46" s="9"/>
      <c r="C46" s="10" t="str">
        <f t="shared" si="5"/>
        <v/>
      </c>
      <c r="D46" s="9"/>
      <c r="E46" s="9" t="str">
        <f t="shared" si="6"/>
        <v>JEEHYUN KIM</v>
      </c>
      <c r="F46" s="9"/>
      <c r="G46" s="3"/>
      <c r="H46" s="20"/>
      <c r="I46" s="21"/>
      <c r="J46" s="20"/>
      <c r="K46" s="13" t="s">
        <v>150</v>
      </c>
      <c r="L46" s="3"/>
      <c r="M46" s="8"/>
      <c r="N46" s="8"/>
      <c r="O46" s="3"/>
      <c r="P46" s="3"/>
      <c r="Q46" s="3" t="s">
        <v>771</v>
      </c>
      <c r="R46" s="3"/>
    </row>
    <row r="47" spans="1:18">
      <c r="A47" s="14"/>
      <c r="B47" s="9"/>
      <c r="C47" s="10" t="str">
        <f t="shared" si="5"/>
        <v/>
      </c>
      <c r="D47" s="9"/>
      <c r="E47" s="9" t="str">
        <f t="shared" si="6"/>
        <v>JIWON OH</v>
      </c>
      <c r="F47" s="9"/>
      <c r="G47" s="3"/>
      <c r="H47" s="20"/>
      <c r="I47" s="21"/>
      <c r="J47" s="20"/>
      <c r="K47" s="13" t="s">
        <v>151</v>
      </c>
      <c r="L47" s="3"/>
      <c r="M47" s="8"/>
      <c r="N47" s="8"/>
      <c r="O47" s="3"/>
      <c r="P47" s="3"/>
      <c r="Q47" s="3" t="s">
        <v>774</v>
      </c>
      <c r="R47" s="3"/>
    </row>
    <row r="48" spans="1:18">
      <c r="A48" s="14"/>
      <c r="B48" s="9"/>
      <c r="C48" s="10" t="str">
        <f t="shared" si="5"/>
        <v/>
      </c>
      <c r="D48" s="9"/>
      <c r="E48" s="9" t="str">
        <f t="shared" si="6"/>
        <v/>
      </c>
      <c r="F48" s="9"/>
      <c r="G48" s="3"/>
      <c r="H48" s="20"/>
      <c r="I48" s="21"/>
      <c r="J48" s="20"/>
      <c r="K48" s="13"/>
      <c r="L48" s="3"/>
      <c r="M48" s="8"/>
      <c r="N48" s="8"/>
      <c r="O48" s="3"/>
      <c r="P48" s="3"/>
      <c r="Q48" s="3"/>
      <c r="R48" s="3"/>
    </row>
    <row r="49" spans="1:18">
      <c r="A49" s="14"/>
      <c r="B49" s="9"/>
      <c r="C49" s="10" t="str">
        <f t="shared" si="5"/>
        <v>STORY ARTIST</v>
      </c>
      <c r="D49" s="9"/>
      <c r="E49" s="9" t="str">
        <f t="shared" si="6"/>
        <v>WON HWANG</v>
      </c>
      <c r="F49" s="9"/>
      <c r="G49" s="3"/>
      <c r="H49" s="20"/>
      <c r="I49" s="21" t="s">
        <v>172</v>
      </c>
      <c r="J49" s="20"/>
      <c r="K49" s="13" t="s">
        <v>173</v>
      </c>
      <c r="L49" s="3"/>
      <c r="M49" s="8"/>
      <c r="N49" s="8"/>
      <c r="O49" s="8" t="s">
        <v>787</v>
      </c>
      <c r="P49" s="3"/>
      <c r="Q49" s="3" t="s">
        <v>788</v>
      </c>
      <c r="R49" s="3"/>
    </row>
    <row r="50" spans="1:18">
      <c r="A50" s="14"/>
      <c r="B50" s="9"/>
      <c r="C50" s="10" t="str">
        <f t="shared" si="5"/>
        <v/>
      </c>
      <c r="D50" s="9"/>
      <c r="E50" s="9" t="str">
        <f t="shared" si="6"/>
        <v/>
      </c>
      <c r="F50" s="9"/>
      <c r="G50" s="3"/>
      <c r="H50" s="20"/>
      <c r="I50" s="21"/>
      <c r="J50" s="20"/>
      <c r="K50" s="13"/>
      <c r="L50" s="3"/>
      <c r="M50" s="3"/>
      <c r="N50" s="3"/>
      <c r="O50" s="8"/>
      <c r="P50" s="3"/>
      <c r="Q50" s="3"/>
      <c r="R50" s="3"/>
    </row>
    <row r="51" spans="1:18">
      <c r="A51" s="14"/>
      <c r="B51" s="9"/>
      <c r="C51" s="10" t="str">
        <f t="shared" si="5"/>
        <v>STORY EDITOR</v>
      </c>
      <c r="D51" s="9"/>
      <c r="E51" s="9" t="str">
        <f t="shared" si="6"/>
        <v>JAKE GOLDMAN</v>
      </c>
      <c r="F51" s="9"/>
      <c r="G51" s="3"/>
      <c r="H51" s="20"/>
      <c r="I51" s="21" t="s">
        <v>174</v>
      </c>
      <c r="J51" s="20"/>
      <c r="K51" s="13" t="s">
        <v>155</v>
      </c>
      <c r="L51" s="3"/>
      <c r="M51" s="3"/>
      <c r="N51" s="3"/>
      <c r="O51" s="8" t="s">
        <v>789</v>
      </c>
      <c r="P51" s="3"/>
      <c r="Q51" s="3" t="s">
        <v>155</v>
      </c>
      <c r="R51" s="3"/>
    </row>
    <row r="52" spans="1:18">
      <c r="A52" s="14"/>
      <c r="B52" s="9"/>
      <c r="C52" s="10"/>
      <c r="D52" s="9"/>
      <c r="E52" s="9"/>
      <c r="F52" s="9"/>
      <c r="G52" s="3"/>
      <c r="H52" s="20"/>
      <c r="I52" s="21" t="s">
        <v>154</v>
      </c>
      <c r="J52" s="20"/>
      <c r="K52" s="13" t="s">
        <v>155</v>
      </c>
      <c r="L52" s="3"/>
      <c r="M52" s="3"/>
      <c r="N52" s="3"/>
      <c r="O52" s="8" t="s">
        <v>790</v>
      </c>
      <c r="P52" s="3"/>
      <c r="Q52" s="3" t="s">
        <v>155</v>
      </c>
      <c r="R52" s="3"/>
    </row>
    <row r="53" spans="1:18">
      <c r="A53" s="14"/>
      <c r="B53" s="9"/>
      <c r="C53" s="10"/>
      <c r="D53" s="9"/>
      <c r="E53" s="9"/>
      <c r="F53" s="9"/>
      <c r="G53" s="3"/>
      <c r="H53" s="20"/>
      <c r="I53" s="21"/>
      <c r="J53" s="20"/>
      <c r="K53" s="13"/>
      <c r="L53" s="3"/>
      <c r="M53" s="3"/>
      <c r="N53" s="3"/>
      <c r="O53" s="21"/>
      <c r="P53" s="3"/>
      <c r="Q53" s="3"/>
      <c r="R53" s="3"/>
    </row>
    <row r="54" spans="1:18">
      <c r="A54" s="14"/>
      <c r="B54" s="26"/>
      <c r="C54" s="26"/>
      <c r="D54" s="26"/>
      <c r="E54" s="26"/>
      <c r="F54" s="26"/>
      <c r="G54" s="3"/>
      <c r="H54" s="27"/>
      <c r="I54" s="21"/>
      <c r="J54" s="27"/>
      <c r="K54" s="7"/>
      <c r="L54" s="7"/>
      <c r="M54" s="3"/>
      <c r="N54" s="3"/>
      <c r="O54" s="21"/>
      <c r="P54" s="3"/>
      <c r="Q54" s="3"/>
      <c r="R54" s="3"/>
    </row>
    <row r="55" spans="1:18">
      <c r="A55" s="14"/>
      <c r="B55" s="6"/>
      <c r="C55" s="6"/>
      <c r="D55" s="6"/>
      <c r="E55" s="6"/>
      <c r="F55" s="6"/>
      <c r="G55" s="3"/>
      <c r="H55" s="27"/>
      <c r="I55" s="21"/>
      <c r="J55" s="27"/>
      <c r="K55" s="7"/>
      <c r="L55" s="7"/>
      <c r="M55" s="3"/>
      <c r="N55" s="3"/>
      <c r="O55" s="21"/>
      <c r="P55" s="3"/>
      <c r="Q55" s="3"/>
      <c r="R55" s="3"/>
    </row>
    <row r="56" spans="1:18">
      <c r="A56" s="14"/>
      <c r="B56" s="150" t="str">
        <f t="shared" ref="B56:B57" si="7">UPPER(H56)</f>
        <v>STORYBOARD</v>
      </c>
      <c r="C56" s="141"/>
      <c r="D56" s="141"/>
      <c r="E56" s="141"/>
      <c r="F56" s="141"/>
      <c r="G56" s="28"/>
      <c r="H56" s="148" t="s">
        <v>175</v>
      </c>
      <c r="I56" s="141"/>
      <c r="J56" s="141"/>
      <c r="K56" s="141"/>
      <c r="L56" s="141"/>
      <c r="M56" s="28"/>
      <c r="N56" s="149" t="s">
        <v>791</v>
      </c>
      <c r="O56" s="141"/>
      <c r="P56" s="141"/>
      <c r="Q56" s="141"/>
      <c r="R56" s="141"/>
    </row>
    <row r="57" spans="1:18">
      <c r="A57" s="14"/>
      <c r="B57" s="146" t="str">
        <f t="shared" si="7"/>
        <v>STUDIO GOINDOL INC.</v>
      </c>
      <c r="C57" s="141"/>
      <c r="D57" s="141"/>
      <c r="E57" s="141"/>
      <c r="F57" s="141"/>
      <c r="G57" s="3"/>
      <c r="H57" s="144" t="s">
        <v>176</v>
      </c>
      <c r="I57" s="141"/>
      <c r="J57" s="141"/>
      <c r="K57" s="141"/>
      <c r="L57" s="141"/>
      <c r="M57" s="3"/>
      <c r="N57" s="145" t="s">
        <v>792</v>
      </c>
      <c r="O57" s="141"/>
      <c r="P57" s="141"/>
      <c r="Q57" s="141"/>
      <c r="R57" s="141"/>
    </row>
    <row r="58" spans="1:18">
      <c r="A58" s="14"/>
      <c r="B58" s="9"/>
      <c r="C58" s="10"/>
      <c r="D58" s="9"/>
      <c r="E58" s="9"/>
      <c r="F58" s="9"/>
      <c r="G58" s="3"/>
      <c r="H58" s="20"/>
      <c r="I58" s="21"/>
      <c r="J58" s="20"/>
      <c r="K58" s="13"/>
      <c r="L58" s="3"/>
      <c r="M58" s="3"/>
      <c r="N58" s="3"/>
      <c r="O58" s="8"/>
      <c r="P58" s="3"/>
      <c r="Q58" s="3"/>
      <c r="R58" s="3"/>
    </row>
    <row r="59" spans="1:18">
      <c r="A59" s="14"/>
      <c r="B59" s="9"/>
      <c r="C59" s="10" t="str">
        <f>UPPER(I59)</f>
        <v>STORYBOARD DIRECTOR</v>
      </c>
      <c r="D59" s="9"/>
      <c r="E59" s="9" t="str">
        <f>UPPER(K59)</f>
        <v>YOUNGKWANG JO</v>
      </c>
      <c r="F59" s="9"/>
      <c r="G59" s="3"/>
      <c r="H59" s="20"/>
      <c r="I59" s="21" t="s">
        <v>177</v>
      </c>
      <c r="J59" s="20"/>
      <c r="K59" s="13" t="s">
        <v>178</v>
      </c>
      <c r="L59" s="3"/>
      <c r="M59" s="3"/>
      <c r="N59" s="3"/>
      <c r="O59" s="8" t="s">
        <v>793</v>
      </c>
      <c r="P59" s="3"/>
      <c r="Q59" s="3" t="s">
        <v>794</v>
      </c>
      <c r="R59" s="3"/>
    </row>
    <row r="60" spans="1:18">
      <c r="A60" s="14"/>
      <c r="B60" s="9"/>
      <c r="C60" s="10"/>
      <c r="D60" s="9"/>
      <c r="E60" s="9"/>
      <c r="F60" s="9"/>
      <c r="G60" s="3"/>
      <c r="H60" s="20"/>
      <c r="I60" s="21"/>
      <c r="J60" s="20"/>
      <c r="K60" s="13"/>
      <c r="L60" s="3"/>
      <c r="M60" s="3"/>
      <c r="N60" s="3"/>
      <c r="O60" s="8"/>
      <c r="P60" s="3"/>
      <c r="Q60" s="3"/>
      <c r="R60" s="3"/>
    </row>
    <row r="61" spans="1:18">
      <c r="A61" s="14"/>
      <c r="B61" s="9"/>
      <c r="C61" s="10" t="str">
        <f t="shared" ref="C61:C64" si="8">UPPER(I61)</f>
        <v>STORYBOARD ARTIST</v>
      </c>
      <c r="D61" s="9"/>
      <c r="E61" s="9" t="str">
        <f t="shared" ref="E61:E64" si="9">UPPER(K61)</f>
        <v>JINWON JUNG</v>
      </c>
      <c r="F61" s="9"/>
      <c r="G61" s="3"/>
      <c r="H61" s="20"/>
      <c r="I61" s="21" t="s">
        <v>179</v>
      </c>
      <c r="J61" s="20"/>
      <c r="K61" s="13" t="s">
        <v>180</v>
      </c>
      <c r="L61" s="3"/>
      <c r="M61" s="3"/>
      <c r="N61" s="3"/>
      <c r="O61" s="8" t="s">
        <v>795</v>
      </c>
      <c r="P61" s="3"/>
      <c r="Q61" s="3" t="s">
        <v>796</v>
      </c>
      <c r="R61" s="3"/>
    </row>
    <row r="62" spans="1:18">
      <c r="A62" s="14"/>
      <c r="B62" s="9"/>
      <c r="C62" s="10" t="str">
        <f t="shared" si="8"/>
        <v/>
      </c>
      <c r="D62" s="9"/>
      <c r="E62" s="9" t="str">
        <f t="shared" si="9"/>
        <v>YONGRYUL YU</v>
      </c>
      <c r="F62" s="9"/>
      <c r="G62" s="3"/>
      <c r="H62" s="20"/>
      <c r="I62" s="21"/>
      <c r="J62" s="20"/>
      <c r="K62" s="13" t="s">
        <v>181</v>
      </c>
      <c r="L62" s="3"/>
      <c r="M62" s="3"/>
      <c r="N62" s="3"/>
      <c r="O62" s="8"/>
      <c r="P62" s="3"/>
      <c r="Q62" s="3" t="s">
        <v>797</v>
      </c>
      <c r="R62" s="3"/>
    </row>
    <row r="63" spans="1:18">
      <c r="A63" s="14"/>
      <c r="B63" s="9"/>
      <c r="C63" s="10" t="str">
        <f t="shared" si="8"/>
        <v/>
      </c>
      <c r="D63" s="9"/>
      <c r="E63" s="9" t="str">
        <f t="shared" si="9"/>
        <v/>
      </c>
      <c r="F63" s="9"/>
      <c r="G63" s="3"/>
      <c r="H63" s="20"/>
      <c r="I63" s="21"/>
      <c r="J63" s="20"/>
      <c r="K63" s="13"/>
      <c r="L63" s="3"/>
      <c r="M63" s="3"/>
      <c r="N63" s="3"/>
      <c r="O63" s="21"/>
      <c r="P63" s="3"/>
      <c r="Q63" s="3"/>
      <c r="R63" s="3"/>
    </row>
    <row r="64" spans="1:18">
      <c r="A64" s="14"/>
      <c r="B64" s="9"/>
      <c r="C64" s="10" t="str">
        <f t="shared" si="8"/>
        <v>STORYBOARD REVISIONIST</v>
      </c>
      <c r="D64" s="9"/>
      <c r="E64" s="9" t="str">
        <f t="shared" si="9"/>
        <v>SOOMIN LIM</v>
      </c>
      <c r="F64" s="9"/>
      <c r="G64" s="3"/>
      <c r="H64" s="20"/>
      <c r="I64" s="21" t="s">
        <v>182</v>
      </c>
      <c r="J64" s="20"/>
      <c r="K64" s="13" t="s">
        <v>183</v>
      </c>
      <c r="L64" s="3"/>
      <c r="M64" s="3"/>
      <c r="N64" s="3"/>
      <c r="O64" s="21" t="s">
        <v>798</v>
      </c>
      <c r="P64" s="3"/>
      <c r="Q64" s="3" t="s">
        <v>799</v>
      </c>
      <c r="R64" s="3"/>
    </row>
    <row r="65" spans="1:18">
      <c r="A65" s="14"/>
      <c r="B65" s="9"/>
      <c r="C65" s="10"/>
      <c r="D65" s="9"/>
      <c r="E65" s="9"/>
      <c r="F65" s="9"/>
      <c r="G65" s="3"/>
      <c r="H65" s="20"/>
      <c r="I65" s="21"/>
      <c r="J65" s="20"/>
      <c r="K65" s="13"/>
      <c r="L65" s="3"/>
      <c r="M65" s="3"/>
      <c r="N65" s="3"/>
      <c r="O65" s="1"/>
      <c r="P65" s="3"/>
      <c r="Q65" s="3"/>
      <c r="R65" s="3"/>
    </row>
    <row r="66" spans="1:18">
      <c r="A66" s="14"/>
      <c r="B66" s="11" t="str">
        <f t="shared" ref="B66:C66" si="10">UPPER(H66)</f>
        <v/>
      </c>
      <c r="C66" s="12" t="str">
        <f t="shared" si="10"/>
        <v/>
      </c>
      <c r="D66" s="11"/>
      <c r="E66" s="11" t="str">
        <f>UPPER(K66)</f>
        <v/>
      </c>
      <c r="F66" s="11"/>
      <c r="G66" s="3"/>
      <c r="H66" s="20"/>
      <c r="I66" s="21"/>
      <c r="J66" s="20"/>
      <c r="K66" s="13"/>
      <c r="L66" s="3"/>
      <c r="M66" s="3"/>
      <c r="N66" s="3"/>
      <c r="O66" s="21"/>
      <c r="P66" s="3"/>
      <c r="Q66" s="3"/>
      <c r="R66" s="3"/>
    </row>
    <row r="67" spans="1:18">
      <c r="A67" s="14"/>
      <c r="B67" s="9"/>
      <c r="C67" s="10"/>
      <c r="D67" s="9"/>
      <c r="E67" s="9"/>
      <c r="F67" s="9"/>
      <c r="G67" s="3"/>
      <c r="H67" s="20"/>
      <c r="I67" s="21"/>
      <c r="J67" s="20"/>
      <c r="K67" s="3"/>
      <c r="L67" s="3"/>
      <c r="M67" s="8"/>
      <c r="N67" s="8"/>
      <c r="O67" s="21"/>
      <c r="P67" s="3"/>
      <c r="Q67" s="3"/>
      <c r="R67" s="3"/>
    </row>
    <row r="68" spans="1:18">
      <c r="A68" s="14"/>
      <c r="B68" s="9"/>
      <c r="C68" s="10" t="str">
        <f t="shared" ref="C68:C75" si="11">UPPER(I68)</f>
        <v>PRODUCTION MANAGER</v>
      </c>
      <c r="D68" s="9"/>
      <c r="E68" s="9" t="str">
        <f t="shared" ref="E68:E75" si="12">UPPER(K68)</f>
        <v>SEMIN SHIN</v>
      </c>
      <c r="F68" s="9"/>
      <c r="G68" s="3"/>
      <c r="H68" s="20"/>
      <c r="I68" s="21" t="s">
        <v>152</v>
      </c>
      <c r="J68" s="20"/>
      <c r="K68" s="3" t="s">
        <v>153</v>
      </c>
      <c r="L68" s="3"/>
      <c r="M68" s="8"/>
      <c r="N68" s="8"/>
      <c r="O68" s="8" t="s">
        <v>775</v>
      </c>
      <c r="P68" s="3"/>
      <c r="Q68" s="3" t="s">
        <v>776</v>
      </c>
      <c r="R68" s="3"/>
    </row>
    <row r="69" spans="1:18">
      <c r="A69" s="14"/>
      <c r="B69" s="9"/>
      <c r="C69" s="10" t="str">
        <f t="shared" si="11"/>
        <v/>
      </c>
      <c r="D69" s="9"/>
      <c r="E69" s="9" t="str">
        <f t="shared" si="12"/>
        <v/>
      </c>
      <c r="F69" s="9"/>
      <c r="G69" s="3"/>
      <c r="H69" s="20"/>
      <c r="I69" s="21"/>
      <c r="J69" s="20"/>
      <c r="K69" s="3"/>
      <c r="L69" s="3"/>
      <c r="M69" s="8"/>
      <c r="N69" s="8"/>
      <c r="O69" s="8"/>
      <c r="P69" s="3"/>
      <c r="Q69" s="3"/>
      <c r="R69" s="3"/>
    </row>
    <row r="70" spans="1:18">
      <c r="A70" s="14"/>
      <c r="B70" s="9"/>
      <c r="C70" s="10" t="str">
        <f t="shared" si="11"/>
        <v>PRODUCTION COORDINATOR</v>
      </c>
      <c r="D70" s="9"/>
      <c r="E70" s="9" t="str">
        <f t="shared" si="12"/>
        <v>SEHUI JUNG</v>
      </c>
      <c r="F70" s="9"/>
      <c r="G70" s="3"/>
      <c r="H70" s="20"/>
      <c r="I70" s="21" t="s">
        <v>184</v>
      </c>
      <c r="J70" s="20"/>
      <c r="K70" s="3" t="s">
        <v>185</v>
      </c>
      <c r="L70" s="3"/>
      <c r="M70" s="3"/>
      <c r="N70" s="3"/>
      <c r="O70" s="8" t="s">
        <v>800</v>
      </c>
      <c r="P70" s="3"/>
      <c r="Q70" s="3" t="s">
        <v>801</v>
      </c>
      <c r="R70" s="3"/>
    </row>
    <row r="71" spans="1:18">
      <c r="A71" s="14"/>
      <c r="B71" s="9"/>
      <c r="C71" s="10" t="str">
        <f t="shared" si="11"/>
        <v/>
      </c>
      <c r="D71" s="9"/>
      <c r="E71" s="9" t="str">
        <f t="shared" si="12"/>
        <v>CHRISTINA YOONJUNG HAN</v>
      </c>
      <c r="F71" s="9"/>
      <c r="G71" s="3"/>
      <c r="H71" s="20"/>
      <c r="I71" s="21"/>
      <c r="J71" s="20"/>
      <c r="K71" s="3" t="s">
        <v>186</v>
      </c>
      <c r="L71" s="3"/>
      <c r="M71" s="8"/>
      <c r="N71" s="8"/>
      <c r="O71" s="3"/>
      <c r="P71" s="3"/>
      <c r="Q71" s="3" t="s">
        <v>802</v>
      </c>
      <c r="R71" s="3"/>
    </row>
    <row r="72" spans="1:18">
      <c r="A72" s="14"/>
      <c r="B72" s="9"/>
      <c r="C72" s="10" t="str">
        <f t="shared" si="11"/>
        <v/>
      </c>
      <c r="D72" s="9"/>
      <c r="E72" s="9" t="str">
        <f t="shared" si="12"/>
        <v>WOORI KO</v>
      </c>
      <c r="F72" s="9"/>
      <c r="G72" s="3"/>
      <c r="H72" s="20"/>
      <c r="I72" s="21"/>
      <c r="J72" s="20"/>
      <c r="K72" s="3" t="s">
        <v>187</v>
      </c>
      <c r="L72" s="3"/>
      <c r="M72" s="8"/>
      <c r="N72" s="8"/>
      <c r="O72" s="3"/>
      <c r="P72" s="3"/>
      <c r="Q72" s="3" t="s">
        <v>803</v>
      </c>
      <c r="R72" s="3"/>
    </row>
    <row r="73" spans="1:18">
      <c r="A73" s="14"/>
      <c r="B73" s="9"/>
      <c r="C73" s="10" t="str">
        <f t="shared" si="11"/>
        <v/>
      </c>
      <c r="D73" s="9"/>
      <c r="E73" s="9" t="str">
        <f t="shared" si="12"/>
        <v>EUNHA HWANG</v>
      </c>
      <c r="F73" s="9"/>
      <c r="G73" s="3"/>
      <c r="H73" s="20"/>
      <c r="I73" s="21"/>
      <c r="J73" s="20"/>
      <c r="K73" s="3" t="s">
        <v>188</v>
      </c>
      <c r="L73" s="3"/>
      <c r="M73" s="8"/>
      <c r="N73" s="8"/>
      <c r="O73" s="3"/>
      <c r="P73" s="3"/>
      <c r="Q73" s="3" t="s">
        <v>804</v>
      </c>
      <c r="R73" s="3"/>
    </row>
    <row r="74" spans="1:18">
      <c r="A74" s="14"/>
      <c r="B74" s="9"/>
      <c r="C74" s="10" t="str">
        <f t="shared" si="11"/>
        <v/>
      </c>
      <c r="D74" s="9"/>
      <c r="E74" s="9" t="str">
        <f t="shared" si="12"/>
        <v>YEONJAE KANG</v>
      </c>
      <c r="F74" s="9"/>
      <c r="G74" s="3"/>
      <c r="H74" s="20"/>
      <c r="I74" s="21"/>
      <c r="J74" s="20"/>
      <c r="K74" s="3" t="s">
        <v>189</v>
      </c>
      <c r="L74" s="3"/>
      <c r="M74" s="8"/>
      <c r="N74" s="8"/>
      <c r="O74" s="3"/>
      <c r="P74" s="3"/>
      <c r="Q74" s="3" t="s">
        <v>805</v>
      </c>
      <c r="R74" s="3"/>
    </row>
    <row r="75" spans="1:18">
      <c r="A75" s="14"/>
      <c r="B75" s="9"/>
      <c r="C75" s="10" t="str">
        <f t="shared" si="11"/>
        <v/>
      </c>
      <c r="D75" s="9"/>
      <c r="E75" s="9" t="str">
        <f t="shared" si="12"/>
        <v>SKYE YONJI LEE</v>
      </c>
      <c r="F75" s="9"/>
      <c r="G75" s="3"/>
      <c r="H75" s="20"/>
      <c r="I75" s="21"/>
      <c r="J75" s="20"/>
      <c r="K75" s="3" t="s">
        <v>190</v>
      </c>
      <c r="L75" s="3"/>
      <c r="M75" s="8"/>
      <c r="N75" s="8"/>
      <c r="O75" s="3"/>
      <c r="P75" s="3"/>
      <c r="Q75" s="3" t="s">
        <v>806</v>
      </c>
      <c r="R75" s="3"/>
    </row>
    <row r="76" spans="1:18">
      <c r="A76" s="14"/>
      <c r="B76" s="9"/>
      <c r="C76" s="10"/>
      <c r="D76" s="9"/>
      <c r="E76" s="9"/>
      <c r="F76" s="9"/>
      <c r="G76" s="3"/>
      <c r="H76" s="20"/>
      <c r="I76" s="21"/>
      <c r="J76" s="20"/>
      <c r="K76" s="3"/>
      <c r="L76" s="3"/>
      <c r="M76" s="8"/>
      <c r="N76" s="8"/>
      <c r="O76" s="21"/>
      <c r="P76" s="3"/>
      <c r="Q76" s="3"/>
      <c r="R76" s="3"/>
    </row>
    <row r="77" spans="1:18">
      <c r="A77" s="14"/>
      <c r="B77" s="11" t="str">
        <f t="shared" ref="B77:C77" si="13">UPPER(H77)</f>
        <v/>
      </c>
      <c r="C77" s="12" t="str">
        <f t="shared" si="13"/>
        <v/>
      </c>
      <c r="D77" s="11"/>
      <c r="E77" s="11" t="str">
        <f>UPPER(K77)</f>
        <v/>
      </c>
      <c r="F77" s="11"/>
      <c r="G77" s="3"/>
      <c r="H77" s="20"/>
      <c r="I77" s="21"/>
      <c r="J77" s="20"/>
      <c r="K77" s="13"/>
      <c r="L77" s="3"/>
      <c r="M77" s="8"/>
      <c r="N77" s="8"/>
      <c r="O77" s="21"/>
      <c r="P77" s="3"/>
      <c r="Q77" s="3"/>
      <c r="R77" s="3"/>
    </row>
    <row r="78" spans="1:18">
      <c r="A78" s="14"/>
      <c r="B78" s="146"/>
      <c r="C78" s="141"/>
      <c r="D78" s="141"/>
      <c r="E78" s="141"/>
      <c r="F78" s="141"/>
      <c r="G78" s="3"/>
      <c r="H78" s="147"/>
      <c r="I78" s="141"/>
      <c r="J78" s="141"/>
      <c r="K78" s="141"/>
      <c r="L78" s="141"/>
      <c r="M78" s="8"/>
      <c r="N78" s="8"/>
      <c r="O78" s="21"/>
      <c r="P78" s="3"/>
      <c r="Q78" s="3"/>
      <c r="R78" s="3"/>
    </row>
    <row r="79" spans="1:18">
      <c r="A79" s="14"/>
      <c r="B79" s="150" t="str">
        <f>UPPER(H79)</f>
        <v>ART</v>
      </c>
      <c r="C79" s="141"/>
      <c r="D79" s="141"/>
      <c r="E79" s="141"/>
      <c r="F79" s="141"/>
      <c r="G79" s="28"/>
      <c r="H79" s="148" t="s">
        <v>191</v>
      </c>
      <c r="I79" s="141"/>
      <c r="J79" s="141"/>
      <c r="K79" s="141"/>
      <c r="L79" s="141"/>
      <c r="M79" s="29"/>
      <c r="N79" s="149" t="s">
        <v>807</v>
      </c>
      <c r="O79" s="141"/>
      <c r="P79" s="141"/>
      <c r="Q79" s="141"/>
      <c r="R79" s="141"/>
    </row>
    <row r="80" spans="1:18">
      <c r="A80" s="14"/>
      <c r="B80" s="9"/>
      <c r="C80" s="10" t="str">
        <f t="shared" ref="C80:C83" si="14">UPPER(I80)</f>
        <v>CHARACTER DESIGN</v>
      </c>
      <c r="D80" s="9"/>
      <c r="E80" s="9" t="str">
        <f t="shared" ref="E80:E90" si="15">UPPER(K80)</f>
        <v>NANDABY KWON</v>
      </c>
      <c r="F80" s="9"/>
      <c r="G80" s="3"/>
      <c r="H80" s="20"/>
      <c r="I80" s="21" t="s">
        <v>192</v>
      </c>
      <c r="J80" s="20"/>
      <c r="K80" s="13" t="s">
        <v>193</v>
      </c>
      <c r="L80" s="3"/>
      <c r="M80" s="8"/>
      <c r="N80" s="3"/>
      <c r="O80" s="8" t="s">
        <v>808</v>
      </c>
      <c r="P80" s="3"/>
      <c r="Q80" s="3" t="s">
        <v>809</v>
      </c>
      <c r="R80" s="3"/>
    </row>
    <row r="81" spans="1:18">
      <c r="A81" s="14"/>
      <c r="B81" s="9"/>
      <c r="C81" s="10" t="str">
        <f t="shared" si="14"/>
        <v/>
      </c>
      <c r="D81" s="9"/>
      <c r="E81" s="9" t="str">
        <f t="shared" si="15"/>
        <v>MANJOONG LEE</v>
      </c>
      <c r="F81" s="9"/>
      <c r="G81" s="3"/>
      <c r="H81" s="20"/>
      <c r="I81" s="21"/>
      <c r="J81" s="20"/>
      <c r="K81" s="13" t="s">
        <v>194</v>
      </c>
      <c r="L81" s="3"/>
      <c r="M81" s="8"/>
      <c r="N81" s="3"/>
      <c r="O81" s="3"/>
      <c r="P81" s="3"/>
      <c r="Q81" s="3" t="s">
        <v>810</v>
      </c>
      <c r="R81" s="3"/>
    </row>
    <row r="82" spans="1:18">
      <c r="A82" s="14"/>
      <c r="B82" s="9"/>
      <c r="C82" s="10" t="str">
        <f t="shared" si="14"/>
        <v/>
      </c>
      <c r="D82" s="9"/>
      <c r="E82" s="9" t="str">
        <f t="shared" si="15"/>
        <v>HYUNSONG WE</v>
      </c>
      <c r="F82" s="9"/>
      <c r="G82" s="3"/>
      <c r="H82" s="20"/>
      <c r="I82" s="21"/>
      <c r="J82" s="20"/>
      <c r="K82" s="13" t="s">
        <v>195</v>
      </c>
      <c r="L82" s="3"/>
      <c r="M82" s="8"/>
      <c r="N82" s="3"/>
      <c r="O82" s="3"/>
      <c r="P82" s="3"/>
      <c r="Q82" s="3" t="s">
        <v>811</v>
      </c>
      <c r="R82" s="3"/>
    </row>
    <row r="83" spans="1:18">
      <c r="A83" s="14"/>
      <c r="B83" s="9"/>
      <c r="C83" s="10" t="str">
        <f t="shared" si="14"/>
        <v/>
      </c>
      <c r="D83" s="9"/>
      <c r="E83" s="9" t="str">
        <f t="shared" si="15"/>
        <v>HEEGYEONG JUNG</v>
      </c>
      <c r="F83" s="9"/>
      <c r="G83" s="3"/>
      <c r="H83" s="20"/>
      <c r="I83" s="21"/>
      <c r="J83" s="20"/>
      <c r="K83" s="13" t="s">
        <v>196</v>
      </c>
      <c r="L83" s="3"/>
      <c r="M83" s="8"/>
      <c r="N83" s="3"/>
      <c r="O83" s="3"/>
      <c r="P83" s="3"/>
      <c r="Q83" s="3" t="s">
        <v>812</v>
      </c>
      <c r="R83" s="3"/>
    </row>
    <row r="84" spans="1:18">
      <c r="A84" s="14"/>
      <c r="B84" s="9"/>
      <c r="C84" s="10"/>
      <c r="D84" s="9"/>
      <c r="E84" s="9" t="str">
        <f t="shared" si="15"/>
        <v>SUNGMIN JUNG</v>
      </c>
      <c r="F84" s="9"/>
      <c r="G84" s="3"/>
      <c r="H84" s="20"/>
      <c r="I84" s="21"/>
      <c r="J84" s="20"/>
      <c r="K84" s="3" t="s">
        <v>197</v>
      </c>
      <c r="L84" s="3"/>
      <c r="M84" s="8"/>
      <c r="N84" s="3"/>
      <c r="O84" s="3"/>
      <c r="P84" s="3"/>
      <c r="Q84" s="3" t="s">
        <v>813</v>
      </c>
      <c r="R84" s="3"/>
    </row>
    <row r="85" spans="1:18">
      <c r="A85" s="14"/>
      <c r="B85" s="9"/>
      <c r="C85" s="10" t="str">
        <f t="shared" ref="C85:C86" si="16">UPPER(I85)</f>
        <v/>
      </c>
      <c r="D85" s="9"/>
      <c r="E85" s="9" t="str">
        <f t="shared" si="15"/>
        <v/>
      </c>
      <c r="F85" s="9"/>
      <c r="G85" s="3"/>
      <c r="H85" s="20"/>
      <c r="I85" s="21"/>
      <c r="J85" s="20"/>
      <c r="K85" s="13"/>
      <c r="L85" s="3"/>
      <c r="M85" s="8"/>
      <c r="N85" s="3"/>
      <c r="O85" s="8"/>
      <c r="P85" s="3"/>
      <c r="Q85" s="3"/>
      <c r="R85" s="3"/>
    </row>
    <row r="86" spans="1:18">
      <c r="A86" s="14"/>
      <c r="B86" s="9"/>
      <c r="C86" s="10" t="str">
        <f t="shared" si="16"/>
        <v>SET DESIGN</v>
      </c>
      <c r="D86" s="9"/>
      <c r="E86" s="9" t="str">
        <f t="shared" si="15"/>
        <v>BOMI KIM</v>
      </c>
      <c r="F86" s="9"/>
      <c r="G86" s="3"/>
      <c r="H86" s="20"/>
      <c r="I86" s="21" t="s">
        <v>198</v>
      </c>
      <c r="J86" s="20"/>
      <c r="K86" s="13" t="s">
        <v>199</v>
      </c>
      <c r="L86" s="3"/>
      <c r="M86" s="8"/>
      <c r="N86" s="3"/>
      <c r="O86" s="8" t="s">
        <v>814</v>
      </c>
      <c r="P86" s="3"/>
      <c r="Q86" s="3" t="s">
        <v>815</v>
      </c>
      <c r="R86" s="3"/>
    </row>
    <row r="87" spans="1:18">
      <c r="A87" s="14"/>
      <c r="B87" s="9"/>
      <c r="C87" s="10"/>
      <c r="D87" s="9"/>
      <c r="E87" s="9" t="str">
        <f t="shared" si="15"/>
        <v>CHANGRAE BAEK</v>
      </c>
      <c r="F87" s="9"/>
      <c r="G87" s="3"/>
      <c r="H87" s="20"/>
      <c r="I87" s="21"/>
      <c r="J87" s="20"/>
      <c r="K87" s="3" t="s">
        <v>200</v>
      </c>
      <c r="L87" s="3"/>
      <c r="M87" s="8"/>
      <c r="N87" s="3"/>
      <c r="O87" s="3"/>
      <c r="P87" s="3"/>
      <c r="Q87" s="3" t="s">
        <v>816</v>
      </c>
      <c r="R87" s="3"/>
    </row>
    <row r="88" spans="1:18">
      <c r="A88" s="14"/>
      <c r="B88" s="9"/>
      <c r="C88" s="10"/>
      <c r="D88" s="9"/>
      <c r="E88" s="9" t="str">
        <f t="shared" si="15"/>
        <v>SUNYOUNG PARK</v>
      </c>
      <c r="F88" s="9"/>
      <c r="G88" s="3"/>
      <c r="H88" s="20"/>
      <c r="I88" s="21"/>
      <c r="J88" s="20"/>
      <c r="K88" s="3" t="s">
        <v>201</v>
      </c>
      <c r="L88" s="3"/>
      <c r="M88" s="8"/>
      <c r="N88" s="3"/>
      <c r="O88" s="3"/>
      <c r="P88" s="3"/>
      <c r="Q88" s="3" t="s">
        <v>817</v>
      </c>
      <c r="R88" s="3"/>
    </row>
    <row r="89" spans="1:18">
      <c r="A89" s="14"/>
      <c r="B89" s="9"/>
      <c r="C89" s="10"/>
      <c r="D89" s="9"/>
      <c r="E89" s="9" t="str">
        <f t="shared" si="15"/>
        <v/>
      </c>
      <c r="F89" s="9"/>
      <c r="G89" s="3"/>
      <c r="H89" s="20"/>
      <c r="I89" s="21"/>
      <c r="J89" s="20"/>
      <c r="K89" s="3"/>
      <c r="L89" s="3"/>
      <c r="M89" s="8"/>
      <c r="N89" s="3"/>
      <c r="O89" s="3"/>
      <c r="P89" s="3"/>
      <c r="Q89" s="3"/>
      <c r="R89" s="3"/>
    </row>
    <row r="90" spans="1:18">
      <c r="A90" s="14"/>
      <c r="B90" s="9"/>
      <c r="C90" s="10" t="str">
        <f>UPPER(I90)</f>
        <v/>
      </c>
      <c r="D90" s="9"/>
      <c r="E90" s="9" t="str">
        <f t="shared" si="15"/>
        <v/>
      </c>
      <c r="F90" s="9"/>
      <c r="G90" s="3"/>
      <c r="H90" s="20"/>
      <c r="I90" s="21"/>
      <c r="J90" s="20"/>
      <c r="K90" s="13"/>
      <c r="L90" s="3"/>
      <c r="M90" s="8"/>
      <c r="N90" s="8"/>
      <c r="O90" s="3"/>
      <c r="P90" s="3"/>
      <c r="Q90" s="3"/>
      <c r="R90" s="3"/>
    </row>
    <row r="91" spans="1:18">
      <c r="A91" s="14"/>
      <c r="B91" s="146" t="str">
        <f>UPPER(H91)</f>
        <v>THE MONK STUDIOS</v>
      </c>
      <c r="C91" s="141"/>
      <c r="D91" s="141"/>
      <c r="E91" s="141"/>
      <c r="F91" s="141"/>
      <c r="G91" s="3"/>
      <c r="H91" s="147" t="s">
        <v>202</v>
      </c>
      <c r="I91" s="141"/>
      <c r="J91" s="141"/>
      <c r="K91" s="141"/>
      <c r="L91" s="141"/>
      <c r="M91" s="8"/>
      <c r="N91" s="147" t="s">
        <v>202</v>
      </c>
      <c r="O91" s="141"/>
      <c r="P91" s="141"/>
      <c r="Q91" s="141"/>
      <c r="R91" s="141"/>
    </row>
    <row r="92" spans="1:18">
      <c r="A92" s="14"/>
      <c r="B92" s="9"/>
      <c r="C92" s="10"/>
      <c r="D92" s="9"/>
      <c r="E92" s="9"/>
      <c r="F92" s="9"/>
      <c r="G92" s="3"/>
      <c r="H92" s="20"/>
      <c r="I92" s="30"/>
      <c r="J92" s="20"/>
      <c r="K92" s="31"/>
      <c r="L92" s="3"/>
      <c r="M92" s="8"/>
      <c r="N92" s="8"/>
      <c r="O92" s="21"/>
      <c r="P92" s="3"/>
      <c r="Q92" s="3"/>
      <c r="R92" s="3"/>
    </row>
    <row r="93" spans="1:18">
      <c r="A93" s="14"/>
      <c r="B93" s="9"/>
      <c r="C93" s="10" t="str">
        <f t="shared" ref="C93:C96" si="17">UPPER(I93)</f>
        <v>CONCEPT ARTIST</v>
      </c>
      <c r="D93" s="9"/>
      <c r="E93" s="9" t="str">
        <f t="shared" ref="E93:E96" si="18">UPPER(K93)</f>
        <v>WANICHAYA TANGSUTTHIWONG</v>
      </c>
      <c r="F93" s="9"/>
      <c r="G93" s="3"/>
      <c r="H93" s="20"/>
      <c r="I93" s="30" t="s">
        <v>203</v>
      </c>
      <c r="J93" s="20"/>
      <c r="K93" s="22" t="s">
        <v>204</v>
      </c>
      <c r="L93" s="3"/>
      <c r="M93" s="8"/>
      <c r="N93" s="8"/>
      <c r="O93" s="44" t="s">
        <v>203</v>
      </c>
      <c r="P93" s="3"/>
      <c r="Q93" s="22" t="s">
        <v>204</v>
      </c>
      <c r="R93" s="3"/>
    </row>
    <row r="94" spans="1:18">
      <c r="A94" s="14"/>
      <c r="B94" s="9"/>
      <c r="C94" s="10" t="str">
        <f t="shared" si="17"/>
        <v/>
      </c>
      <c r="D94" s="9"/>
      <c r="E94" s="9" t="str">
        <f t="shared" si="18"/>
        <v>PAKORN THONGKWANJAI</v>
      </c>
      <c r="F94" s="9"/>
      <c r="G94" s="3"/>
      <c r="H94" s="20"/>
      <c r="I94" s="21"/>
      <c r="J94" s="20"/>
      <c r="K94" s="31" t="s">
        <v>205</v>
      </c>
      <c r="L94" s="3"/>
      <c r="M94" s="8"/>
      <c r="N94" s="8"/>
      <c r="O94" s="21"/>
      <c r="P94" s="3"/>
      <c r="Q94" s="31" t="s">
        <v>205</v>
      </c>
      <c r="R94" s="3"/>
    </row>
    <row r="95" spans="1:18">
      <c r="A95" s="14"/>
      <c r="B95" s="9"/>
      <c r="C95" s="10" t="str">
        <f t="shared" si="17"/>
        <v/>
      </c>
      <c r="D95" s="9"/>
      <c r="E95" s="9" t="str">
        <f t="shared" si="18"/>
        <v>SURACHART YAMKUNTONG</v>
      </c>
      <c r="F95" s="9"/>
      <c r="G95" s="3"/>
      <c r="H95" s="20"/>
      <c r="I95" s="21"/>
      <c r="J95" s="20"/>
      <c r="K95" s="31" t="s">
        <v>206</v>
      </c>
      <c r="L95" s="3"/>
      <c r="M95" s="8"/>
      <c r="N95" s="8"/>
      <c r="O95" s="21"/>
      <c r="P95" s="3"/>
      <c r="Q95" s="31" t="s">
        <v>206</v>
      </c>
      <c r="R95" s="3"/>
    </row>
    <row r="96" spans="1:18">
      <c r="A96" s="14"/>
      <c r="B96" s="9"/>
      <c r="C96" s="10" t="str">
        <f t="shared" si="17"/>
        <v/>
      </c>
      <c r="D96" s="9"/>
      <c r="E96" s="9" t="str">
        <f t="shared" si="18"/>
        <v>BURATOUCH THONGPHISITSOMBAT</v>
      </c>
      <c r="F96" s="9"/>
      <c r="G96" s="3"/>
      <c r="H96" s="20"/>
      <c r="I96" s="21"/>
      <c r="J96" s="20"/>
      <c r="K96" s="31" t="s">
        <v>207</v>
      </c>
      <c r="L96" s="3"/>
      <c r="M96" s="8"/>
      <c r="N96" s="8"/>
      <c r="O96" s="21"/>
      <c r="P96" s="3"/>
      <c r="Q96" s="31" t="s">
        <v>207</v>
      </c>
      <c r="R96" s="3"/>
    </row>
    <row r="97" spans="1:18">
      <c r="A97" s="14"/>
      <c r="B97" s="9"/>
      <c r="C97" s="10"/>
      <c r="D97" s="9"/>
      <c r="E97" s="9"/>
      <c r="F97" s="9"/>
      <c r="G97" s="3"/>
      <c r="H97" s="20"/>
      <c r="I97" s="21"/>
      <c r="J97" s="20"/>
      <c r="K97" s="31"/>
      <c r="L97" s="3"/>
      <c r="M97" s="8"/>
      <c r="N97" s="8"/>
      <c r="O97" s="21"/>
      <c r="P97" s="3"/>
      <c r="Q97" s="3"/>
      <c r="R97" s="3"/>
    </row>
    <row r="98" spans="1:18">
      <c r="A98" s="14"/>
      <c r="B98" s="26"/>
      <c r="C98" s="26"/>
      <c r="D98" s="26"/>
      <c r="E98" s="26"/>
      <c r="F98" s="26"/>
      <c r="G98" s="3"/>
      <c r="H98" s="15"/>
      <c r="I98" s="16"/>
      <c r="J98" s="15"/>
      <c r="K98" s="33"/>
      <c r="L98" s="5"/>
      <c r="M98" s="8"/>
      <c r="N98" s="8"/>
      <c r="O98" s="21"/>
      <c r="P98" s="3"/>
      <c r="Q98" s="3"/>
      <c r="R98" s="3"/>
    </row>
    <row r="99" spans="1:18">
      <c r="A99" s="14"/>
      <c r="B99" s="6"/>
      <c r="C99" s="6"/>
      <c r="D99" s="6"/>
      <c r="E99" s="6"/>
      <c r="F99" s="6"/>
      <c r="G99" s="3"/>
      <c r="H99" s="15"/>
      <c r="I99" s="16"/>
      <c r="J99" s="15"/>
      <c r="K99" s="33"/>
      <c r="L99" s="5"/>
      <c r="M99" s="8"/>
      <c r="N99" s="8"/>
      <c r="O99" s="21"/>
      <c r="P99" s="3"/>
      <c r="Q99" s="3"/>
      <c r="R99" s="3"/>
    </row>
    <row r="100" spans="1:18">
      <c r="A100" s="14"/>
      <c r="B100" s="150" t="str">
        <f>UPPER(H100)</f>
        <v xml:space="preserve">ASSET </v>
      </c>
      <c r="C100" s="141"/>
      <c r="D100" s="141"/>
      <c r="E100" s="141"/>
      <c r="F100" s="141"/>
      <c r="G100" s="28"/>
      <c r="H100" s="148" t="s">
        <v>208</v>
      </c>
      <c r="I100" s="141"/>
      <c r="J100" s="141"/>
      <c r="K100" s="141"/>
      <c r="L100" s="141"/>
      <c r="M100" s="29"/>
      <c r="N100" s="149" t="s">
        <v>818</v>
      </c>
      <c r="O100" s="141"/>
      <c r="P100" s="141"/>
      <c r="Q100" s="141"/>
      <c r="R100" s="141"/>
    </row>
    <row r="101" spans="1:18">
      <c r="A101" s="14"/>
      <c r="B101" s="9"/>
      <c r="C101" s="10" t="str">
        <f t="shared" ref="C101:C109" si="19">UPPER(I101)</f>
        <v>ASSET SUPERVISOR</v>
      </c>
      <c r="D101" s="9"/>
      <c r="E101" s="9" t="str">
        <f t="shared" ref="E101:E109" si="20">UPPER(K101)</f>
        <v>SANGWOO NAM</v>
      </c>
      <c r="F101" s="9"/>
      <c r="G101" s="3"/>
      <c r="H101" s="20"/>
      <c r="I101" s="21" t="s">
        <v>209</v>
      </c>
      <c r="J101" s="20"/>
      <c r="K101" s="3" t="s">
        <v>210</v>
      </c>
      <c r="L101" s="3"/>
      <c r="M101" s="8"/>
      <c r="N101" s="3"/>
      <c r="O101" s="8" t="s">
        <v>819</v>
      </c>
      <c r="P101" s="3"/>
      <c r="Q101" s="3" t="s">
        <v>820</v>
      </c>
      <c r="R101" s="3"/>
    </row>
    <row r="102" spans="1:18">
      <c r="A102" s="14"/>
      <c r="B102" s="9"/>
      <c r="C102" s="10" t="str">
        <f t="shared" si="19"/>
        <v/>
      </c>
      <c r="D102" s="9"/>
      <c r="E102" s="9" t="str">
        <f t="shared" si="20"/>
        <v/>
      </c>
      <c r="F102" s="9"/>
      <c r="G102" s="3"/>
      <c r="H102" s="20"/>
      <c r="I102" s="21"/>
      <c r="J102" s="20"/>
      <c r="K102" s="3"/>
      <c r="L102" s="3"/>
      <c r="M102" s="8"/>
      <c r="N102" s="3"/>
      <c r="O102" s="8"/>
      <c r="P102" s="3"/>
      <c r="Q102" s="3"/>
      <c r="R102" s="3"/>
    </row>
    <row r="103" spans="1:18">
      <c r="A103" s="14"/>
      <c r="B103" s="9"/>
      <c r="C103" s="10" t="str">
        <f t="shared" si="19"/>
        <v>MODELING SUPERVISOR</v>
      </c>
      <c r="D103" s="9"/>
      <c r="E103" s="9" t="str">
        <f t="shared" si="20"/>
        <v>TEAYOUNG KIM</v>
      </c>
      <c r="F103" s="9"/>
      <c r="G103" s="3"/>
      <c r="H103" s="20"/>
      <c r="I103" s="21" t="s">
        <v>211</v>
      </c>
      <c r="J103" s="20"/>
      <c r="K103" s="3" t="s">
        <v>212</v>
      </c>
      <c r="L103" s="3"/>
      <c r="M103" s="8"/>
      <c r="N103" s="3"/>
      <c r="O103" s="8" t="s">
        <v>821</v>
      </c>
      <c r="P103" s="3"/>
      <c r="Q103" s="3" t="s">
        <v>822</v>
      </c>
      <c r="R103" s="3"/>
    </row>
    <row r="104" spans="1:18">
      <c r="A104" s="14"/>
      <c r="B104" s="9"/>
      <c r="C104" s="10" t="str">
        <f t="shared" si="19"/>
        <v/>
      </c>
      <c r="D104" s="9"/>
      <c r="E104" s="9" t="str">
        <f t="shared" si="20"/>
        <v>JUNGYUN HA</v>
      </c>
      <c r="F104" s="9"/>
      <c r="G104" s="3"/>
      <c r="H104" s="20"/>
      <c r="I104" s="21"/>
      <c r="J104" s="20"/>
      <c r="K104" s="3" t="s">
        <v>213</v>
      </c>
      <c r="L104" s="3"/>
      <c r="M104" s="8"/>
      <c r="N104" s="3"/>
      <c r="O104" s="8"/>
      <c r="P104" s="3"/>
      <c r="Q104" s="3" t="s">
        <v>823</v>
      </c>
      <c r="R104" s="3"/>
    </row>
    <row r="105" spans="1:18">
      <c r="A105" s="14"/>
      <c r="B105" s="9"/>
      <c r="C105" s="10" t="str">
        <f t="shared" si="19"/>
        <v/>
      </c>
      <c r="D105" s="9"/>
      <c r="E105" s="9" t="str">
        <f t="shared" si="20"/>
        <v>KIPYO KIM</v>
      </c>
      <c r="F105" s="9"/>
      <c r="G105" s="3"/>
      <c r="H105" s="20"/>
      <c r="I105" s="21"/>
      <c r="J105" s="20"/>
      <c r="K105" s="3" t="s">
        <v>214</v>
      </c>
      <c r="L105" s="3"/>
      <c r="M105" s="8"/>
      <c r="N105" s="3"/>
      <c r="O105" s="8"/>
      <c r="P105" s="3"/>
      <c r="Q105" s="3" t="s">
        <v>824</v>
      </c>
      <c r="R105" s="3"/>
    </row>
    <row r="106" spans="1:18">
      <c r="A106" s="14"/>
      <c r="B106" s="9"/>
      <c r="C106" s="10" t="str">
        <f t="shared" si="19"/>
        <v/>
      </c>
      <c r="D106" s="9"/>
      <c r="E106" s="9" t="str">
        <f t="shared" si="20"/>
        <v/>
      </c>
      <c r="F106" s="9"/>
      <c r="G106" s="3"/>
      <c r="H106" s="20"/>
      <c r="I106" s="21"/>
      <c r="J106" s="20"/>
      <c r="K106" s="3"/>
      <c r="L106" s="3"/>
      <c r="M106" s="8"/>
      <c r="N106" s="3"/>
      <c r="O106" s="8"/>
      <c r="P106" s="3"/>
      <c r="Q106" s="3"/>
      <c r="R106" s="3"/>
    </row>
    <row r="107" spans="1:18">
      <c r="A107" s="14"/>
      <c r="B107" s="9"/>
      <c r="C107" s="10" t="str">
        <f t="shared" si="19"/>
        <v>LOOKDEV ARTIST</v>
      </c>
      <c r="D107" s="9"/>
      <c r="E107" s="9" t="str">
        <f t="shared" si="20"/>
        <v>YEONJU LEE</v>
      </c>
      <c r="F107" s="9"/>
      <c r="G107" s="3"/>
      <c r="H107" s="20"/>
      <c r="I107" s="21" t="s">
        <v>215</v>
      </c>
      <c r="J107" s="20"/>
      <c r="K107" s="3" t="s">
        <v>216</v>
      </c>
      <c r="L107" s="3"/>
      <c r="M107" s="8"/>
      <c r="N107" s="3"/>
      <c r="O107" s="8" t="s">
        <v>825</v>
      </c>
      <c r="P107" s="3"/>
      <c r="Q107" s="3" t="s">
        <v>826</v>
      </c>
      <c r="R107" s="3"/>
    </row>
    <row r="108" spans="1:18">
      <c r="A108" s="14"/>
      <c r="B108" s="9"/>
      <c r="C108" s="10" t="str">
        <f t="shared" si="19"/>
        <v/>
      </c>
      <c r="D108" s="9"/>
      <c r="E108" s="9" t="str">
        <f t="shared" si="20"/>
        <v/>
      </c>
      <c r="F108" s="9"/>
      <c r="G108" s="3"/>
      <c r="H108" s="20"/>
      <c r="I108" s="21"/>
      <c r="J108" s="20"/>
      <c r="K108" s="3"/>
      <c r="L108" s="3"/>
      <c r="M108" s="3"/>
      <c r="N108" s="3"/>
      <c r="O108" s="8"/>
      <c r="P108" s="3"/>
      <c r="Q108" s="3"/>
      <c r="R108" s="3"/>
    </row>
    <row r="109" spans="1:18">
      <c r="A109" s="14"/>
      <c r="B109" s="9"/>
      <c r="C109" s="10" t="str">
        <f t="shared" si="19"/>
        <v>RIGGING</v>
      </c>
      <c r="D109" s="9"/>
      <c r="E109" s="9" t="str">
        <f t="shared" si="20"/>
        <v>MINJU YOO</v>
      </c>
      <c r="F109" s="9"/>
      <c r="G109" s="3"/>
      <c r="H109" s="20"/>
      <c r="I109" s="21" t="s">
        <v>217</v>
      </c>
      <c r="J109" s="20"/>
      <c r="K109" s="3" t="s">
        <v>218</v>
      </c>
      <c r="L109" s="3"/>
      <c r="M109" s="8"/>
      <c r="N109" s="3"/>
      <c r="O109" s="8" t="s">
        <v>827</v>
      </c>
      <c r="P109" s="3"/>
      <c r="Q109" s="3" t="s">
        <v>828</v>
      </c>
      <c r="R109" s="3"/>
    </row>
    <row r="110" spans="1:18">
      <c r="A110" s="14"/>
      <c r="B110" s="9"/>
      <c r="C110" s="10"/>
      <c r="D110" s="9"/>
      <c r="E110" s="9"/>
      <c r="F110" s="9"/>
      <c r="G110" s="3"/>
      <c r="H110" s="20"/>
      <c r="I110" s="21"/>
      <c r="J110" s="20"/>
      <c r="K110" s="3"/>
      <c r="L110" s="3"/>
      <c r="M110" s="8"/>
      <c r="N110" s="2"/>
      <c r="O110" s="36"/>
      <c r="P110" s="2"/>
      <c r="Q110" s="2"/>
      <c r="R110" s="2"/>
    </row>
    <row r="111" spans="1:18">
      <c r="A111" s="14"/>
      <c r="B111" s="11"/>
      <c r="C111" s="12" t="str">
        <f>UPPER(I111)</f>
        <v/>
      </c>
      <c r="D111" s="11"/>
      <c r="E111" s="11" t="str">
        <f>UPPER(K111)</f>
        <v/>
      </c>
      <c r="F111" s="11"/>
      <c r="G111" s="3"/>
      <c r="H111" s="20"/>
      <c r="J111" s="20"/>
      <c r="K111" s="3"/>
      <c r="L111" s="3"/>
      <c r="M111" s="8"/>
      <c r="N111" s="2"/>
      <c r="O111" s="2"/>
      <c r="P111" s="2"/>
      <c r="Q111" s="2"/>
      <c r="R111" s="2"/>
    </row>
    <row r="112" spans="1:18">
      <c r="A112" s="14"/>
      <c r="B112" s="9"/>
      <c r="C112" s="10"/>
      <c r="D112" s="9"/>
      <c r="E112" s="9"/>
      <c r="F112" s="9"/>
      <c r="G112" s="3"/>
      <c r="H112" s="20"/>
      <c r="J112" s="20"/>
      <c r="K112" s="3"/>
      <c r="L112" s="3"/>
      <c r="M112" s="8"/>
      <c r="N112" s="2"/>
      <c r="O112" s="36"/>
      <c r="P112" s="2"/>
      <c r="Q112" s="2"/>
      <c r="R112" s="2"/>
    </row>
    <row r="113" spans="1:18">
      <c r="A113" s="14"/>
      <c r="B113" s="150" t="str">
        <f t="shared" ref="B113:B114" si="21">UPPER(H113)</f>
        <v xml:space="preserve">ASSET </v>
      </c>
      <c r="C113" s="141"/>
      <c r="D113" s="141"/>
      <c r="E113" s="141"/>
      <c r="F113" s="141"/>
      <c r="G113" s="28"/>
      <c r="H113" s="148" t="s">
        <v>208</v>
      </c>
      <c r="I113" s="141"/>
      <c r="J113" s="141"/>
      <c r="K113" s="141"/>
      <c r="L113" s="141"/>
      <c r="M113" s="8"/>
      <c r="N113" s="149" t="s">
        <v>818</v>
      </c>
      <c r="O113" s="141"/>
      <c r="P113" s="141"/>
      <c r="Q113" s="141"/>
      <c r="R113" s="141"/>
    </row>
    <row r="114" spans="1:18">
      <c r="A114" s="14"/>
      <c r="B114" s="146" t="str">
        <f t="shared" si="21"/>
        <v>THE MONK STUDIOS</v>
      </c>
      <c r="C114" s="141"/>
      <c r="D114" s="141"/>
      <c r="E114" s="141"/>
      <c r="F114" s="141"/>
      <c r="G114" s="3"/>
      <c r="H114" s="147" t="s">
        <v>202</v>
      </c>
      <c r="I114" s="141"/>
      <c r="J114" s="141"/>
      <c r="K114" s="141"/>
      <c r="L114" s="141"/>
      <c r="M114" s="8"/>
      <c r="N114" s="147" t="s">
        <v>202</v>
      </c>
      <c r="O114" s="141"/>
      <c r="P114" s="141"/>
      <c r="Q114" s="141"/>
      <c r="R114" s="141"/>
    </row>
    <row r="115" spans="1:18">
      <c r="A115" s="14"/>
      <c r="B115" s="9"/>
      <c r="C115" s="10"/>
      <c r="D115" s="9"/>
      <c r="E115" s="9"/>
      <c r="F115" s="9"/>
      <c r="G115" s="3"/>
      <c r="H115" s="20"/>
      <c r="I115" s="21"/>
      <c r="K115" s="34"/>
      <c r="L115" s="2"/>
      <c r="N115" s="2"/>
      <c r="O115" s="2"/>
      <c r="P115" s="2"/>
      <c r="Q115" s="2"/>
      <c r="R115" s="2"/>
    </row>
    <row r="116" spans="1:18">
      <c r="A116" s="14"/>
      <c r="B116" s="9"/>
      <c r="C116" s="10" t="str">
        <f t="shared" ref="C116:C133" si="22">UPPER(I116)</f>
        <v>ASSET SUPERVISOR</v>
      </c>
      <c r="D116" s="9"/>
      <c r="E116" s="9" t="str">
        <f t="shared" ref="E116:E136" si="23">UPPER(K116)</f>
        <v>ATTAPORN KANJANASAHAS</v>
      </c>
      <c r="F116" s="9"/>
      <c r="G116" s="3"/>
      <c r="H116" s="20"/>
      <c r="I116" s="21" t="s">
        <v>209</v>
      </c>
      <c r="K116" s="34" t="s">
        <v>219</v>
      </c>
      <c r="L116" s="2"/>
      <c r="N116" s="2"/>
      <c r="O116" s="21" t="s">
        <v>209</v>
      </c>
      <c r="Q116" s="34" t="s">
        <v>219</v>
      </c>
      <c r="R116" s="2"/>
    </row>
    <row r="117" spans="1:18">
      <c r="A117" s="14"/>
      <c r="B117" s="9"/>
      <c r="C117" s="10" t="str">
        <f t="shared" si="22"/>
        <v/>
      </c>
      <c r="D117" s="9"/>
      <c r="E117" s="9" t="str">
        <f t="shared" si="23"/>
        <v/>
      </c>
      <c r="F117" s="9"/>
      <c r="G117" s="3"/>
      <c r="H117" s="20"/>
      <c r="K117" s="35"/>
      <c r="L117" s="2"/>
      <c r="N117" s="2"/>
      <c r="Q117" s="35"/>
      <c r="R117" s="2"/>
    </row>
    <row r="118" spans="1:18">
      <c r="A118" s="14"/>
      <c r="B118" s="9"/>
      <c r="C118" s="10" t="str">
        <f t="shared" si="22"/>
        <v>MODEL SUPERVISOR</v>
      </c>
      <c r="D118" s="9"/>
      <c r="E118" s="9" t="str">
        <f t="shared" si="23"/>
        <v>THANITTHA PROMPATIMA</v>
      </c>
      <c r="F118" s="9"/>
      <c r="G118" s="3"/>
      <c r="H118" s="20"/>
      <c r="I118" s="36" t="s">
        <v>220</v>
      </c>
      <c r="J118" s="20"/>
      <c r="K118" s="37" t="s">
        <v>221</v>
      </c>
      <c r="L118" s="3"/>
      <c r="M118" s="8"/>
      <c r="N118" s="8"/>
      <c r="O118" s="36" t="s">
        <v>220</v>
      </c>
      <c r="P118" s="20"/>
      <c r="Q118" s="37" t="s">
        <v>221</v>
      </c>
      <c r="R118" s="3"/>
    </row>
    <row r="119" spans="1:18">
      <c r="A119" s="14"/>
      <c r="B119" s="9"/>
      <c r="C119" s="10" t="str">
        <f t="shared" si="22"/>
        <v/>
      </c>
      <c r="D119" s="9"/>
      <c r="E119" s="9" t="str">
        <f t="shared" si="23"/>
        <v/>
      </c>
      <c r="F119" s="9"/>
      <c r="G119" s="3"/>
      <c r="H119" s="20"/>
      <c r="I119" s="36"/>
      <c r="J119" s="20"/>
      <c r="K119" s="37"/>
      <c r="L119" s="3"/>
      <c r="M119" s="8"/>
      <c r="N119" s="8"/>
      <c r="O119" s="36"/>
      <c r="P119" s="20"/>
      <c r="Q119" s="37"/>
      <c r="R119" s="3"/>
    </row>
    <row r="120" spans="1:18">
      <c r="A120" s="14"/>
      <c r="B120" s="9"/>
      <c r="C120" s="10" t="str">
        <f t="shared" si="22"/>
        <v>MODELER LEADER</v>
      </c>
      <c r="D120" s="9"/>
      <c r="E120" s="9" t="str">
        <f t="shared" si="23"/>
        <v>YANNAKRON WONGPHUN</v>
      </c>
      <c r="F120" s="9"/>
      <c r="G120" s="3"/>
      <c r="H120" s="20"/>
      <c r="I120" s="36" t="s">
        <v>222</v>
      </c>
      <c r="J120" s="20"/>
      <c r="K120" s="37" t="s">
        <v>223</v>
      </c>
      <c r="L120" s="3"/>
      <c r="M120" s="8"/>
      <c r="N120" s="8"/>
      <c r="O120" s="36" t="s">
        <v>222</v>
      </c>
      <c r="P120" s="20"/>
      <c r="Q120" s="37" t="s">
        <v>223</v>
      </c>
      <c r="R120" s="3"/>
    </row>
    <row r="121" spans="1:18">
      <c r="A121" s="14"/>
      <c r="B121" s="9"/>
      <c r="C121" s="10" t="str">
        <f t="shared" si="22"/>
        <v/>
      </c>
      <c r="D121" s="9"/>
      <c r="E121" s="9" t="str">
        <f t="shared" si="23"/>
        <v>CHANATITH TAWANMAI</v>
      </c>
      <c r="F121" s="9"/>
      <c r="G121" s="3"/>
      <c r="H121" s="20"/>
      <c r="I121" s="36"/>
      <c r="J121" s="20"/>
      <c r="K121" s="37" t="s">
        <v>224</v>
      </c>
      <c r="L121" s="3"/>
      <c r="M121" s="8"/>
      <c r="N121" s="8"/>
      <c r="O121" s="36"/>
      <c r="P121" s="20"/>
      <c r="Q121" s="37" t="s">
        <v>224</v>
      </c>
      <c r="R121" s="3"/>
    </row>
    <row r="122" spans="1:18">
      <c r="A122" s="14"/>
      <c r="B122" s="9"/>
      <c r="C122" s="10" t="str">
        <f t="shared" si="22"/>
        <v/>
      </c>
      <c r="D122" s="9"/>
      <c r="E122" s="9" t="str">
        <f t="shared" si="23"/>
        <v/>
      </c>
      <c r="F122" s="9"/>
      <c r="G122" s="3"/>
      <c r="H122" s="20"/>
      <c r="I122" s="36"/>
      <c r="J122" s="20"/>
      <c r="K122" s="37"/>
      <c r="L122" s="3"/>
      <c r="M122" s="8"/>
      <c r="N122" s="8"/>
      <c r="O122" s="36"/>
      <c r="P122" s="20"/>
      <c r="Q122" s="37"/>
      <c r="R122" s="3"/>
    </row>
    <row r="123" spans="1:18">
      <c r="A123" s="14"/>
      <c r="B123" s="9"/>
      <c r="C123" s="10" t="str">
        <f t="shared" si="22"/>
        <v>MODELER</v>
      </c>
      <c r="D123" s="9"/>
      <c r="E123" s="9" t="str">
        <f t="shared" si="23"/>
        <v>JIRAWAT PANGCHOMPOO</v>
      </c>
      <c r="F123" s="9"/>
      <c r="G123" s="3"/>
      <c r="H123" s="20"/>
      <c r="I123" s="36" t="s">
        <v>225</v>
      </c>
      <c r="J123" s="20"/>
      <c r="K123" s="37" t="s">
        <v>226</v>
      </c>
      <c r="L123" s="3"/>
      <c r="M123" s="8"/>
      <c r="N123" s="8"/>
      <c r="O123" s="36" t="s">
        <v>225</v>
      </c>
      <c r="P123" s="20"/>
      <c r="Q123" s="37" t="s">
        <v>226</v>
      </c>
      <c r="R123" s="3"/>
    </row>
    <row r="124" spans="1:18">
      <c r="A124" s="14"/>
      <c r="B124" s="9"/>
      <c r="C124" s="10" t="str">
        <f t="shared" si="22"/>
        <v/>
      </c>
      <c r="D124" s="9"/>
      <c r="E124" s="9" t="str">
        <f t="shared" si="23"/>
        <v>TEERAWAT PHO-OB</v>
      </c>
      <c r="F124" s="9"/>
      <c r="G124" s="3"/>
      <c r="H124" s="20"/>
      <c r="I124" s="21"/>
      <c r="J124" s="20"/>
      <c r="K124" s="37" t="s">
        <v>227</v>
      </c>
      <c r="L124" s="3"/>
      <c r="M124" s="8"/>
      <c r="N124" s="8"/>
      <c r="O124" s="21"/>
      <c r="P124" s="20"/>
      <c r="Q124" s="37" t="s">
        <v>227</v>
      </c>
      <c r="R124" s="3"/>
    </row>
    <row r="125" spans="1:18">
      <c r="A125" s="14"/>
      <c r="B125" s="9"/>
      <c r="C125" s="10" t="str">
        <f t="shared" si="22"/>
        <v/>
      </c>
      <c r="D125" s="9"/>
      <c r="E125" s="9" t="str">
        <f t="shared" si="23"/>
        <v>SUPACHOCK NUAMTHONG</v>
      </c>
      <c r="F125" s="9"/>
      <c r="G125" s="3"/>
      <c r="H125" s="20"/>
      <c r="I125" s="21"/>
      <c r="J125" s="20"/>
      <c r="K125" s="37" t="s">
        <v>228</v>
      </c>
      <c r="L125" s="3"/>
      <c r="M125" s="8"/>
      <c r="N125" s="8"/>
      <c r="O125" s="21"/>
      <c r="P125" s="20"/>
      <c r="Q125" s="37" t="s">
        <v>228</v>
      </c>
      <c r="R125" s="3"/>
    </row>
    <row r="126" spans="1:18">
      <c r="A126" s="14"/>
      <c r="B126" s="9"/>
      <c r="C126" s="10" t="str">
        <f t="shared" si="22"/>
        <v/>
      </c>
      <c r="D126" s="9"/>
      <c r="E126" s="9" t="str">
        <f t="shared" si="23"/>
        <v>VIPHADA KARNJANAWARIT</v>
      </c>
      <c r="F126" s="9"/>
      <c r="G126" s="3"/>
      <c r="H126" s="20"/>
      <c r="I126" s="21"/>
      <c r="J126" s="20"/>
      <c r="K126" s="37" t="s">
        <v>229</v>
      </c>
      <c r="L126" s="3"/>
      <c r="M126" s="8"/>
      <c r="N126" s="8"/>
      <c r="O126" s="21"/>
      <c r="P126" s="20"/>
      <c r="Q126" s="37" t="s">
        <v>229</v>
      </c>
      <c r="R126" s="3"/>
    </row>
    <row r="127" spans="1:18">
      <c r="A127" s="14"/>
      <c r="B127" s="9"/>
      <c r="C127" s="10" t="str">
        <f t="shared" si="22"/>
        <v/>
      </c>
      <c r="D127" s="9"/>
      <c r="E127" s="9" t="str">
        <f t="shared" si="23"/>
        <v>TEERAKA KONGPAISAND</v>
      </c>
      <c r="F127" s="9"/>
      <c r="G127" s="3"/>
      <c r="H127" s="20"/>
      <c r="I127" s="21"/>
      <c r="J127" s="20"/>
      <c r="K127" s="37" t="s">
        <v>230</v>
      </c>
      <c r="L127" s="3"/>
      <c r="M127" s="8"/>
      <c r="N127" s="8"/>
      <c r="O127" s="21"/>
      <c r="P127" s="20"/>
      <c r="Q127" s="37" t="s">
        <v>230</v>
      </c>
      <c r="R127" s="3"/>
    </row>
    <row r="128" spans="1:18">
      <c r="A128" s="14"/>
      <c r="B128" s="9"/>
      <c r="C128" s="10" t="str">
        <f t="shared" si="22"/>
        <v/>
      </c>
      <c r="D128" s="9"/>
      <c r="E128" s="9" t="str">
        <f t="shared" si="23"/>
        <v>NATCHA NUNTANAJAROENKUL</v>
      </c>
      <c r="F128" s="9"/>
      <c r="G128" s="3"/>
      <c r="H128" s="20"/>
      <c r="I128" s="21"/>
      <c r="J128" s="20"/>
      <c r="K128" s="37" t="s">
        <v>231</v>
      </c>
      <c r="L128" s="3"/>
      <c r="M128" s="8"/>
      <c r="N128" s="8"/>
      <c r="O128" s="21"/>
      <c r="P128" s="20"/>
      <c r="Q128" s="37" t="s">
        <v>231</v>
      </c>
      <c r="R128" s="3"/>
    </row>
    <row r="129" spans="1:18">
      <c r="A129" s="14"/>
      <c r="B129" s="9"/>
      <c r="C129" s="10" t="str">
        <f t="shared" si="22"/>
        <v/>
      </c>
      <c r="D129" s="9"/>
      <c r="E129" s="9" t="str">
        <f t="shared" si="23"/>
        <v>PANUWAT VIVATTANAWONGSIRI</v>
      </c>
      <c r="F129" s="9"/>
      <c r="G129" s="3"/>
      <c r="H129" s="20"/>
      <c r="I129" s="21"/>
      <c r="J129" s="20"/>
      <c r="K129" s="37" t="s">
        <v>232</v>
      </c>
      <c r="L129" s="3"/>
      <c r="M129" s="8"/>
      <c r="N129" s="8"/>
      <c r="O129" s="21"/>
      <c r="P129" s="20"/>
      <c r="Q129" s="37" t="s">
        <v>232</v>
      </c>
      <c r="R129" s="3"/>
    </row>
    <row r="130" spans="1:18">
      <c r="A130" s="14"/>
      <c r="B130" s="9"/>
      <c r="C130" s="10" t="str">
        <f t="shared" si="22"/>
        <v/>
      </c>
      <c r="D130" s="9"/>
      <c r="E130" s="9" t="str">
        <f t="shared" si="23"/>
        <v>KOTCHAWAN PRADITUKRIT</v>
      </c>
      <c r="F130" s="9"/>
      <c r="G130" s="3"/>
      <c r="H130" s="20"/>
      <c r="I130" s="21"/>
      <c r="J130" s="20"/>
      <c r="K130" s="37" t="s">
        <v>233</v>
      </c>
      <c r="L130" s="3"/>
      <c r="M130" s="8"/>
      <c r="N130" s="8"/>
      <c r="O130" s="21"/>
      <c r="P130" s="20"/>
      <c r="Q130" s="37" t="s">
        <v>233</v>
      </c>
      <c r="R130" s="3"/>
    </row>
    <row r="131" spans="1:18">
      <c r="A131" s="14"/>
      <c r="B131" s="9"/>
      <c r="C131" s="10" t="str">
        <f t="shared" si="22"/>
        <v/>
      </c>
      <c r="D131" s="9"/>
      <c r="E131" s="9" t="str">
        <f t="shared" si="23"/>
        <v>SUPAPAK SUKWAN</v>
      </c>
      <c r="F131" s="9"/>
      <c r="G131" s="3"/>
      <c r="H131" s="20"/>
      <c r="I131" s="21"/>
      <c r="J131" s="20"/>
      <c r="K131" s="37" t="s">
        <v>234</v>
      </c>
      <c r="L131" s="3"/>
      <c r="M131" s="8"/>
      <c r="N131" s="8"/>
      <c r="O131" s="21"/>
      <c r="P131" s="20"/>
      <c r="Q131" s="37" t="s">
        <v>234</v>
      </c>
      <c r="R131" s="3"/>
    </row>
    <row r="132" spans="1:18">
      <c r="A132" s="14"/>
      <c r="B132" s="9"/>
      <c r="C132" s="10" t="str">
        <f t="shared" si="22"/>
        <v/>
      </c>
      <c r="D132" s="9"/>
      <c r="E132" s="9" t="str">
        <f t="shared" si="23"/>
        <v>ANURAK WASAENDEE</v>
      </c>
      <c r="F132" s="9"/>
      <c r="G132" s="3"/>
      <c r="H132" s="20"/>
      <c r="I132" s="21"/>
      <c r="J132" s="20"/>
      <c r="K132" s="37" t="s">
        <v>235</v>
      </c>
      <c r="L132" s="3"/>
      <c r="M132" s="8"/>
      <c r="N132" s="8"/>
      <c r="O132" s="21"/>
      <c r="P132" s="20"/>
      <c r="Q132" s="37" t="s">
        <v>235</v>
      </c>
      <c r="R132" s="3"/>
    </row>
    <row r="133" spans="1:18">
      <c r="A133" s="14"/>
      <c r="B133" s="9"/>
      <c r="C133" s="10" t="str">
        <f t="shared" si="22"/>
        <v/>
      </c>
      <c r="D133" s="9"/>
      <c r="E133" s="9" t="str">
        <f t="shared" si="23"/>
        <v>JAKKRIT THANAPHATTHANAKUL</v>
      </c>
      <c r="F133" s="9"/>
      <c r="G133" s="3"/>
      <c r="H133" s="20"/>
      <c r="I133" s="21"/>
      <c r="J133" s="20"/>
      <c r="K133" s="37" t="s">
        <v>236</v>
      </c>
      <c r="L133" s="3"/>
      <c r="M133" s="8"/>
      <c r="N133" s="8"/>
      <c r="O133" s="21"/>
      <c r="P133" s="20"/>
      <c r="Q133" s="37" t="s">
        <v>236</v>
      </c>
      <c r="R133" s="3"/>
    </row>
    <row r="134" spans="1:18">
      <c r="A134" s="14"/>
      <c r="B134" s="9"/>
      <c r="C134" s="10"/>
      <c r="D134" s="9"/>
      <c r="E134" s="9" t="str">
        <f t="shared" si="23"/>
        <v>TANAWAT YORIYA</v>
      </c>
      <c r="F134" s="9"/>
      <c r="G134" s="3"/>
      <c r="H134" s="20"/>
      <c r="I134" s="21"/>
      <c r="J134" s="20"/>
      <c r="K134" s="31" t="s">
        <v>237</v>
      </c>
      <c r="L134" s="3"/>
      <c r="M134" s="8"/>
      <c r="N134" s="8"/>
      <c r="O134" s="21"/>
      <c r="P134" s="20"/>
      <c r="Q134" s="31" t="s">
        <v>237</v>
      </c>
      <c r="R134" s="3"/>
    </row>
    <row r="135" spans="1:18">
      <c r="A135" s="14"/>
      <c r="B135" s="9"/>
      <c r="C135" s="10"/>
      <c r="D135" s="9"/>
      <c r="E135" s="9" t="str">
        <f t="shared" si="23"/>
        <v>WITSANUKORN CHALIAOTHAM</v>
      </c>
      <c r="F135" s="9"/>
      <c r="G135" s="3"/>
      <c r="H135" s="20"/>
      <c r="I135" s="21"/>
      <c r="J135" s="20"/>
      <c r="K135" s="31" t="s">
        <v>238</v>
      </c>
      <c r="L135" s="3"/>
      <c r="M135" s="8"/>
      <c r="N135" s="8"/>
      <c r="O135" s="21"/>
      <c r="P135" s="20"/>
      <c r="Q135" s="31" t="s">
        <v>238</v>
      </c>
      <c r="R135" s="3"/>
    </row>
    <row r="136" spans="1:18">
      <c r="A136" s="14"/>
      <c r="B136" s="9"/>
      <c r="C136" s="10"/>
      <c r="D136" s="9"/>
      <c r="E136" s="9" t="str">
        <f t="shared" si="23"/>
        <v>CHANBHASAKORN MINGSOMPAN</v>
      </c>
      <c r="F136" s="9"/>
      <c r="G136" s="3"/>
      <c r="H136" s="20"/>
      <c r="I136" s="21"/>
      <c r="J136" s="20"/>
      <c r="K136" s="31" t="s">
        <v>239</v>
      </c>
      <c r="L136" s="3"/>
      <c r="M136" s="8"/>
      <c r="N136" s="8"/>
      <c r="O136" s="21"/>
      <c r="P136" s="20"/>
      <c r="Q136" s="31" t="s">
        <v>239</v>
      </c>
      <c r="R136" s="3"/>
    </row>
    <row r="137" spans="1:18">
      <c r="A137" s="14"/>
      <c r="B137" s="9"/>
      <c r="C137" s="10"/>
      <c r="D137" s="9"/>
      <c r="E137" s="9"/>
      <c r="F137" s="9"/>
      <c r="G137" s="3"/>
      <c r="H137" s="20"/>
      <c r="I137" s="21"/>
      <c r="J137" s="20"/>
      <c r="K137" s="37"/>
      <c r="L137" s="3"/>
      <c r="M137" s="8"/>
      <c r="N137" s="8"/>
      <c r="O137" s="21"/>
      <c r="P137" s="3"/>
      <c r="Q137" s="3"/>
      <c r="R137" s="3"/>
    </row>
    <row r="138" spans="1:18">
      <c r="A138" s="14"/>
      <c r="B138" s="11"/>
      <c r="C138" s="12"/>
      <c r="D138" s="11"/>
      <c r="E138" s="11"/>
      <c r="F138" s="11"/>
      <c r="G138" s="3"/>
      <c r="H138" s="20"/>
      <c r="I138" s="21"/>
      <c r="J138" s="20"/>
      <c r="K138" s="31"/>
      <c r="L138" s="3"/>
      <c r="M138" s="8"/>
      <c r="N138" s="8"/>
      <c r="O138" s="21"/>
      <c r="P138" s="3"/>
      <c r="Q138" s="3"/>
      <c r="R138" s="3"/>
    </row>
    <row r="139" spans="1:18">
      <c r="A139" s="14"/>
      <c r="B139" s="9"/>
      <c r="C139" s="10"/>
      <c r="D139" s="9"/>
      <c r="E139" s="9"/>
      <c r="F139" s="9"/>
      <c r="G139" s="3"/>
      <c r="H139" s="20"/>
      <c r="I139" s="21"/>
      <c r="J139" s="20"/>
      <c r="K139" s="31"/>
      <c r="L139" s="3"/>
      <c r="M139" s="8"/>
      <c r="N139" s="8"/>
      <c r="O139" s="21"/>
      <c r="P139" s="3"/>
      <c r="Q139" s="3"/>
      <c r="R139" s="3"/>
    </row>
    <row r="140" spans="1:18">
      <c r="A140" s="14"/>
      <c r="B140" s="150" t="str">
        <f t="shared" ref="B140:B141" si="24">UPPER(H140)</f>
        <v xml:space="preserve">ASSET </v>
      </c>
      <c r="C140" s="141"/>
      <c r="D140" s="141"/>
      <c r="E140" s="141"/>
      <c r="F140" s="141"/>
      <c r="G140" s="28"/>
      <c r="H140" s="148" t="s">
        <v>208</v>
      </c>
      <c r="I140" s="141"/>
      <c r="J140" s="141"/>
      <c r="K140" s="141"/>
      <c r="L140" s="141"/>
      <c r="M140" s="8"/>
      <c r="N140" s="149" t="s">
        <v>818</v>
      </c>
      <c r="O140" s="141"/>
      <c r="P140" s="141"/>
      <c r="Q140" s="141"/>
      <c r="R140" s="141"/>
    </row>
    <row r="141" spans="1:18">
      <c r="A141" s="14"/>
      <c r="B141" s="146" t="str">
        <f t="shared" si="24"/>
        <v>THE MONK STUDIOS</v>
      </c>
      <c r="C141" s="141"/>
      <c r="D141" s="141"/>
      <c r="E141" s="141"/>
      <c r="F141" s="141"/>
      <c r="G141" s="3"/>
      <c r="H141" s="147" t="s">
        <v>202</v>
      </c>
      <c r="I141" s="141"/>
      <c r="J141" s="141"/>
      <c r="K141" s="141"/>
      <c r="L141" s="141"/>
      <c r="M141" s="8"/>
      <c r="N141" s="147" t="s">
        <v>202</v>
      </c>
      <c r="O141" s="141"/>
      <c r="P141" s="141"/>
      <c r="Q141" s="141"/>
      <c r="R141" s="141"/>
    </row>
    <row r="142" spans="1:18">
      <c r="A142" s="14"/>
      <c r="B142" s="38"/>
      <c r="C142" s="38"/>
      <c r="D142" s="38"/>
      <c r="E142" s="38"/>
      <c r="F142" s="38"/>
      <c r="G142" s="3"/>
      <c r="H142" s="15"/>
      <c r="I142" s="15"/>
      <c r="J142" s="15"/>
      <c r="K142" s="5"/>
      <c r="L142" s="15"/>
      <c r="M142" s="3"/>
      <c r="N142" s="15"/>
      <c r="O142" s="15"/>
      <c r="P142" s="15"/>
      <c r="Q142" s="5"/>
      <c r="R142" s="15"/>
    </row>
    <row r="143" spans="1:18">
      <c r="A143" s="14"/>
      <c r="B143" s="9"/>
      <c r="C143" s="10" t="str">
        <f t="shared" ref="C143:C156" si="25">UPPER(I143)</f>
        <v>TEXTURE SUPERVISOR</v>
      </c>
      <c r="D143" s="9"/>
      <c r="E143" s="9" t="str">
        <f t="shared" ref="E143:E156" si="26">UPPER(K143)</f>
        <v>REWAT SIKHEMNGAM</v>
      </c>
      <c r="F143" s="9"/>
      <c r="G143" s="3"/>
      <c r="H143" s="20"/>
      <c r="I143" s="36" t="s">
        <v>240</v>
      </c>
      <c r="J143" s="20"/>
      <c r="K143" s="22" t="s">
        <v>241</v>
      </c>
      <c r="L143" s="3"/>
      <c r="M143" s="8"/>
      <c r="N143" s="20"/>
      <c r="O143" s="36" t="s">
        <v>240</v>
      </c>
      <c r="P143" s="20"/>
      <c r="Q143" s="22" t="s">
        <v>241</v>
      </c>
      <c r="R143" s="3"/>
    </row>
    <row r="144" spans="1:18">
      <c r="A144" s="14"/>
      <c r="B144" s="9"/>
      <c r="C144" s="10" t="str">
        <f t="shared" si="25"/>
        <v/>
      </c>
      <c r="D144" s="9"/>
      <c r="E144" s="9" t="str">
        <f t="shared" si="26"/>
        <v/>
      </c>
      <c r="F144" s="9"/>
      <c r="G144" s="3"/>
      <c r="H144" s="20"/>
      <c r="I144" s="36"/>
      <c r="J144" s="20"/>
      <c r="K144" s="22"/>
      <c r="L144" s="3"/>
      <c r="M144" s="8"/>
      <c r="N144" s="20"/>
      <c r="O144" s="36"/>
      <c r="P144" s="20"/>
      <c r="Q144" s="22"/>
      <c r="R144" s="3"/>
    </row>
    <row r="145" spans="1:18">
      <c r="A145" s="14"/>
      <c r="B145" s="9"/>
      <c r="C145" s="10" t="str">
        <f t="shared" si="25"/>
        <v>TEXTURE LEAD</v>
      </c>
      <c r="D145" s="9"/>
      <c r="E145" s="9" t="str">
        <f t="shared" si="26"/>
        <v>DUANGRUETHAI WONGPHAKHAM</v>
      </c>
      <c r="F145" s="9"/>
      <c r="G145" s="3"/>
      <c r="H145" s="20"/>
      <c r="I145" s="36" t="s">
        <v>242</v>
      </c>
      <c r="J145" s="20"/>
      <c r="K145" s="22" t="s">
        <v>243</v>
      </c>
      <c r="L145" s="3"/>
      <c r="M145" s="8"/>
      <c r="N145" s="20"/>
      <c r="O145" s="36" t="s">
        <v>242</v>
      </c>
      <c r="P145" s="20"/>
      <c r="Q145" s="22" t="s">
        <v>243</v>
      </c>
      <c r="R145" s="3"/>
    </row>
    <row r="146" spans="1:18">
      <c r="A146" s="14"/>
      <c r="B146" s="9"/>
      <c r="C146" s="10" t="str">
        <f t="shared" si="25"/>
        <v/>
      </c>
      <c r="D146" s="9"/>
      <c r="E146" s="9" t="str">
        <f t="shared" si="26"/>
        <v/>
      </c>
      <c r="F146" s="9"/>
      <c r="G146" s="3"/>
      <c r="H146" s="20"/>
      <c r="I146" s="36"/>
      <c r="J146" s="20"/>
      <c r="K146" s="22"/>
      <c r="L146" s="3"/>
      <c r="M146" s="8"/>
      <c r="N146" s="20"/>
      <c r="O146" s="36"/>
      <c r="P146" s="20"/>
      <c r="Q146" s="22"/>
      <c r="R146" s="3"/>
    </row>
    <row r="147" spans="1:18">
      <c r="A147" s="14"/>
      <c r="B147" s="9"/>
      <c r="C147" s="10" t="str">
        <f t="shared" si="25"/>
        <v>TEXTURE ARTIST</v>
      </c>
      <c r="D147" s="9"/>
      <c r="E147" s="9" t="str">
        <f t="shared" si="26"/>
        <v>SURANG PASAMLEE</v>
      </c>
      <c r="F147" s="9"/>
      <c r="G147" s="3"/>
      <c r="H147" s="20"/>
      <c r="I147" s="36" t="s">
        <v>244</v>
      </c>
      <c r="J147" s="20"/>
      <c r="K147" s="22" t="s">
        <v>245</v>
      </c>
      <c r="L147" s="3"/>
      <c r="M147" s="8"/>
      <c r="N147" s="20"/>
      <c r="O147" s="36" t="s">
        <v>244</v>
      </c>
      <c r="P147" s="20"/>
      <c r="Q147" s="22" t="s">
        <v>245</v>
      </c>
      <c r="R147" s="3"/>
    </row>
    <row r="148" spans="1:18">
      <c r="A148" s="14"/>
      <c r="B148" s="9"/>
      <c r="C148" s="10" t="str">
        <f t="shared" si="25"/>
        <v/>
      </c>
      <c r="D148" s="9"/>
      <c r="E148" s="9" t="str">
        <f t="shared" si="26"/>
        <v>RUJIKAN PHENPAIJIT</v>
      </c>
      <c r="F148" s="9"/>
      <c r="G148" s="3"/>
      <c r="H148" s="20"/>
      <c r="I148" s="21"/>
      <c r="J148" s="20"/>
      <c r="K148" s="22" t="s">
        <v>246</v>
      </c>
      <c r="L148" s="3"/>
      <c r="M148" s="8"/>
      <c r="N148" s="20"/>
      <c r="O148" s="21"/>
      <c r="P148" s="20"/>
      <c r="Q148" s="22" t="s">
        <v>246</v>
      </c>
      <c r="R148" s="3"/>
    </row>
    <row r="149" spans="1:18">
      <c r="A149" s="14"/>
      <c r="B149" s="9"/>
      <c r="C149" s="10" t="str">
        <f t="shared" si="25"/>
        <v/>
      </c>
      <c r="D149" s="9"/>
      <c r="E149" s="9" t="str">
        <f t="shared" si="26"/>
        <v>POONNAWAT SANTIYOTHIN</v>
      </c>
      <c r="F149" s="9"/>
      <c r="G149" s="3"/>
      <c r="H149" s="20"/>
      <c r="I149" s="21"/>
      <c r="J149" s="20"/>
      <c r="K149" s="22" t="s">
        <v>247</v>
      </c>
      <c r="L149" s="3"/>
      <c r="M149" s="8"/>
      <c r="N149" s="20"/>
      <c r="O149" s="21"/>
      <c r="P149" s="20"/>
      <c r="Q149" s="22" t="s">
        <v>247</v>
      </c>
      <c r="R149" s="3"/>
    </row>
    <row r="150" spans="1:18">
      <c r="A150" s="14"/>
      <c r="B150" s="9"/>
      <c r="C150" s="10" t="str">
        <f t="shared" si="25"/>
        <v/>
      </c>
      <c r="D150" s="9"/>
      <c r="E150" s="9" t="str">
        <f t="shared" si="26"/>
        <v>NUTCHAYA PUENGPREEDA</v>
      </c>
      <c r="F150" s="9"/>
      <c r="G150" s="3"/>
      <c r="H150" s="20"/>
      <c r="I150" s="21"/>
      <c r="J150" s="20"/>
      <c r="K150" s="22" t="s">
        <v>248</v>
      </c>
      <c r="L150" s="3"/>
      <c r="M150" s="8"/>
      <c r="N150" s="20"/>
      <c r="O150" s="21"/>
      <c r="P150" s="20"/>
      <c r="Q150" s="22" t="s">
        <v>248</v>
      </c>
      <c r="R150" s="3"/>
    </row>
    <row r="151" spans="1:18">
      <c r="A151" s="14"/>
      <c r="B151" s="9"/>
      <c r="C151" s="10" t="str">
        <f t="shared" si="25"/>
        <v/>
      </c>
      <c r="D151" s="9"/>
      <c r="E151" s="9" t="str">
        <f t="shared" si="26"/>
        <v>KANLAYANEE SUWANNABUT</v>
      </c>
      <c r="F151" s="9"/>
      <c r="G151" s="3"/>
      <c r="H151" s="20"/>
      <c r="I151" s="21"/>
      <c r="J151" s="20"/>
      <c r="K151" s="22" t="s">
        <v>249</v>
      </c>
      <c r="L151" s="3"/>
      <c r="M151" s="8"/>
      <c r="N151" s="20"/>
      <c r="O151" s="21"/>
      <c r="P151" s="20"/>
      <c r="Q151" s="22" t="s">
        <v>249</v>
      </c>
      <c r="R151" s="3"/>
    </row>
    <row r="152" spans="1:18">
      <c r="A152" s="14"/>
      <c r="B152" s="9"/>
      <c r="C152" s="10" t="str">
        <f t="shared" si="25"/>
        <v/>
      </c>
      <c r="D152" s="9"/>
      <c r="E152" s="9" t="str">
        <f t="shared" si="26"/>
        <v>THANAWAT SAWATCHITANG</v>
      </c>
      <c r="F152" s="9"/>
      <c r="G152" s="3"/>
      <c r="H152" s="20"/>
      <c r="I152" s="21"/>
      <c r="J152" s="20"/>
      <c r="K152" s="22" t="s">
        <v>250</v>
      </c>
      <c r="L152" s="3"/>
      <c r="M152" s="8"/>
      <c r="N152" s="20"/>
      <c r="O152" s="21"/>
      <c r="P152" s="20"/>
      <c r="Q152" s="22" t="s">
        <v>250</v>
      </c>
      <c r="R152" s="3"/>
    </row>
    <row r="153" spans="1:18">
      <c r="A153" s="14"/>
      <c r="B153" s="9"/>
      <c r="C153" s="10" t="str">
        <f t="shared" si="25"/>
        <v/>
      </c>
      <c r="D153" s="9"/>
      <c r="E153" s="9" t="str">
        <f t="shared" si="26"/>
        <v>NATYADA WANGKAHAT</v>
      </c>
      <c r="F153" s="9"/>
      <c r="G153" s="3"/>
      <c r="H153" s="20"/>
      <c r="I153" s="21"/>
      <c r="J153" s="20"/>
      <c r="K153" s="22" t="s">
        <v>251</v>
      </c>
      <c r="L153" s="3"/>
      <c r="M153" s="8"/>
      <c r="N153" s="20"/>
      <c r="O153" s="21"/>
      <c r="P153" s="20"/>
      <c r="Q153" s="22" t="s">
        <v>251</v>
      </c>
      <c r="R153" s="3"/>
    </row>
    <row r="154" spans="1:18">
      <c r="A154" s="14"/>
      <c r="B154" s="9"/>
      <c r="C154" s="10" t="str">
        <f t="shared" si="25"/>
        <v/>
      </c>
      <c r="D154" s="9"/>
      <c r="E154" s="9" t="str">
        <f t="shared" si="26"/>
        <v>KWANLARB POTJANASUNTORN</v>
      </c>
      <c r="F154" s="9"/>
      <c r="G154" s="3"/>
      <c r="H154" s="20"/>
      <c r="I154" s="21"/>
      <c r="J154" s="20"/>
      <c r="K154" s="22" t="s">
        <v>252</v>
      </c>
      <c r="L154" s="3"/>
      <c r="M154" s="8"/>
      <c r="N154" s="20"/>
      <c r="O154" s="21"/>
      <c r="P154" s="20"/>
      <c r="Q154" s="22" t="s">
        <v>252</v>
      </c>
      <c r="R154" s="3"/>
    </row>
    <row r="155" spans="1:18">
      <c r="A155" s="14"/>
      <c r="B155" s="9"/>
      <c r="C155" s="10" t="str">
        <f t="shared" si="25"/>
        <v/>
      </c>
      <c r="D155" s="9"/>
      <c r="E155" s="9" t="str">
        <f t="shared" si="26"/>
        <v>KLAORAVEE PANPENG</v>
      </c>
      <c r="F155" s="9"/>
      <c r="G155" s="3"/>
      <c r="H155" s="20"/>
      <c r="I155" s="21"/>
      <c r="J155" s="20"/>
      <c r="K155" s="22" t="s">
        <v>253</v>
      </c>
      <c r="L155" s="3"/>
      <c r="M155" s="8"/>
      <c r="N155" s="20"/>
      <c r="O155" s="21"/>
      <c r="P155" s="20"/>
      <c r="Q155" s="22" t="s">
        <v>253</v>
      </c>
      <c r="R155" s="3"/>
    </row>
    <row r="156" spans="1:18">
      <c r="A156" s="14"/>
      <c r="B156" s="9"/>
      <c r="C156" s="10" t="str">
        <f t="shared" si="25"/>
        <v/>
      </c>
      <c r="D156" s="9"/>
      <c r="E156" s="9" t="str">
        <f t="shared" si="26"/>
        <v>NATPAPON TITICHOATRATTNA</v>
      </c>
      <c r="F156" s="9"/>
      <c r="G156" s="3"/>
      <c r="H156" s="20"/>
      <c r="I156" s="21"/>
      <c r="J156" s="20"/>
      <c r="K156" s="22" t="s">
        <v>254</v>
      </c>
      <c r="L156" s="3"/>
      <c r="M156" s="8"/>
      <c r="N156" s="20"/>
      <c r="O156" s="21"/>
      <c r="P156" s="20"/>
      <c r="Q156" s="22" t="s">
        <v>254</v>
      </c>
      <c r="R156" s="3"/>
    </row>
    <row r="157" spans="1:18">
      <c r="A157" s="14"/>
      <c r="B157" s="9"/>
      <c r="C157" s="10"/>
      <c r="D157" s="9"/>
      <c r="E157" s="9"/>
      <c r="F157" s="9"/>
      <c r="G157" s="3"/>
      <c r="H157" s="20"/>
      <c r="I157" s="21"/>
      <c r="J157" s="20"/>
      <c r="K157" s="22"/>
      <c r="L157" s="3"/>
      <c r="M157" s="8"/>
      <c r="N157" s="8"/>
      <c r="O157" s="21"/>
      <c r="P157" s="3"/>
      <c r="Q157" s="3"/>
      <c r="R157" s="3"/>
    </row>
    <row r="158" spans="1:18">
      <c r="A158" s="14"/>
      <c r="B158" s="11"/>
      <c r="C158" s="12"/>
      <c r="D158" s="11"/>
      <c r="E158" s="11"/>
      <c r="F158" s="11"/>
      <c r="G158" s="3"/>
      <c r="H158" s="20"/>
      <c r="I158" s="21"/>
      <c r="J158" s="20"/>
      <c r="K158" s="22"/>
      <c r="L158" s="3"/>
      <c r="M158" s="8"/>
      <c r="N158" s="8"/>
      <c r="O158" s="21"/>
      <c r="P158" s="3"/>
      <c r="Q158" s="3"/>
      <c r="R158" s="3"/>
    </row>
    <row r="159" spans="1:18">
      <c r="A159" s="14"/>
      <c r="B159" s="9"/>
      <c r="C159" s="10"/>
      <c r="D159" s="9"/>
      <c r="E159" s="9"/>
      <c r="F159" s="9"/>
      <c r="G159" s="3"/>
      <c r="H159" s="20"/>
      <c r="I159" s="21"/>
      <c r="J159" s="20"/>
      <c r="K159" s="22"/>
      <c r="L159" s="3"/>
      <c r="M159" s="8"/>
      <c r="N159" s="8"/>
      <c r="O159" s="21"/>
      <c r="P159" s="3"/>
      <c r="Q159" s="3"/>
      <c r="R159" s="3"/>
    </row>
    <row r="160" spans="1:18">
      <c r="A160" s="14"/>
      <c r="B160" s="150" t="str">
        <f t="shared" ref="B160:B161" si="27">UPPER(H160)</f>
        <v xml:space="preserve">ASSET </v>
      </c>
      <c r="C160" s="141"/>
      <c r="D160" s="141"/>
      <c r="E160" s="141"/>
      <c r="F160" s="141"/>
      <c r="G160" s="28"/>
      <c r="H160" s="148" t="s">
        <v>208</v>
      </c>
      <c r="I160" s="141"/>
      <c r="J160" s="141"/>
      <c r="K160" s="141"/>
      <c r="L160" s="141"/>
      <c r="M160" s="8"/>
      <c r="N160" s="149" t="s">
        <v>818</v>
      </c>
      <c r="O160" s="141"/>
      <c r="P160" s="141"/>
      <c r="Q160" s="141"/>
      <c r="R160" s="141"/>
    </row>
    <row r="161" spans="1:18">
      <c r="A161" s="14"/>
      <c r="B161" s="146" t="str">
        <f t="shared" si="27"/>
        <v>THE MONK STUDIOS</v>
      </c>
      <c r="C161" s="141"/>
      <c r="D161" s="141"/>
      <c r="E161" s="141"/>
      <c r="F161" s="141"/>
      <c r="G161" s="3"/>
      <c r="H161" s="147" t="s">
        <v>202</v>
      </c>
      <c r="I161" s="141"/>
      <c r="J161" s="141"/>
      <c r="K161" s="141"/>
      <c r="L161" s="141"/>
      <c r="M161" s="8"/>
      <c r="N161" s="147" t="s">
        <v>202</v>
      </c>
      <c r="O161" s="141"/>
      <c r="P161" s="141"/>
      <c r="Q161" s="141"/>
      <c r="R161" s="141"/>
    </row>
    <row r="162" spans="1:18">
      <c r="A162" s="14"/>
      <c r="B162" s="9"/>
      <c r="C162" s="10"/>
      <c r="D162" s="9"/>
      <c r="E162" s="9"/>
      <c r="F162" s="9"/>
      <c r="G162" s="3"/>
      <c r="H162" s="20"/>
      <c r="I162" s="36"/>
      <c r="J162" s="20"/>
      <c r="K162" s="22"/>
      <c r="L162" s="3"/>
      <c r="M162" s="8"/>
      <c r="N162" s="20"/>
      <c r="O162" s="36"/>
      <c r="P162" s="20"/>
      <c r="Q162" s="22"/>
      <c r="R162" s="3"/>
    </row>
    <row r="163" spans="1:18">
      <c r="A163" s="14"/>
      <c r="B163" s="9"/>
      <c r="C163" s="10" t="str">
        <f t="shared" ref="C163:C175" si="28">UPPER(I163)</f>
        <v>RIG SUPERVISOR</v>
      </c>
      <c r="D163" s="9"/>
      <c r="E163" s="9" t="str">
        <f t="shared" ref="E163:E177" si="29">UPPER(K163)</f>
        <v>SORAWIT LIMKERTPOL</v>
      </c>
      <c r="F163" s="9"/>
      <c r="G163" s="3"/>
      <c r="H163" s="20"/>
      <c r="I163" s="36" t="s">
        <v>255</v>
      </c>
      <c r="J163" s="20"/>
      <c r="K163" s="31" t="s">
        <v>256</v>
      </c>
      <c r="L163" s="3"/>
      <c r="M163" s="8"/>
      <c r="N163" s="20"/>
      <c r="O163" s="36" t="s">
        <v>255</v>
      </c>
      <c r="P163" s="20"/>
      <c r="Q163" s="31" t="s">
        <v>256</v>
      </c>
      <c r="R163" s="3"/>
    </row>
    <row r="164" spans="1:18">
      <c r="A164" s="14"/>
      <c r="B164" s="9"/>
      <c r="C164" s="10" t="str">
        <f t="shared" si="28"/>
        <v/>
      </c>
      <c r="D164" s="9"/>
      <c r="E164" s="9" t="str">
        <f t="shared" si="29"/>
        <v/>
      </c>
      <c r="F164" s="9"/>
      <c r="G164" s="3"/>
      <c r="H164" s="20"/>
      <c r="I164" s="36"/>
      <c r="J164" s="20"/>
      <c r="K164" s="31"/>
      <c r="L164" s="3"/>
      <c r="M164" s="8"/>
      <c r="N164" s="20"/>
      <c r="O164" s="36"/>
      <c r="P164" s="20"/>
      <c r="Q164" s="31"/>
      <c r="R164" s="3"/>
    </row>
    <row r="165" spans="1:18">
      <c r="A165" s="14"/>
      <c r="B165" s="9"/>
      <c r="C165" s="10" t="str">
        <f t="shared" si="28"/>
        <v>RIG LEAD</v>
      </c>
      <c r="D165" s="9"/>
      <c r="E165" s="9" t="str">
        <f t="shared" si="29"/>
        <v>RATHTY PONGWORAPINIT</v>
      </c>
      <c r="F165" s="9"/>
      <c r="G165" s="3"/>
      <c r="H165" s="20"/>
      <c r="I165" s="36" t="s">
        <v>257</v>
      </c>
      <c r="J165" s="20"/>
      <c r="K165" s="31" t="s">
        <v>258</v>
      </c>
      <c r="L165" s="3"/>
      <c r="M165" s="8"/>
      <c r="N165" s="20"/>
      <c r="O165" s="36" t="s">
        <v>257</v>
      </c>
      <c r="P165" s="20"/>
      <c r="Q165" s="31" t="s">
        <v>258</v>
      </c>
      <c r="R165" s="3"/>
    </row>
    <row r="166" spans="1:18">
      <c r="A166" s="14"/>
      <c r="B166" s="9"/>
      <c r="C166" s="10" t="str">
        <f t="shared" si="28"/>
        <v/>
      </c>
      <c r="D166" s="9"/>
      <c r="E166" s="9" t="str">
        <f t="shared" si="29"/>
        <v>CHONNIKAN SONSAMRIT</v>
      </c>
      <c r="F166" s="9"/>
      <c r="G166" s="3"/>
      <c r="H166" s="20"/>
      <c r="I166" s="36"/>
      <c r="J166" s="20"/>
      <c r="K166" s="31" t="s">
        <v>259</v>
      </c>
      <c r="L166" s="3"/>
      <c r="M166" s="8"/>
      <c r="N166" s="20"/>
      <c r="O166" s="36"/>
      <c r="P166" s="20"/>
      <c r="Q166" s="31" t="s">
        <v>259</v>
      </c>
      <c r="R166" s="3"/>
    </row>
    <row r="167" spans="1:18">
      <c r="A167" s="14"/>
      <c r="B167" s="9"/>
      <c r="C167" s="10" t="str">
        <f t="shared" si="28"/>
        <v/>
      </c>
      <c r="D167" s="9"/>
      <c r="E167" s="9" t="str">
        <f t="shared" si="29"/>
        <v/>
      </c>
      <c r="F167" s="9"/>
      <c r="G167" s="3"/>
      <c r="H167" s="20"/>
      <c r="I167" s="36"/>
      <c r="J167" s="20"/>
      <c r="K167" s="31"/>
      <c r="L167" s="3"/>
      <c r="M167" s="8"/>
      <c r="N167" s="20"/>
      <c r="O167" s="36"/>
      <c r="P167" s="20"/>
      <c r="Q167" s="31"/>
      <c r="R167" s="3"/>
    </row>
    <row r="168" spans="1:18">
      <c r="A168" s="14"/>
      <c r="B168" s="9"/>
      <c r="C168" s="10" t="str">
        <f t="shared" si="28"/>
        <v>RIG ARTIST</v>
      </c>
      <c r="D168" s="9"/>
      <c r="E168" s="9" t="str">
        <f t="shared" si="29"/>
        <v>ALI RAZA</v>
      </c>
      <c r="F168" s="9"/>
      <c r="G168" s="3"/>
      <c r="H168" s="20"/>
      <c r="I168" s="36" t="s">
        <v>260</v>
      </c>
      <c r="J168" s="20"/>
      <c r="K168" s="31" t="s">
        <v>261</v>
      </c>
      <c r="L168" s="3"/>
      <c r="M168" s="8"/>
      <c r="N168" s="20"/>
      <c r="O168" s="36" t="s">
        <v>260</v>
      </c>
      <c r="P168" s="20"/>
      <c r="Q168" s="31" t="s">
        <v>261</v>
      </c>
      <c r="R168" s="3"/>
    </row>
    <row r="169" spans="1:18">
      <c r="A169" s="14"/>
      <c r="B169" s="9"/>
      <c r="C169" s="10" t="str">
        <f t="shared" si="28"/>
        <v/>
      </c>
      <c r="D169" s="9"/>
      <c r="E169" s="9" t="str">
        <f t="shared" si="29"/>
        <v>BHUMINAT CHATURAMETHANONT</v>
      </c>
      <c r="F169" s="9"/>
      <c r="G169" s="3"/>
      <c r="H169" s="20"/>
      <c r="I169" s="21"/>
      <c r="J169" s="20"/>
      <c r="K169" s="31" t="s">
        <v>262</v>
      </c>
      <c r="L169" s="3"/>
      <c r="M169" s="8"/>
      <c r="N169" s="20"/>
      <c r="O169" s="21"/>
      <c r="P169" s="20"/>
      <c r="Q169" s="31" t="s">
        <v>262</v>
      </c>
      <c r="R169" s="3"/>
    </row>
    <row r="170" spans="1:18">
      <c r="A170" s="14"/>
      <c r="B170" s="9"/>
      <c r="C170" s="10" t="str">
        <f t="shared" si="28"/>
        <v/>
      </c>
      <c r="D170" s="9"/>
      <c r="E170" s="9" t="str">
        <f t="shared" si="29"/>
        <v>KRITTAPAD DEJJEENMUANG</v>
      </c>
      <c r="F170" s="9"/>
      <c r="G170" s="3"/>
      <c r="H170" s="20"/>
      <c r="I170" s="21"/>
      <c r="J170" s="20"/>
      <c r="K170" s="31" t="s">
        <v>263</v>
      </c>
      <c r="L170" s="3"/>
      <c r="M170" s="8"/>
      <c r="N170" s="20"/>
      <c r="O170" s="21"/>
      <c r="P170" s="20"/>
      <c r="Q170" s="31" t="s">
        <v>263</v>
      </c>
      <c r="R170" s="3"/>
    </row>
    <row r="171" spans="1:18">
      <c r="A171" s="14"/>
      <c r="B171" s="9"/>
      <c r="C171" s="10" t="str">
        <f t="shared" si="28"/>
        <v/>
      </c>
      <c r="D171" s="9"/>
      <c r="E171" s="9" t="str">
        <f t="shared" si="29"/>
        <v>ANAWIN SARNMOUNG</v>
      </c>
      <c r="F171" s="9"/>
      <c r="G171" s="3"/>
      <c r="H171" s="20"/>
      <c r="I171" s="21"/>
      <c r="J171" s="20"/>
      <c r="K171" s="31" t="s">
        <v>264</v>
      </c>
      <c r="L171" s="3"/>
      <c r="M171" s="8"/>
      <c r="N171" s="20"/>
      <c r="O171" s="21"/>
      <c r="P171" s="20"/>
      <c r="Q171" s="31" t="s">
        <v>264</v>
      </c>
      <c r="R171" s="3"/>
    </row>
    <row r="172" spans="1:18">
      <c r="A172" s="14"/>
      <c r="B172" s="9"/>
      <c r="C172" s="10" t="str">
        <f t="shared" si="28"/>
        <v/>
      </c>
      <c r="D172" s="9"/>
      <c r="E172" s="9" t="str">
        <f t="shared" si="29"/>
        <v>CHANYA KANICHAPONG</v>
      </c>
      <c r="F172" s="9"/>
      <c r="G172" s="3"/>
      <c r="H172" s="20"/>
      <c r="I172" s="21"/>
      <c r="J172" s="20"/>
      <c r="K172" s="31" t="s">
        <v>265</v>
      </c>
      <c r="L172" s="3"/>
      <c r="M172" s="8"/>
      <c r="N172" s="20"/>
      <c r="O172" s="21"/>
      <c r="P172" s="20"/>
      <c r="Q172" s="31" t="s">
        <v>265</v>
      </c>
      <c r="R172" s="3"/>
    </row>
    <row r="173" spans="1:18">
      <c r="A173" s="14"/>
      <c r="B173" s="9"/>
      <c r="C173" s="10" t="str">
        <f t="shared" si="28"/>
        <v/>
      </c>
      <c r="D173" s="9"/>
      <c r="E173" s="9" t="str">
        <f t="shared" si="29"/>
        <v>JIRAYUT JAIKLA</v>
      </c>
      <c r="F173" s="9"/>
      <c r="G173" s="3"/>
      <c r="H173" s="20"/>
      <c r="I173" s="21"/>
      <c r="J173" s="20"/>
      <c r="K173" s="31" t="s">
        <v>266</v>
      </c>
      <c r="L173" s="3"/>
      <c r="M173" s="8"/>
      <c r="N173" s="20"/>
      <c r="O173" s="21"/>
      <c r="P173" s="20"/>
      <c r="Q173" s="31" t="s">
        <v>266</v>
      </c>
      <c r="R173" s="3"/>
    </row>
    <row r="174" spans="1:18">
      <c r="A174" s="14"/>
      <c r="B174" s="9"/>
      <c r="C174" s="10" t="str">
        <f t="shared" si="28"/>
        <v/>
      </c>
      <c r="D174" s="9"/>
      <c r="E174" s="9" t="str">
        <f t="shared" si="29"/>
        <v>NANTAPAK PRUANGKARN</v>
      </c>
      <c r="F174" s="9"/>
      <c r="G174" s="3"/>
      <c r="H174" s="20"/>
      <c r="I174" s="21"/>
      <c r="J174" s="20"/>
      <c r="K174" s="31" t="s">
        <v>267</v>
      </c>
      <c r="L174" s="3"/>
      <c r="M174" s="8"/>
      <c r="N174" s="20"/>
      <c r="O174" s="21"/>
      <c r="P174" s="20"/>
      <c r="Q174" s="31" t="s">
        <v>267</v>
      </c>
      <c r="R174" s="3"/>
    </row>
    <row r="175" spans="1:18">
      <c r="A175" s="14"/>
      <c r="B175" s="9"/>
      <c r="C175" s="10" t="str">
        <f t="shared" si="28"/>
        <v/>
      </c>
      <c r="D175" s="9"/>
      <c r="E175" s="9" t="str">
        <f t="shared" si="29"/>
        <v>PANCHANOK CHOMCHUEN</v>
      </c>
      <c r="F175" s="9"/>
      <c r="G175" s="3"/>
      <c r="H175" s="20"/>
      <c r="I175" s="21"/>
      <c r="J175" s="20"/>
      <c r="K175" s="31" t="s">
        <v>268</v>
      </c>
      <c r="L175" s="3"/>
      <c r="M175" s="8"/>
      <c r="N175" s="20"/>
      <c r="O175" s="21"/>
      <c r="P175" s="20"/>
      <c r="Q175" s="31" t="s">
        <v>268</v>
      </c>
      <c r="R175" s="3"/>
    </row>
    <row r="176" spans="1:18">
      <c r="A176" s="14"/>
      <c r="B176" s="9"/>
      <c r="C176" s="10"/>
      <c r="D176" s="9"/>
      <c r="E176" s="9" t="str">
        <f t="shared" si="29"/>
        <v>TAWEEWAT TAWEEPASAS</v>
      </c>
      <c r="F176" s="9"/>
      <c r="G176" s="3"/>
      <c r="H176" s="20"/>
      <c r="I176" s="21"/>
      <c r="J176" s="20"/>
      <c r="K176" s="31" t="s">
        <v>269</v>
      </c>
      <c r="L176" s="3"/>
      <c r="M176" s="8"/>
      <c r="N176" s="20"/>
      <c r="O176" s="21"/>
      <c r="P176" s="20"/>
      <c r="Q176" s="31" t="s">
        <v>269</v>
      </c>
      <c r="R176" s="3"/>
    </row>
    <row r="177" spans="1:18">
      <c r="A177" s="14"/>
      <c r="B177" s="9"/>
      <c r="C177" s="10"/>
      <c r="D177" s="9"/>
      <c r="E177" s="9" t="str">
        <f t="shared" si="29"/>
        <v/>
      </c>
      <c r="F177" s="9"/>
      <c r="G177" s="3"/>
      <c r="H177" s="20"/>
      <c r="I177" s="21"/>
      <c r="J177" s="20"/>
      <c r="K177" s="31"/>
      <c r="L177" s="3"/>
      <c r="M177" s="8"/>
      <c r="N177" s="8"/>
      <c r="O177" s="21"/>
      <c r="P177" s="3"/>
      <c r="Q177" s="3"/>
      <c r="R177" s="3"/>
    </row>
    <row r="178" spans="1:18">
      <c r="A178" s="14"/>
      <c r="B178" s="11"/>
      <c r="C178" s="12"/>
      <c r="D178" s="11"/>
      <c r="E178" s="11"/>
      <c r="F178" s="11"/>
      <c r="G178" s="3"/>
      <c r="H178" s="20"/>
      <c r="I178" s="36"/>
      <c r="J178" s="20"/>
      <c r="K178" s="31"/>
      <c r="L178" s="3"/>
      <c r="M178" s="8"/>
      <c r="N178" s="8"/>
      <c r="O178" s="21"/>
      <c r="P178" s="3"/>
      <c r="Q178" s="3"/>
      <c r="R178" s="3"/>
    </row>
    <row r="179" spans="1:18">
      <c r="A179" s="14"/>
      <c r="B179" s="9"/>
      <c r="C179" s="10"/>
      <c r="D179" s="9"/>
      <c r="E179" s="9"/>
      <c r="F179" s="9"/>
      <c r="G179" s="3"/>
      <c r="H179" s="20"/>
      <c r="I179" s="36"/>
      <c r="J179" s="20"/>
      <c r="K179" s="31"/>
      <c r="L179" s="3"/>
      <c r="M179" s="8"/>
      <c r="N179" s="8"/>
      <c r="O179" s="21"/>
      <c r="P179" s="3"/>
      <c r="Q179" s="3"/>
      <c r="R179" s="3"/>
    </row>
    <row r="180" spans="1:18">
      <c r="A180" s="14"/>
      <c r="B180" s="150" t="str">
        <f t="shared" ref="B180:B181" si="30">UPPER(H180)</f>
        <v xml:space="preserve">ASSET </v>
      </c>
      <c r="C180" s="141"/>
      <c r="D180" s="141"/>
      <c r="E180" s="141"/>
      <c r="F180" s="141"/>
      <c r="G180" s="28"/>
      <c r="H180" s="148" t="s">
        <v>208</v>
      </c>
      <c r="I180" s="141"/>
      <c r="J180" s="141"/>
      <c r="K180" s="141"/>
      <c r="L180" s="141"/>
      <c r="M180" s="8"/>
      <c r="N180" s="149" t="s">
        <v>818</v>
      </c>
      <c r="O180" s="141"/>
      <c r="P180" s="141"/>
      <c r="Q180" s="141"/>
      <c r="R180" s="141"/>
    </row>
    <row r="181" spans="1:18">
      <c r="A181" s="14"/>
      <c r="B181" s="146" t="str">
        <f t="shared" si="30"/>
        <v>THE MONK STUDIOS</v>
      </c>
      <c r="C181" s="141"/>
      <c r="D181" s="141"/>
      <c r="E181" s="141"/>
      <c r="F181" s="141"/>
      <c r="G181" s="3"/>
      <c r="H181" s="147" t="s">
        <v>202</v>
      </c>
      <c r="I181" s="141"/>
      <c r="J181" s="141"/>
      <c r="K181" s="141"/>
      <c r="L181" s="141"/>
      <c r="M181" s="8"/>
      <c r="N181" s="147" t="s">
        <v>202</v>
      </c>
      <c r="O181" s="141"/>
      <c r="P181" s="141"/>
      <c r="Q181" s="141"/>
      <c r="R181" s="141"/>
    </row>
    <row r="182" spans="1:18">
      <c r="A182" s="14"/>
      <c r="B182" s="9"/>
      <c r="C182" s="10"/>
      <c r="D182" s="9"/>
      <c r="E182" s="9"/>
      <c r="F182" s="9"/>
      <c r="G182" s="3"/>
      <c r="H182" s="20"/>
      <c r="I182" s="36"/>
      <c r="J182" s="20"/>
      <c r="K182" s="31"/>
      <c r="L182" s="3"/>
      <c r="M182" s="8"/>
      <c r="N182" s="20"/>
      <c r="O182" s="36"/>
      <c r="P182" s="20"/>
      <c r="Q182" s="31"/>
      <c r="R182" s="3"/>
    </row>
    <row r="183" spans="1:18">
      <c r="A183" s="14"/>
      <c r="B183" s="9"/>
      <c r="C183" s="10" t="str">
        <f>UPPER(I183)</f>
        <v>GROOMING SUPERVISOR</v>
      </c>
      <c r="D183" s="9"/>
      <c r="E183" s="9" t="str">
        <f>UPPER(K183)</f>
        <v>PHURINUT TANGCHAROEN</v>
      </c>
      <c r="F183" s="9"/>
      <c r="G183" s="3"/>
      <c r="H183" s="20"/>
      <c r="I183" s="36" t="s">
        <v>270</v>
      </c>
      <c r="J183" s="20"/>
      <c r="K183" s="31" t="s">
        <v>271</v>
      </c>
      <c r="L183" s="3"/>
      <c r="M183" s="8"/>
      <c r="N183" s="20"/>
      <c r="O183" s="36" t="s">
        <v>270</v>
      </c>
      <c r="P183" s="20"/>
      <c r="Q183" s="31" t="s">
        <v>271</v>
      </c>
      <c r="R183" s="3"/>
    </row>
    <row r="184" spans="1:18">
      <c r="A184" s="14"/>
      <c r="B184" s="9"/>
      <c r="C184" s="10"/>
      <c r="D184" s="9"/>
      <c r="E184" s="9"/>
      <c r="F184" s="9"/>
      <c r="G184" s="3"/>
      <c r="H184" s="20"/>
      <c r="I184" s="36"/>
      <c r="J184" s="20"/>
      <c r="K184" s="31"/>
      <c r="L184" s="3"/>
      <c r="M184" s="8"/>
      <c r="N184" s="20"/>
      <c r="O184" s="36"/>
      <c r="P184" s="20"/>
      <c r="Q184" s="31"/>
      <c r="R184" s="3"/>
    </row>
    <row r="185" spans="1:18">
      <c r="A185" s="14"/>
      <c r="B185" s="9"/>
      <c r="C185" s="10" t="str">
        <f t="shared" ref="C185:C188" si="31">UPPER(I185)</f>
        <v>GROOMING ARTIST</v>
      </c>
      <c r="D185" s="9"/>
      <c r="E185" s="9" t="str">
        <f t="shared" ref="E185:E189" si="32">UPPER(K185)</f>
        <v>BUDSARAPORN WAICHUENCHORM</v>
      </c>
      <c r="F185" s="9"/>
      <c r="G185" s="3"/>
      <c r="H185" s="20"/>
      <c r="I185" s="36" t="s">
        <v>272</v>
      </c>
      <c r="J185" s="20"/>
      <c r="K185" s="31" t="s">
        <v>273</v>
      </c>
      <c r="L185" s="3"/>
      <c r="M185" s="8"/>
      <c r="N185" s="20"/>
      <c r="O185" s="36" t="s">
        <v>272</v>
      </c>
      <c r="P185" s="20"/>
      <c r="Q185" s="31" t="s">
        <v>273</v>
      </c>
      <c r="R185" s="3"/>
    </row>
    <row r="186" spans="1:18">
      <c r="A186" s="14"/>
      <c r="B186" s="9"/>
      <c r="C186" s="10" t="str">
        <f t="shared" si="31"/>
        <v/>
      </c>
      <c r="D186" s="9"/>
      <c r="E186" s="9" t="str">
        <f t="shared" si="32"/>
        <v>PRAEWPAN SAEPUNG</v>
      </c>
      <c r="F186" s="9"/>
      <c r="G186" s="3"/>
      <c r="H186" s="20"/>
      <c r="I186" s="21"/>
      <c r="J186" s="20"/>
      <c r="K186" s="39" t="s">
        <v>274</v>
      </c>
      <c r="L186" s="3"/>
      <c r="M186" s="8"/>
      <c r="N186" s="20"/>
      <c r="O186" s="21"/>
      <c r="P186" s="20"/>
      <c r="Q186" s="39" t="s">
        <v>274</v>
      </c>
      <c r="R186" s="3"/>
    </row>
    <row r="187" spans="1:18">
      <c r="A187" s="14"/>
      <c r="B187" s="9"/>
      <c r="C187" s="10" t="str">
        <f t="shared" si="31"/>
        <v/>
      </c>
      <c r="D187" s="9"/>
      <c r="E187" s="9" t="str">
        <f t="shared" si="32"/>
        <v>VANLIPHA KAEWKHAO</v>
      </c>
      <c r="F187" s="9"/>
      <c r="G187" s="3"/>
      <c r="H187" s="20"/>
      <c r="I187" s="21"/>
      <c r="J187" s="20"/>
      <c r="K187" s="31" t="s">
        <v>275</v>
      </c>
      <c r="L187" s="3"/>
      <c r="M187" s="8"/>
      <c r="N187" s="20"/>
      <c r="O187" s="21"/>
      <c r="P187" s="20"/>
      <c r="Q187" s="31" t="s">
        <v>275</v>
      </c>
      <c r="R187" s="3"/>
    </row>
    <row r="188" spans="1:18">
      <c r="A188" s="14"/>
      <c r="B188" s="9"/>
      <c r="C188" s="10" t="str">
        <f t="shared" si="31"/>
        <v/>
      </c>
      <c r="D188" s="9"/>
      <c r="E188" s="9" t="str">
        <f t="shared" si="32"/>
        <v>PATIPARN KAWINCHAN</v>
      </c>
      <c r="F188" s="9"/>
      <c r="G188" s="3"/>
      <c r="H188" s="20"/>
      <c r="I188" s="21"/>
      <c r="J188" s="20"/>
      <c r="K188" s="31" t="s">
        <v>276</v>
      </c>
      <c r="L188" s="3"/>
      <c r="M188" s="8"/>
      <c r="N188" s="20"/>
      <c r="O188" s="21"/>
      <c r="P188" s="20"/>
      <c r="Q188" s="31" t="s">
        <v>276</v>
      </c>
      <c r="R188" s="3"/>
    </row>
    <row r="189" spans="1:18">
      <c r="A189" s="14"/>
      <c r="B189" s="9"/>
      <c r="C189" s="10"/>
      <c r="D189" s="9"/>
      <c r="E189" s="9" t="str">
        <f t="shared" si="32"/>
        <v>YOTIN TONGBANTURNG</v>
      </c>
      <c r="F189" s="9"/>
      <c r="G189" s="3"/>
      <c r="H189" s="20"/>
      <c r="I189" s="21"/>
      <c r="J189" s="20"/>
      <c r="K189" s="31" t="s">
        <v>277</v>
      </c>
      <c r="L189" s="3"/>
      <c r="M189" s="8"/>
      <c r="N189" s="20"/>
      <c r="O189" s="21"/>
      <c r="P189" s="20"/>
      <c r="Q189" s="31" t="s">
        <v>277</v>
      </c>
      <c r="R189" s="3"/>
    </row>
    <row r="190" spans="1:18">
      <c r="A190" s="14"/>
      <c r="B190" s="9"/>
      <c r="C190" s="10"/>
      <c r="D190" s="9"/>
      <c r="E190" s="9"/>
      <c r="F190" s="9"/>
      <c r="G190" s="3"/>
      <c r="H190" s="20"/>
      <c r="I190" s="21"/>
      <c r="J190" s="20"/>
      <c r="K190" s="31"/>
      <c r="L190" s="3"/>
      <c r="M190" s="8"/>
      <c r="N190" s="8"/>
      <c r="O190" s="21"/>
      <c r="P190" s="3"/>
      <c r="Q190" s="3"/>
      <c r="R190" s="3"/>
    </row>
    <row r="191" spans="1:18">
      <c r="A191" s="14"/>
      <c r="B191" s="11"/>
      <c r="C191" s="12"/>
      <c r="D191" s="11"/>
      <c r="E191" s="11"/>
      <c r="F191" s="11"/>
      <c r="G191" s="3"/>
      <c r="H191" s="20"/>
      <c r="I191" s="21"/>
      <c r="J191" s="20"/>
      <c r="K191" s="31"/>
      <c r="L191" s="3"/>
      <c r="M191" s="8"/>
      <c r="N191" s="8"/>
      <c r="O191" s="21"/>
      <c r="P191" s="3"/>
      <c r="Q191" s="3"/>
      <c r="R191" s="3"/>
    </row>
    <row r="192" spans="1:18">
      <c r="A192" s="14"/>
      <c r="B192" s="9"/>
      <c r="C192" s="10"/>
      <c r="D192" s="9"/>
      <c r="E192" s="9"/>
      <c r="F192" s="9"/>
      <c r="G192" s="3"/>
      <c r="H192" s="20"/>
      <c r="I192" s="21"/>
      <c r="J192" s="20"/>
      <c r="K192" s="31"/>
      <c r="L192" s="3"/>
      <c r="M192" s="8"/>
      <c r="N192" s="8"/>
      <c r="O192" s="21"/>
      <c r="P192" s="3"/>
      <c r="Q192" s="3"/>
      <c r="R192" s="3"/>
    </row>
    <row r="193" spans="1:18">
      <c r="A193" s="14"/>
      <c r="B193" s="150" t="str">
        <f>UPPER(H193)</f>
        <v>LAYOUT</v>
      </c>
      <c r="C193" s="141"/>
      <c r="D193" s="141"/>
      <c r="E193" s="141"/>
      <c r="F193" s="141"/>
      <c r="G193" s="28"/>
      <c r="H193" s="148" t="s">
        <v>278</v>
      </c>
      <c r="I193" s="141"/>
      <c r="J193" s="141"/>
      <c r="K193" s="141"/>
      <c r="L193" s="141"/>
      <c r="M193" s="29"/>
      <c r="N193" s="149" t="s">
        <v>829</v>
      </c>
      <c r="O193" s="141"/>
      <c r="P193" s="141"/>
      <c r="Q193" s="141"/>
      <c r="R193" s="141"/>
    </row>
    <row r="194" spans="1:18">
      <c r="A194" s="14"/>
      <c r="B194" s="9"/>
      <c r="C194" s="10" t="str">
        <f>UPPER(I194)</f>
        <v>LAYOUT DIRECTOR</v>
      </c>
      <c r="D194" s="9"/>
      <c r="E194" s="9" t="str">
        <f>UPPER(K194)</f>
        <v>KYUNGMIN KIM</v>
      </c>
      <c r="F194" s="9"/>
      <c r="G194" s="3"/>
      <c r="H194" s="20"/>
      <c r="I194" s="21" t="s">
        <v>279</v>
      </c>
      <c r="J194" s="20"/>
      <c r="K194" s="3" t="s">
        <v>280</v>
      </c>
      <c r="L194" s="3"/>
      <c r="M194" s="8"/>
      <c r="N194" s="8"/>
      <c r="O194" s="21" t="s">
        <v>830</v>
      </c>
      <c r="P194" s="3"/>
      <c r="Q194" s="3" t="s">
        <v>831</v>
      </c>
      <c r="R194" s="3"/>
    </row>
    <row r="195" spans="1:18">
      <c r="A195" s="14"/>
      <c r="B195" s="9"/>
      <c r="C195" s="10"/>
      <c r="D195" s="9"/>
      <c r="E195" s="9"/>
      <c r="F195" s="9"/>
      <c r="G195" s="3"/>
      <c r="H195" s="20"/>
      <c r="I195" s="21"/>
      <c r="J195" s="20"/>
      <c r="K195" s="31"/>
      <c r="L195" s="3"/>
      <c r="M195" s="8"/>
      <c r="N195" s="8"/>
      <c r="O195" s="21"/>
      <c r="P195" s="3"/>
      <c r="Q195" s="3"/>
      <c r="R195" s="3"/>
    </row>
    <row r="196" spans="1:18">
      <c r="A196" s="14"/>
      <c r="B196" s="9"/>
      <c r="C196" s="10"/>
      <c r="D196" s="9"/>
      <c r="E196" s="9"/>
      <c r="F196" s="9"/>
      <c r="G196" s="3"/>
      <c r="H196" s="20"/>
      <c r="I196" s="21"/>
      <c r="J196" s="20"/>
      <c r="K196" s="31"/>
      <c r="L196" s="3"/>
      <c r="M196" s="8"/>
      <c r="N196" s="8"/>
      <c r="O196" s="21"/>
      <c r="P196" s="3"/>
      <c r="Q196" s="3"/>
      <c r="R196" s="3"/>
    </row>
    <row r="197" spans="1:18">
      <c r="A197" s="14"/>
      <c r="B197" s="146" t="str">
        <f>UPPER(H197)</f>
        <v>THE MONK STUDIOS</v>
      </c>
      <c r="C197" s="141"/>
      <c r="D197" s="141"/>
      <c r="E197" s="141"/>
      <c r="F197" s="141"/>
      <c r="G197" s="3"/>
      <c r="H197" s="147" t="s">
        <v>202</v>
      </c>
      <c r="I197" s="141"/>
      <c r="J197" s="141"/>
      <c r="K197" s="141"/>
      <c r="L197" s="141"/>
      <c r="M197" s="8"/>
      <c r="N197" s="147" t="s">
        <v>202</v>
      </c>
      <c r="O197" s="141"/>
      <c r="P197" s="141"/>
      <c r="Q197" s="141"/>
      <c r="R197" s="141"/>
    </row>
    <row r="198" spans="1:18">
      <c r="A198" s="14"/>
      <c r="B198" s="9"/>
      <c r="C198" s="10" t="str">
        <f>UPPER(I198)</f>
        <v>LAYOUT SUPERVISOR</v>
      </c>
      <c r="D198" s="9"/>
      <c r="E198" s="9" t="str">
        <f>UPPER(K198)</f>
        <v>NITAT	WIMANJUNT</v>
      </c>
      <c r="F198" s="9"/>
      <c r="G198" s="3"/>
      <c r="H198" s="20"/>
      <c r="I198" s="36" t="s">
        <v>281</v>
      </c>
      <c r="J198" s="20"/>
      <c r="K198" s="31" t="s">
        <v>282</v>
      </c>
      <c r="L198" s="3"/>
      <c r="M198" s="8"/>
      <c r="N198" s="20"/>
      <c r="O198" s="36" t="s">
        <v>281</v>
      </c>
      <c r="P198" s="20"/>
      <c r="Q198" s="31" t="s">
        <v>282</v>
      </c>
      <c r="R198" s="3"/>
    </row>
    <row r="199" spans="1:18">
      <c r="A199" s="14"/>
      <c r="B199" s="9"/>
      <c r="C199" s="10"/>
      <c r="D199" s="9"/>
      <c r="E199" s="9"/>
      <c r="F199" s="9"/>
      <c r="G199" s="3"/>
      <c r="H199" s="20"/>
      <c r="I199" s="36"/>
      <c r="J199" s="20"/>
      <c r="K199" s="31"/>
      <c r="L199" s="3"/>
      <c r="M199" s="8"/>
      <c r="N199" s="20"/>
      <c r="O199" s="36"/>
      <c r="P199" s="20"/>
      <c r="Q199" s="31"/>
      <c r="R199" s="3"/>
    </row>
    <row r="200" spans="1:18">
      <c r="A200" s="14"/>
      <c r="B200" s="9"/>
      <c r="C200" s="10" t="str">
        <f t="shared" ref="C200:C205" si="33">UPPER(I200)</f>
        <v>LAYOUT ARTIST</v>
      </c>
      <c r="D200" s="9"/>
      <c r="E200" s="9" t="str">
        <f t="shared" ref="E200:E205" si="34">UPPER(K200)</f>
        <v>PIYAPHON	SRIPHONGNGAM</v>
      </c>
      <c r="F200" s="9"/>
      <c r="G200" s="3"/>
      <c r="H200" s="20"/>
      <c r="I200" s="36" t="s">
        <v>283</v>
      </c>
      <c r="J200" s="20"/>
      <c r="K200" s="31" t="s">
        <v>284</v>
      </c>
      <c r="L200" s="3"/>
      <c r="M200" s="8"/>
      <c r="N200" s="20"/>
      <c r="O200" s="36" t="s">
        <v>283</v>
      </c>
      <c r="P200" s="20"/>
      <c r="Q200" s="31" t="s">
        <v>284</v>
      </c>
      <c r="R200" s="3"/>
    </row>
    <row r="201" spans="1:18">
      <c r="A201" s="14"/>
      <c r="B201" s="9"/>
      <c r="C201" s="10" t="str">
        <f t="shared" si="33"/>
        <v/>
      </c>
      <c r="D201" s="9"/>
      <c r="E201" s="9" t="str">
        <f t="shared" si="34"/>
        <v>PANYA	NATEKOBKUA</v>
      </c>
      <c r="F201" s="9"/>
      <c r="G201" s="3"/>
      <c r="H201" s="20"/>
      <c r="I201" s="21"/>
      <c r="J201" s="20"/>
      <c r="K201" s="31" t="s">
        <v>285</v>
      </c>
      <c r="L201" s="3"/>
      <c r="M201" s="8"/>
      <c r="N201" s="20"/>
      <c r="O201" s="21"/>
      <c r="P201" s="20"/>
      <c r="Q201" s="31" t="s">
        <v>285</v>
      </c>
      <c r="R201" s="3"/>
    </row>
    <row r="202" spans="1:18">
      <c r="A202" s="14"/>
      <c r="B202" s="9"/>
      <c r="C202" s="10" t="str">
        <f t="shared" si="33"/>
        <v/>
      </c>
      <c r="D202" s="9"/>
      <c r="E202" s="9" t="str">
        <f t="shared" si="34"/>
        <v>CHONLATHORN	PHUSRI</v>
      </c>
      <c r="F202" s="9"/>
      <c r="G202" s="3"/>
      <c r="H202" s="20"/>
      <c r="I202" s="21"/>
      <c r="J202" s="20"/>
      <c r="K202" s="31" t="s">
        <v>286</v>
      </c>
      <c r="L202" s="3"/>
      <c r="M202" s="8"/>
      <c r="N202" s="20"/>
      <c r="O202" s="21"/>
      <c r="P202" s="20"/>
      <c r="Q202" s="31" t="s">
        <v>286</v>
      </c>
      <c r="R202" s="3"/>
    </row>
    <row r="203" spans="1:18">
      <c r="A203" s="14"/>
      <c r="B203" s="9"/>
      <c r="C203" s="10" t="str">
        <f t="shared" si="33"/>
        <v/>
      </c>
      <c r="D203" s="9"/>
      <c r="E203" s="9" t="str">
        <f t="shared" si="34"/>
        <v>NOPPARAT	WANGSIN</v>
      </c>
      <c r="F203" s="9"/>
      <c r="G203" s="3"/>
      <c r="H203" s="20"/>
      <c r="I203" s="21"/>
      <c r="J203" s="20"/>
      <c r="K203" s="31" t="s">
        <v>287</v>
      </c>
      <c r="L203" s="3"/>
      <c r="M203" s="8"/>
      <c r="N203" s="20"/>
      <c r="O203" s="21"/>
      <c r="P203" s="20"/>
      <c r="Q203" s="31" t="s">
        <v>287</v>
      </c>
      <c r="R203" s="3"/>
    </row>
    <row r="204" spans="1:18">
      <c r="A204" s="14"/>
      <c r="B204" s="9"/>
      <c r="C204" s="10" t="str">
        <f t="shared" si="33"/>
        <v/>
      </c>
      <c r="D204" s="9"/>
      <c r="E204" s="9" t="str">
        <f t="shared" si="34"/>
        <v>KANYANEE	DUANGNAPA</v>
      </c>
      <c r="F204" s="9"/>
      <c r="G204" s="3"/>
      <c r="H204" s="20"/>
      <c r="I204" s="21"/>
      <c r="J204" s="20"/>
      <c r="K204" s="31" t="s">
        <v>288</v>
      </c>
      <c r="L204" s="3"/>
      <c r="M204" s="8"/>
      <c r="N204" s="20"/>
      <c r="O204" s="21"/>
      <c r="P204" s="20"/>
      <c r="Q204" s="31" t="s">
        <v>288</v>
      </c>
      <c r="R204" s="3"/>
    </row>
    <row r="205" spans="1:18">
      <c r="A205" s="14"/>
      <c r="B205" s="9"/>
      <c r="C205" s="10" t="str">
        <f t="shared" si="33"/>
        <v/>
      </c>
      <c r="D205" s="9"/>
      <c r="E205" s="9" t="str">
        <f t="shared" si="34"/>
        <v>PHIRAPHON	PAKAPHONGPHAN</v>
      </c>
      <c r="F205" s="9"/>
      <c r="G205" s="3"/>
      <c r="H205" s="20"/>
      <c r="I205" s="21"/>
      <c r="J205" s="20"/>
      <c r="K205" s="31" t="s">
        <v>289</v>
      </c>
      <c r="L205" s="3"/>
      <c r="M205" s="8"/>
      <c r="N205" s="20"/>
      <c r="O205" s="21"/>
      <c r="P205" s="20"/>
      <c r="Q205" s="31" t="s">
        <v>289</v>
      </c>
      <c r="R205" s="3"/>
    </row>
    <row r="206" spans="1:18">
      <c r="A206" s="14"/>
      <c r="B206" s="9"/>
      <c r="C206" s="10"/>
      <c r="D206" s="9"/>
      <c r="E206" s="9"/>
      <c r="F206" s="9"/>
      <c r="G206" s="3"/>
      <c r="H206" s="20"/>
      <c r="I206" s="21"/>
      <c r="J206" s="20"/>
      <c r="K206" s="31"/>
      <c r="L206" s="3"/>
      <c r="M206" s="8"/>
      <c r="N206" s="8"/>
      <c r="O206" s="21"/>
      <c r="P206" s="3"/>
      <c r="Q206" s="3"/>
      <c r="R206" s="3"/>
    </row>
    <row r="207" spans="1:18">
      <c r="A207" s="14"/>
      <c r="B207" s="11"/>
      <c r="C207" s="12" t="str">
        <f>UPPER(I207)</f>
        <v/>
      </c>
      <c r="D207" s="11"/>
      <c r="E207" s="11" t="str">
        <f>UPPER(K207)</f>
        <v/>
      </c>
      <c r="F207" s="11"/>
      <c r="G207" s="3"/>
      <c r="H207" s="20"/>
      <c r="I207" s="21"/>
      <c r="J207" s="20"/>
      <c r="K207" s="13"/>
      <c r="L207" s="3"/>
      <c r="M207" s="8"/>
      <c r="N207" s="8"/>
      <c r="O207" s="21"/>
      <c r="P207" s="3"/>
      <c r="Q207" s="3"/>
      <c r="R207" s="3"/>
    </row>
    <row r="208" spans="1:18">
      <c r="A208" s="14"/>
      <c r="B208" s="6"/>
      <c r="C208" s="6"/>
      <c r="D208" s="6"/>
      <c r="E208" s="6"/>
      <c r="F208" s="6"/>
      <c r="G208" s="3"/>
      <c r="H208" s="27"/>
      <c r="I208" s="21"/>
      <c r="J208" s="27"/>
      <c r="K208" s="13"/>
      <c r="L208" s="7"/>
      <c r="M208" s="8"/>
      <c r="N208" s="8"/>
      <c r="O208" s="21"/>
      <c r="P208" s="3"/>
      <c r="Q208" s="3"/>
      <c r="R208" s="3"/>
    </row>
    <row r="209" spans="1:18">
      <c r="A209" s="14"/>
      <c r="B209" s="150" t="str">
        <f>UPPER(H209)</f>
        <v>ANIMATION</v>
      </c>
      <c r="C209" s="141"/>
      <c r="D209" s="141"/>
      <c r="E209" s="141"/>
      <c r="F209" s="141"/>
      <c r="G209" s="28"/>
      <c r="H209" s="148" t="s">
        <v>290</v>
      </c>
      <c r="I209" s="141"/>
      <c r="J209" s="141"/>
      <c r="K209" s="141"/>
      <c r="L209" s="141"/>
      <c r="M209" s="29"/>
      <c r="N209" s="149" t="s">
        <v>832</v>
      </c>
      <c r="O209" s="141"/>
      <c r="P209" s="141"/>
      <c r="Q209" s="141"/>
      <c r="R209" s="141"/>
    </row>
    <row r="210" spans="1:18">
      <c r="A210" s="14"/>
      <c r="B210" s="9"/>
      <c r="C210" s="10" t="str">
        <f>UPPER(I210)</f>
        <v>ANIMATION DIRECTOR</v>
      </c>
      <c r="D210" s="9"/>
      <c r="E210" s="9" t="str">
        <f>UPPER(K210)</f>
        <v>JONGEUN LEE</v>
      </c>
      <c r="F210" s="9"/>
      <c r="G210" s="3"/>
      <c r="H210" s="20"/>
      <c r="I210" s="21" t="s">
        <v>291</v>
      </c>
      <c r="J210" s="20"/>
      <c r="K210" s="13" t="s">
        <v>292</v>
      </c>
      <c r="L210" s="3"/>
      <c r="M210" s="8"/>
      <c r="N210" s="3"/>
      <c r="O210" s="8" t="s">
        <v>833</v>
      </c>
      <c r="P210" s="3"/>
      <c r="Q210" s="3" t="s">
        <v>834</v>
      </c>
      <c r="R210" s="3"/>
    </row>
    <row r="211" spans="1:18">
      <c r="A211" s="14"/>
      <c r="B211" s="9"/>
      <c r="C211" s="10"/>
      <c r="D211" s="9"/>
      <c r="E211" s="9"/>
      <c r="F211" s="9"/>
      <c r="G211" s="3"/>
      <c r="H211" s="20"/>
      <c r="I211" s="21"/>
      <c r="J211" s="20"/>
      <c r="K211" s="13"/>
      <c r="L211" s="3"/>
      <c r="M211" s="8"/>
      <c r="N211" s="3"/>
      <c r="O211" s="8"/>
      <c r="P211" s="3"/>
      <c r="Q211" s="3"/>
      <c r="R211" s="3"/>
    </row>
    <row r="212" spans="1:18">
      <c r="A212" s="14"/>
      <c r="B212" s="9"/>
      <c r="C212" s="10" t="str">
        <f>UPPER(I212)</f>
        <v>ANIMATION SUPERVISOR</v>
      </c>
      <c r="D212" s="9"/>
      <c r="E212" s="9" t="str">
        <f t="shared" ref="E212:E221" si="35">UPPER(K212)</f>
        <v>EUGENE KIM</v>
      </c>
      <c r="F212" s="9"/>
      <c r="G212" s="3"/>
      <c r="H212" s="20"/>
      <c r="I212" s="21" t="s">
        <v>293</v>
      </c>
      <c r="J212" s="20"/>
      <c r="K212" s="13" t="s">
        <v>294</v>
      </c>
      <c r="L212" s="3"/>
      <c r="M212" s="8"/>
      <c r="N212" s="3"/>
      <c r="O212" s="8" t="s">
        <v>835</v>
      </c>
      <c r="P212" s="3"/>
      <c r="Q212" s="3" t="s">
        <v>836</v>
      </c>
      <c r="R212" s="3"/>
    </row>
    <row r="213" spans="1:18">
      <c r="A213" s="14"/>
      <c r="B213" s="9"/>
      <c r="C213" s="10"/>
      <c r="D213" s="9"/>
      <c r="E213" s="9" t="str">
        <f t="shared" si="35"/>
        <v>BORAM NOH</v>
      </c>
      <c r="F213" s="9"/>
      <c r="G213" s="3"/>
      <c r="H213" s="20"/>
      <c r="I213" s="21"/>
      <c r="J213" s="20"/>
      <c r="K213" s="13" t="s">
        <v>295</v>
      </c>
      <c r="L213" s="3"/>
      <c r="M213" s="8"/>
      <c r="N213" s="3"/>
      <c r="O213" s="8"/>
      <c r="P213" s="3"/>
      <c r="Q213" s="3" t="s">
        <v>837</v>
      </c>
      <c r="R213" s="3"/>
    </row>
    <row r="214" spans="1:18">
      <c r="A214" s="14"/>
      <c r="B214" s="9"/>
      <c r="C214" s="10" t="str">
        <f t="shared" ref="C214:C221" si="36">UPPER(I214)</f>
        <v/>
      </c>
      <c r="D214" s="9"/>
      <c r="E214" s="9" t="str">
        <f t="shared" si="35"/>
        <v/>
      </c>
      <c r="F214" s="9"/>
      <c r="G214" s="3"/>
      <c r="H214" s="20"/>
      <c r="I214" s="21"/>
      <c r="J214" s="20"/>
      <c r="K214" s="13"/>
      <c r="L214" s="3"/>
      <c r="M214" s="8"/>
      <c r="N214" s="3"/>
      <c r="O214" s="8"/>
      <c r="P214" s="3"/>
      <c r="Q214" s="3"/>
      <c r="R214" s="3"/>
    </row>
    <row r="215" spans="1:18">
      <c r="A215" s="14"/>
      <c r="B215" s="9"/>
      <c r="C215" s="10" t="str">
        <f t="shared" si="36"/>
        <v>ANIMATOR</v>
      </c>
      <c r="D215" s="9"/>
      <c r="E215" s="9" t="str">
        <f t="shared" si="35"/>
        <v>KYOUNGSIK BAE</v>
      </c>
      <c r="F215" s="9"/>
      <c r="G215" s="3"/>
      <c r="H215" s="20"/>
      <c r="I215" s="21" t="s">
        <v>296</v>
      </c>
      <c r="J215" s="20"/>
      <c r="K215" s="13" t="s">
        <v>297</v>
      </c>
      <c r="L215" s="3"/>
      <c r="M215" s="8"/>
      <c r="N215" s="3"/>
      <c r="O215" s="8" t="s">
        <v>838</v>
      </c>
      <c r="P215" s="3"/>
      <c r="Q215" s="3" t="s">
        <v>839</v>
      </c>
      <c r="R215" s="3"/>
    </row>
    <row r="216" spans="1:18">
      <c r="A216" s="14"/>
      <c r="B216" s="9"/>
      <c r="C216" s="10" t="str">
        <f t="shared" si="36"/>
        <v/>
      </c>
      <c r="D216" s="9"/>
      <c r="E216" s="9" t="str">
        <f t="shared" si="35"/>
        <v>HYEONSOOK KO</v>
      </c>
      <c r="F216" s="9"/>
      <c r="G216" s="3"/>
      <c r="H216" s="20"/>
      <c r="I216" s="21"/>
      <c r="J216" s="20"/>
      <c r="K216" s="13" t="s">
        <v>298</v>
      </c>
      <c r="L216" s="3"/>
      <c r="M216" s="8"/>
      <c r="N216" s="3"/>
      <c r="O216" s="8"/>
      <c r="P216" s="3"/>
      <c r="Q216" s="3" t="s">
        <v>840</v>
      </c>
      <c r="R216" s="3"/>
    </row>
    <row r="217" spans="1:18">
      <c r="A217" s="14"/>
      <c r="B217" s="9"/>
      <c r="C217" s="10" t="str">
        <f t="shared" si="36"/>
        <v/>
      </c>
      <c r="D217" s="9"/>
      <c r="E217" s="9" t="str">
        <f t="shared" si="35"/>
        <v>JIHYE KIM</v>
      </c>
      <c r="F217" s="9"/>
      <c r="G217" s="3"/>
      <c r="H217" s="20"/>
      <c r="I217" s="21"/>
      <c r="J217" s="20"/>
      <c r="K217" s="13" t="s">
        <v>299</v>
      </c>
      <c r="L217" s="3"/>
      <c r="M217" s="8"/>
      <c r="N217" s="8"/>
      <c r="O217" s="3"/>
      <c r="P217" s="3"/>
      <c r="Q217" s="3" t="s">
        <v>841</v>
      </c>
      <c r="R217" s="3"/>
    </row>
    <row r="218" spans="1:18">
      <c r="A218" s="14"/>
      <c r="B218" s="9"/>
      <c r="C218" s="10" t="str">
        <f t="shared" si="36"/>
        <v/>
      </c>
      <c r="D218" s="9"/>
      <c r="E218" s="9" t="str">
        <f t="shared" si="35"/>
        <v>DOYOUNG KIM</v>
      </c>
      <c r="F218" s="9"/>
      <c r="G218" s="3"/>
      <c r="H218" s="20"/>
      <c r="I218" s="21"/>
      <c r="J218" s="20"/>
      <c r="K218" s="13" t="s">
        <v>300</v>
      </c>
      <c r="L218" s="3"/>
      <c r="M218" s="8"/>
      <c r="N218" s="8"/>
      <c r="O218" s="3"/>
      <c r="P218" s="3"/>
      <c r="Q218" s="3" t="s">
        <v>842</v>
      </c>
      <c r="R218" s="3"/>
    </row>
    <row r="219" spans="1:18">
      <c r="A219" s="14"/>
      <c r="B219" s="9"/>
      <c r="C219" s="10" t="str">
        <f t="shared" si="36"/>
        <v/>
      </c>
      <c r="D219" s="9"/>
      <c r="E219" s="9" t="str">
        <f t="shared" si="35"/>
        <v>YUNHEE KIM</v>
      </c>
      <c r="F219" s="9"/>
      <c r="G219" s="3"/>
      <c r="H219" s="20"/>
      <c r="I219" s="21"/>
      <c r="J219" s="20"/>
      <c r="K219" s="13" t="s">
        <v>301</v>
      </c>
      <c r="L219" s="3"/>
      <c r="M219" s="8"/>
      <c r="N219" s="8"/>
      <c r="O219" s="21"/>
      <c r="P219" s="3"/>
      <c r="Q219" s="3" t="s">
        <v>843</v>
      </c>
      <c r="R219" s="3"/>
    </row>
    <row r="220" spans="1:18">
      <c r="A220" s="14"/>
      <c r="B220" s="9"/>
      <c r="C220" s="10" t="str">
        <f t="shared" si="36"/>
        <v/>
      </c>
      <c r="D220" s="9"/>
      <c r="E220" s="9" t="str">
        <f t="shared" si="35"/>
        <v>JINHO PARK</v>
      </c>
      <c r="F220" s="9"/>
      <c r="G220" s="3"/>
      <c r="H220" s="20"/>
      <c r="I220" s="21"/>
      <c r="J220" s="20"/>
      <c r="K220" s="2" t="s">
        <v>302</v>
      </c>
      <c r="L220" s="3"/>
      <c r="M220" s="8"/>
      <c r="N220" s="8"/>
      <c r="O220" s="21"/>
      <c r="P220" s="3"/>
      <c r="Q220" s="3" t="s">
        <v>844</v>
      </c>
      <c r="R220" s="3"/>
    </row>
    <row r="221" spans="1:18">
      <c r="A221" s="14"/>
      <c r="B221" s="9"/>
      <c r="C221" s="10" t="str">
        <f t="shared" si="36"/>
        <v/>
      </c>
      <c r="D221" s="9"/>
      <c r="E221" s="9" t="str">
        <f t="shared" si="35"/>
        <v/>
      </c>
      <c r="F221" s="9"/>
      <c r="G221" s="3"/>
      <c r="H221" s="20"/>
      <c r="I221" s="21"/>
      <c r="J221" s="20"/>
      <c r="K221" s="13"/>
      <c r="L221" s="3"/>
      <c r="M221" s="8"/>
      <c r="N221" s="8"/>
      <c r="O221" s="21"/>
      <c r="P221" s="3"/>
      <c r="Q221" s="3"/>
      <c r="R221" s="3"/>
    </row>
    <row r="222" spans="1:18">
      <c r="A222" s="14"/>
      <c r="B222" s="26"/>
      <c r="C222" s="26"/>
      <c r="D222" s="26"/>
      <c r="E222" s="26"/>
      <c r="F222" s="26"/>
      <c r="G222" s="3"/>
      <c r="H222" s="15"/>
      <c r="I222" s="15"/>
      <c r="J222" s="15"/>
      <c r="K222" s="5"/>
      <c r="L222" s="15"/>
      <c r="M222" s="8"/>
      <c r="N222" s="8"/>
      <c r="O222" s="21"/>
      <c r="P222" s="3"/>
      <c r="Q222" s="3"/>
      <c r="R222" s="3"/>
    </row>
    <row r="223" spans="1:18">
      <c r="A223" s="14"/>
      <c r="B223" s="6"/>
      <c r="C223" s="6"/>
      <c r="D223" s="6"/>
      <c r="E223" s="6"/>
      <c r="F223" s="6"/>
      <c r="G223" s="3"/>
      <c r="H223" s="15"/>
      <c r="I223" s="15"/>
      <c r="J223" s="15"/>
      <c r="K223" s="5"/>
      <c r="L223" s="15"/>
      <c r="M223" s="8"/>
      <c r="N223" s="8"/>
      <c r="O223" s="21"/>
      <c r="P223" s="3"/>
      <c r="Q223" s="3"/>
      <c r="R223" s="3"/>
    </row>
    <row r="224" spans="1:18">
      <c r="A224" s="14"/>
      <c r="B224" s="150" t="str">
        <f t="shared" ref="B224:B225" si="37">UPPER(H224)</f>
        <v>ANIMATION</v>
      </c>
      <c r="C224" s="141"/>
      <c r="D224" s="141"/>
      <c r="E224" s="141"/>
      <c r="F224" s="141"/>
      <c r="G224" s="28"/>
      <c r="H224" s="148" t="s">
        <v>290</v>
      </c>
      <c r="I224" s="141"/>
      <c r="J224" s="141"/>
      <c r="K224" s="141"/>
      <c r="L224" s="141"/>
      <c r="M224" s="8"/>
      <c r="N224" s="149" t="s">
        <v>832</v>
      </c>
      <c r="O224" s="141"/>
      <c r="P224" s="141"/>
      <c r="Q224" s="141"/>
      <c r="R224" s="141"/>
    </row>
    <row r="225" spans="1:18">
      <c r="A225" s="14"/>
      <c r="B225" s="146" t="str">
        <f t="shared" si="37"/>
        <v>THE MONK STUDIOS</v>
      </c>
      <c r="C225" s="141"/>
      <c r="D225" s="141"/>
      <c r="E225" s="141"/>
      <c r="F225" s="141"/>
      <c r="G225" s="3"/>
      <c r="H225" s="147" t="s">
        <v>202</v>
      </c>
      <c r="I225" s="141"/>
      <c r="J225" s="141"/>
      <c r="K225" s="141"/>
      <c r="L225" s="141"/>
      <c r="M225" s="8"/>
      <c r="N225" s="147" t="s">
        <v>202</v>
      </c>
      <c r="O225" s="141"/>
      <c r="P225" s="141"/>
      <c r="Q225" s="141"/>
      <c r="R225" s="141"/>
    </row>
    <row r="226" spans="1:18">
      <c r="A226" s="14"/>
      <c r="B226" s="9"/>
      <c r="C226" s="10"/>
      <c r="D226" s="9"/>
      <c r="E226" s="9"/>
      <c r="F226" s="9"/>
      <c r="G226" s="3"/>
      <c r="H226" s="20"/>
      <c r="I226" s="36"/>
      <c r="J226" s="20"/>
      <c r="K226" s="31"/>
      <c r="L226" s="3"/>
      <c r="M226" s="8"/>
      <c r="N226" s="20"/>
      <c r="O226" s="36"/>
      <c r="P226" s="20"/>
      <c r="Q226" s="31"/>
      <c r="R226" s="3"/>
    </row>
    <row r="227" spans="1:18">
      <c r="A227" s="14"/>
      <c r="B227" s="9"/>
      <c r="C227" s="10" t="str">
        <f>UPPER(I227)</f>
        <v>ANIMATION DIRECTOR</v>
      </c>
      <c r="D227" s="9"/>
      <c r="E227" s="9" t="str">
        <f t="shared" ref="E227:E247" si="38">UPPER(K227)</f>
        <v>SUPAPORN KLONGPHAJONKIT</v>
      </c>
      <c r="F227" s="9"/>
      <c r="G227" s="3"/>
      <c r="H227" s="20"/>
      <c r="I227" s="36" t="s">
        <v>291</v>
      </c>
      <c r="J227" s="20"/>
      <c r="K227" s="37" t="s">
        <v>303</v>
      </c>
      <c r="L227" s="3"/>
      <c r="M227" s="8"/>
      <c r="N227" s="20"/>
      <c r="O227" s="36" t="s">
        <v>291</v>
      </c>
      <c r="P227" s="20"/>
      <c r="Q227" s="37" t="s">
        <v>303</v>
      </c>
      <c r="R227" s="3"/>
    </row>
    <row r="228" spans="1:18">
      <c r="A228" s="14"/>
      <c r="B228" s="9"/>
      <c r="C228" s="10"/>
      <c r="D228" s="9"/>
      <c r="E228" s="9" t="str">
        <f t="shared" si="38"/>
        <v/>
      </c>
      <c r="F228" s="9"/>
      <c r="G228" s="3"/>
      <c r="H228" s="20"/>
      <c r="I228" s="36"/>
      <c r="J228" s="20"/>
      <c r="K228" s="37"/>
      <c r="L228" s="3"/>
      <c r="M228" s="8"/>
      <c r="N228" s="20"/>
      <c r="O228" s="36"/>
      <c r="P228" s="20"/>
      <c r="Q228" s="37"/>
      <c r="R228" s="3"/>
    </row>
    <row r="229" spans="1:18">
      <c r="A229" s="14"/>
      <c r="B229" s="9"/>
      <c r="C229" s="10" t="str">
        <f t="shared" ref="C229:C230" si="39">UPPER(I229)</f>
        <v>ANIMATION SUPERVISOR</v>
      </c>
      <c r="D229" s="9"/>
      <c r="E229" s="9" t="str">
        <f t="shared" si="38"/>
        <v>CHET JEAMKITRUNG</v>
      </c>
      <c r="F229" s="9"/>
      <c r="G229" s="3"/>
      <c r="H229" s="20"/>
      <c r="I229" s="36" t="s">
        <v>293</v>
      </c>
      <c r="J229" s="20"/>
      <c r="K229" s="37" t="s">
        <v>304</v>
      </c>
      <c r="L229" s="3"/>
      <c r="M229" s="8"/>
      <c r="N229" s="20"/>
      <c r="O229" s="36" t="s">
        <v>293</v>
      </c>
      <c r="P229" s="20"/>
      <c r="Q229" s="37" t="s">
        <v>304</v>
      </c>
      <c r="R229" s="3"/>
    </row>
    <row r="230" spans="1:18">
      <c r="A230" s="14"/>
      <c r="B230" s="9"/>
      <c r="C230" s="10" t="str">
        <f t="shared" si="39"/>
        <v/>
      </c>
      <c r="D230" s="9"/>
      <c r="E230" s="9" t="str">
        <f t="shared" si="38"/>
        <v>DONNAPAT CHANTAVICHANUWONG</v>
      </c>
      <c r="F230" s="9"/>
      <c r="G230" s="3"/>
      <c r="H230" s="20"/>
      <c r="I230" s="36"/>
      <c r="J230" s="20"/>
      <c r="K230" s="37" t="s">
        <v>305</v>
      </c>
      <c r="L230" s="3"/>
      <c r="M230" s="8"/>
      <c r="N230" s="20"/>
      <c r="O230" s="36"/>
      <c r="P230" s="20"/>
      <c r="Q230" s="37" t="s">
        <v>305</v>
      </c>
      <c r="R230" s="3"/>
    </row>
    <row r="231" spans="1:18">
      <c r="A231" s="14"/>
      <c r="B231" s="9"/>
      <c r="C231" s="10"/>
      <c r="D231" s="9"/>
      <c r="E231" s="9" t="str">
        <f t="shared" si="38"/>
        <v/>
      </c>
      <c r="F231" s="9"/>
      <c r="G231" s="3"/>
      <c r="H231" s="20"/>
      <c r="I231" s="36"/>
      <c r="J231" s="20"/>
      <c r="K231" s="37"/>
      <c r="L231" s="3"/>
      <c r="M231" s="8"/>
      <c r="N231" s="20"/>
      <c r="O231" s="36"/>
      <c r="P231" s="20"/>
      <c r="Q231" s="37"/>
      <c r="R231" s="3"/>
    </row>
    <row r="232" spans="1:18">
      <c r="A232" s="14"/>
      <c r="B232" s="9"/>
      <c r="C232" s="10" t="str">
        <f t="shared" ref="C232:C244" si="40">UPPER(I232)</f>
        <v>ANIMATOR</v>
      </c>
      <c r="D232" s="9"/>
      <c r="E232" s="9" t="str">
        <f t="shared" si="38"/>
        <v>CHATTRIYA THATAYU</v>
      </c>
      <c r="F232" s="9"/>
      <c r="G232" s="3"/>
      <c r="H232" s="20"/>
      <c r="I232" s="36" t="s">
        <v>296</v>
      </c>
      <c r="J232" s="20"/>
      <c r="K232" s="37" t="s">
        <v>306</v>
      </c>
      <c r="L232" s="3"/>
      <c r="M232" s="8"/>
      <c r="N232" s="20"/>
      <c r="O232" s="36" t="s">
        <v>296</v>
      </c>
      <c r="P232" s="20"/>
      <c r="Q232" s="37" t="s">
        <v>306</v>
      </c>
      <c r="R232" s="3"/>
    </row>
    <row r="233" spans="1:18">
      <c r="A233" s="14"/>
      <c r="B233" s="9"/>
      <c r="C233" s="10" t="str">
        <f t="shared" si="40"/>
        <v/>
      </c>
      <c r="D233" s="9"/>
      <c r="E233" s="9" t="str">
        <f t="shared" si="38"/>
        <v>JATURATHEP KONGKHIAW</v>
      </c>
      <c r="F233" s="9"/>
      <c r="G233" s="3"/>
      <c r="H233" s="20"/>
      <c r="I233" s="21"/>
      <c r="J233" s="20"/>
      <c r="K233" s="37" t="s">
        <v>307</v>
      </c>
      <c r="L233" s="3"/>
      <c r="M233" s="8"/>
      <c r="N233" s="20"/>
      <c r="O233" s="21"/>
      <c r="P233" s="20"/>
      <c r="Q233" s="37" t="s">
        <v>307</v>
      </c>
      <c r="R233" s="3"/>
    </row>
    <row r="234" spans="1:18">
      <c r="A234" s="14"/>
      <c r="B234" s="9"/>
      <c r="C234" s="10" t="str">
        <f t="shared" si="40"/>
        <v/>
      </c>
      <c r="D234" s="9"/>
      <c r="E234" s="9" t="str">
        <f t="shared" si="38"/>
        <v>KAMPHON NGERNSONG</v>
      </c>
      <c r="F234" s="9"/>
      <c r="G234" s="3"/>
      <c r="H234" s="20"/>
      <c r="I234" s="21"/>
      <c r="J234" s="20"/>
      <c r="K234" s="37" t="s">
        <v>308</v>
      </c>
      <c r="L234" s="3"/>
      <c r="M234" s="8"/>
      <c r="N234" s="20"/>
      <c r="O234" s="21"/>
      <c r="P234" s="20"/>
      <c r="Q234" s="37" t="s">
        <v>308</v>
      </c>
      <c r="R234" s="3"/>
    </row>
    <row r="235" spans="1:18">
      <c r="A235" s="14"/>
      <c r="B235" s="9"/>
      <c r="C235" s="10" t="str">
        <f t="shared" si="40"/>
        <v/>
      </c>
      <c r="D235" s="9"/>
      <c r="E235" s="9" t="str">
        <f t="shared" si="38"/>
        <v>KHWANCHANOK LAEPET</v>
      </c>
      <c r="F235" s="9"/>
      <c r="G235" s="3"/>
      <c r="H235" s="20"/>
      <c r="I235" s="21"/>
      <c r="J235" s="20"/>
      <c r="K235" s="37" t="s">
        <v>309</v>
      </c>
      <c r="L235" s="3"/>
      <c r="M235" s="8"/>
      <c r="N235" s="20"/>
      <c r="O235" s="21"/>
      <c r="P235" s="20"/>
      <c r="Q235" s="37" t="s">
        <v>309</v>
      </c>
      <c r="R235" s="3"/>
    </row>
    <row r="236" spans="1:18">
      <c r="A236" s="14"/>
      <c r="B236" s="9"/>
      <c r="C236" s="10" t="str">
        <f t="shared" si="40"/>
        <v/>
      </c>
      <c r="D236" s="9"/>
      <c r="E236" s="9" t="str">
        <f t="shared" si="38"/>
        <v>KORAPATH WUNCHUM</v>
      </c>
      <c r="F236" s="9"/>
      <c r="G236" s="3"/>
      <c r="H236" s="20"/>
      <c r="I236" s="21"/>
      <c r="J236" s="20"/>
      <c r="K236" s="37" t="s">
        <v>310</v>
      </c>
      <c r="L236" s="3"/>
      <c r="M236" s="8"/>
      <c r="N236" s="20"/>
      <c r="O236" s="21"/>
      <c r="P236" s="20"/>
      <c r="Q236" s="37" t="s">
        <v>310</v>
      </c>
      <c r="R236" s="3"/>
    </row>
    <row r="237" spans="1:18">
      <c r="A237" s="14"/>
      <c r="B237" s="9"/>
      <c r="C237" s="10" t="str">
        <f t="shared" si="40"/>
        <v/>
      </c>
      <c r="D237" s="9"/>
      <c r="E237" s="9" t="str">
        <f t="shared" si="38"/>
        <v>NANTATCHAPORN MATTARAS</v>
      </c>
      <c r="F237" s="9"/>
      <c r="G237" s="3"/>
      <c r="H237" s="20"/>
      <c r="I237" s="21"/>
      <c r="J237" s="20"/>
      <c r="K237" s="37" t="s">
        <v>311</v>
      </c>
      <c r="L237" s="3"/>
      <c r="M237" s="8"/>
      <c r="N237" s="20"/>
      <c r="O237" s="21"/>
      <c r="P237" s="20"/>
      <c r="Q237" s="37" t="s">
        <v>311</v>
      </c>
      <c r="R237" s="3"/>
    </row>
    <row r="238" spans="1:18">
      <c r="A238" s="14"/>
      <c r="B238" s="9"/>
      <c r="C238" s="10" t="str">
        <f t="shared" si="40"/>
        <v/>
      </c>
      <c r="D238" s="9"/>
      <c r="E238" s="9" t="str">
        <f t="shared" si="38"/>
        <v>NATTACHAI KANOKSINSOMBOON</v>
      </c>
      <c r="F238" s="9"/>
      <c r="G238" s="3"/>
      <c r="H238" s="20"/>
      <c r="I238" s="21"/>
      <c r="J238" s="20"/>
      <c r="K238" s="37" t="s">
        <v>312</v>
      </c>
      <c r="L238" s="3"/>
      <c r="M238" s="8"/>
      <c r="N238" s="20"/>
      <c r="O238" s="21"/>
      <c r="P238" s="20"/>
      <c r="Q238" s="37" t="s">
        <v>312</v>
      </c>
      <c r="R238" s="3"/>
    </row>
    <row r="239" spans="1:18">
      <c r="A239" s="14"/>
      <c r="B239" s="9"/>
      <c r="C239" s="10" t="str">
        <f t="shared" si="40"/>
        <v/>
      </c>
      <c r="D239" s="9"/>
      <c r="E239" s="9" t="str">
        <f t="shared" si="38"/>
        <v>NATTAWAT TADNOOM</v>
      </c>
      <c r="F239" s="9"/>
      <c r="G239" s="3"/>
      <c r="H239" s="20"/>
      <c r="I239" s="21"/>
      <c r="J239" s="20"/>
      <c r="K239" s="37" t="s">
        <v>313</v>
      </c>
      <c r="L239" s="3"/>
      <c r="M239" s="8"/>
      <c r="N239" s="20"/>
      <c r="O239" s="21"/>
      <c r="P239" s="20"/>
      <c r="Q239" s="37" t="s">
        <v>313</v>
      </c>
      <c r="R239" s="3"/>
    </row>
    <row r="240" spans="1:18">
      <c r="A240" s="14"/>
      <c r="B240" s="9"/>
      <c r="C240" s="10" t="str">
        <f t="shared" si="40"/>
        <v/>
      </c>
      <c r="D240" s="9"/>
      <c r="E240" s="9" t="str">
        <f t="shared" si="38"/>
        <v>NATTAWUT TONGPOR</v>
      </c>
      <c r="F240" s="9"/>
      <c r="G240" s="3"/>
      <c r="H240" s="20"/>
      <c r="I240" s="21"/>
      <c r="J240" s="20"/>
      <c r="K240" s="37" t="s">
        <v>314</v>
      </c>
      <c r="L240" s="3"/>
      <c r="M240" s="8"/>
      <c r="N240" s="20"/>
      <c r="O240" s="21"/>
      <c r="P240" s="20"/>
      <c r="Q240" s="37" t="s">
        <v>314</v>
      </c>
      <c r="R240" s="3"/>
    </row>
    <row r="241" spans="1:18">
      <c r="A241" s="14"/>
      <c r="B241" s="9"/>
      <c r="C241" s="10" t="str">
        <f t="shared" si="40"/>
        <v/>
      </c>
      <c r="D241" s="9"/>
      <c r="E241" s="9" t="str">
        <f t="shared" si="38"/>
        <v>NAVATEP DANKAO</v>
      </c>
      <c r="F241" s="9"/>
      <c r="G241" s="3"/>
      <c r="H241" s="20"/>
      <c r="I241" s="21"/>
      <c r="J241" s="20"/>
      <c r="K241" s="37" t="s">
        <v>315</v>
      </c>
      <c r="L241" s="3"/>
      <c r="M241" s="8"/>
      <c r="N241" s="20"/>
      <c r="O241" s="21"/>
      <c r="P241" s="20"/>
      <c r="Q241" s="37" t="s">
        <v>315</v>
      </c>
      <c r="R241" s="3"/>
    </row>
    <row r="242" spans="1:18">
      <c r="A242" s="14"/>
      <c r="B242" s="9"/>
      <c r="C242" s="10" t="str">
        <f t="shared" si="40"/>
        <v/>
      </c>
      <c r="D242" s="9"/>
      <c r="E242" s="9" t="str">
        <f t="shared" si="38"/>
        <v>PARINYA SUPANNO</v>
      </c>
      <c r="F242" s="9"/>
      <c r="G242" s="3"/>
      <c r="H242" s="20"/>
      <c r="I242" s="21"/>
      <c r="J242" s="20"/>
      <c r="K242" s="37" t="s">
        <v>316</v>
      </c>
      <c r="L242" s="3"/>
      <c r="M242" s="8"/>
      <c r="N242" s="20"/>
      <c r="O242" s="21"/>
      <c r="P242" s="20"/>
      <c r="Q242" s="37" t="s">
        <v>316</v>
      </c>
      <c r="R242" s="3"/>
    </row>
    <row r="243" spans="1:18">
      <c r="A243" s="14"/>
      <c r="B243" s="9"/>
      <c r="C243" s="10" t="str">
        <f t="shared" si="40"/>
        <v/>
      </c>
      <c r="D243" s="9"/>
      <c r="E243" s="9" t="str">
        <f t="shared" si="38"/>
        <v>PATTARAWUT JARUPRAMOTE</v>
      </c>
      <c r="F243" s="9"/>
      <c r="G243" s="3"/>
      <c r="H243" s="20"/>
      <c r="I243" s="21"/>
      <c r="J243" s="20"/>
      <c r="K243" s="37" t="s">
        <v>317</v>
      </c>
      <c r="L243" s="3"/>
      <c r="M243" s="8"/>
      <c r="N243" s="20"/>
      <c r="O243" s="21"/>
      <c r="P243" s="20"/>
      <c r="Q243" s="37" t="s">
        <v>317</v>
      </c>
      <c r="R243" s="3"/>
    </row>
    <row r="244" spans="1:18">
      <c r="A244" s="14"/>
      <c r="B244" s="9"/>
      <c r="C244" s="10" t="str">
        <f t="shared" si="40"/>
        <v/>
      </c>
      <c r="D244" s="9"/>
      <c r="E244" s="9" t="str">
        <f t="shared" si="38"/>
        <v>PETCH SORNSIRI</v>
      </c>
      <c r="F244" s="9"/>
      <c r="G244" s="3"/>
      <c r="H244" s="20"/>
      <c r="I244" s="21"/>
      <c r="J244" s="20"/>
      <c r="K244" s="37" t="s">
        <v>318</v>
      </c>
      <c r="L244" s="3"/>
      <c r="M244" s="8"/>
      <c r="N244" s="20"/>
      <c r="O244" s="21"/>
      <c r="P244" s="20"/>
      <c r="Q244" s="37" t="s">
        <v>318</v>
      </c>
      <c r="R244" s="3"/>
    </row>
    <row r="245" spans="1:18">
      <c r="A245" s="14"/>
      <c r="B245" s="9"/>
      <c r="C245" s="10"/>
      <c r="D245" s="9"/>
      <c r="E245" s="9" t="str">
        <f t="shared" si="38"/>
        <v>RATCHATA DADUANG</v>
      </c>
      <c r="F245" s="9"/>
      <c r="G245" s="3"/>
      <c r="H245" s="20"/>
      <c r="I245" s="21"/>
      <c r="J245" s="20"/>
      <c r="K245" s="37" t="s">
        <v>319</v>
      </c>
      <c r="L245" s="3"/>
      <c r="M245" s="8"/>
      <c r="N245" s="20"/>
      <c r="O245" s="21"/>
      <c r="P245" s="20"/>
      <c r="Q245" s="37" t="s">
        <v>319</v>
      </c>
      <c r="R245" s="3"/>
    </row>
    <row r="246" spans="1:18">
      <c r="A246" s="14"/>
      <c r="B246" s="9"/>
      <c r="C246" s="10"/>
      <c r="D246" s="9"/>
      <c r="E246" s="9" t="str">
        <f t="shared" si="38"/>
        <v>MUHAMMAD RAUF</v>
      </c>
      <c r="F246" s="9"/>
      <c r="G246" s="3"/>
      <c r="H246" s="20"/>
      <c r="I246" s="21"/>
      <c r="J246" s="20"/>
      <c r="K246" s="37" t="s">
        <v>320</v>
      </c>
      <c r="L246" s="3"/>
      <c r="M246" s="8"/>
      <c r="N246" s="20"/>
      <c r="O246" s="21"/>
      <c r="P246" s="20"/>
      <c r="Q246" s="37" t="s">
        <v>320</v>
      </c>
      <c r="R246" s="3"/>
    </row>
    <row r="247" spans="1:18">
      <c r="A247" s="14"/>
      <c r="B247" s="9"/>
      <c r="C247" s="10"/>
      <c r="D247" s="9"/>
      <c r="E247" s="9" t="str">
        <f t="shared" si="38"/>
        <v>SARUT PONGSRI</v>
      </c>
      <c r="F247" s="9"/>
      <c r="G247" s="3"/>
      <c r="H247" s="20"/>
      <c r="I247" s="21"/>
      <c r="J247" s="20"/>
      <c r="K247" s="37" t="s">
        <v>321</v>
      </c>
      <c r="L247" s="3"/>
      <c r="M247" s="8"/>
      <c r="N247" s="20"/>
      <c r="O247" s="21"/>
      <c r="P247" s="20"/>
      <c r="Q247" s="37" t="s">
        <v>321</v>
      </c>
      <c r="R247" s="3"/>
    </row>
    <row r="248" spans="1:18">
      <c r="A248" s="14"/>
      <c r="B248" s="9"/>
      <c r="C248" s="10"/>
      <c r="D248" s="9"/>
      <c r="E248" s="9"/>
      <c r="F248" s="9"/>
      <c r="G248" s="3"/>
      <c r="H248" s="20"/>
      <c r="I248" s="21"/>
      <c r="J248" s="20"/>
      <c r="K248" s="31"/>
      <c r="L248" s="3"/>
      <c r="M248" s="8"/>
      <c r="N248" s="8"/>
      <c r="O248" s="21"/>
      <c r="P248" s="3"/>
      <c r="Q248" s="3"/>
      <c r="R248" s="3"/>
    </row>
    <row r="249" spans="1:18">
      <c r="A249" s="14"/>
      <c r="B249" s="11"/>
      <c r="C249" s="12"/>
      <c r="D249" s="11"/>
      <c r="E249" s="11"/>
      <c r="F249" s="11"/>
      <c r="G249" s="3"/>
      <c r="H249" s="20"/>
      <c r="I249" s="21"/>
      <c r="J249" s="20"/>
      <c r="K249" s="31"/>
      <c r="L249" s="3"/>
      <c r="M249" s="8"/>
      <c r="N249" s="8"/>
      <c r="O249" s="21"/>
      <c r="P249" s="3"/>
      <c r="Q249" s="3"/>
      <c r="R249" s="3"/>
    </row>
    <row r="250" spans="1:18">
      <c r="A250" s="14"/>
      <c r="B250" s="9"/>
      <c r="C250" s="10"/>
      <c r="D250" s="9"/>
      <c r="E250" s="9"/>
      <c r="F250" s="9"/>
      <c r="G250" s="3"/>
      <c r="H250" s="20"/>
      <c r="I250" s="21"/>
      <c r="J250" s="20"/>
      <c r="K250" s="31"/>
      <c r="L250" s="3"/>
      <c r="M250" s="8"/>
      <c r="N250" s="8"/>
      <c r="O250" s="21"/>
      <c r="P250" s="3"/>
      <c r="Q250" s="3"/>
      <c r="R250" s="3"/>
    </row>
    <row r="251" spans="1:18">
      <c r="A251" s="14"/>
      <c r="B251" s="150" t="str">
        <f t="shared" ref="B251:B252" si="41">UPPER(H251)</f>
        <v>ANIMATION</v>
      </c>
      <c r="C251" s="141"/>
      <c r="D251" s="141"/>
      <c r="E251" s="141"/>
      <c r="F251" s="141"/>
      <c r="G251" s="28"/>
      <c r="H251" s="148" t="s">
        <v>290</v>
      </c>
      <c r="I251" s="141"/>
      <c r="J251" s="141"/>
      <c r="K251" s="141"/>
      <c r="L251" s="141"/>
      <c r="M251" s="8"/>
      <c r="N251" s="149" t="s">
        <v>832</v>
      </c>
      <c r="O251" s="141"/>
      <c r="P251" s="141"/>
      <c r="Q251" s="141"/>
      <c r="R251" s="141"/>
    </row>
    <row r="252" spans="1:18">
      <c r="A252" s="14"/>
      <c r="B252" s="146" t="str">
        <f t="shared" si="41"/>
        <v>THE MONK STUDIOS</v>
      </c>
      <c r="C252" s="141"/>
      <c r="D252" s="141"/>
      <c r="E252" s="141"/>
      <c r="F252" s="141"/>
      <c r="G252" s="3"/>
      <c r="H252" s="147" t="s">
        <v>202</v>
      </c>
      <c r="I252" s="141"/>
      <c r="J252" s="141"/>
      <c r="K252" s="141"/>
      <c r="L252" s="141"/>
      <c r="M252" s="8"/>
      <c r="N252" s="147" t="s">
        <v>202</v>
      </c>
      <c r="O252" s="141"/>
      <c r="P252" s="141"/>
      <c r="Q252" s="141"/>
      <c r="R252" s="141"/>
    </row>
    <row r="253" spans="1:18">
      <c r="A253" s="14"/>
      <c r="B253" s="9"/>
      <c r="C253" s="10"/>
      <c r="D253" s="9"/>
      <c r="E253" s="9"/>
      <c r="F253" s="9"/>
      <c r="G253" s="3"/>
      <c r="H253" s="20"/>
      <c r="I253" s="36"/>
      <c r="J253" s="20"/>
      <c r="K253" s="31"/>
      <c r="L253" s="3"/>
      <c r="M253" s="8"/>
      <c r="N253" s="20"/>
      <c r="O253" s="36"/>
      <c r="P253" s="20"/>
      <c r="Q253" s="31"/>
      <c r="R253" s="3"/>
    </row>
    <row r="254" spans="1:18">
      <c r="A254" s="14"/>
      <c r="B254" s="9"/>
      <c r="C254" s="10" t="str">
        <f t="shared" ref="C254:C263" si="42">UPPER(I254)</f>
        <v>ANIMATOR</v>
      </c>
      <c r="D254" s="9"/>
      <c r="E254" s="9" t="str">
        <f t="shared" ref="E254:E263" si="43">UPPER(K254)</f>
        <v>SUPICHA SITTI</v>
      </c>
      <c r="F254" s="9"/>
      <c r="G254" s="3"/>
      <c r="H254" s="20"/>
      <c r="I254" s="36" t="s">
        <v>296</v>
      </c>
      <c r="J254" s="20"/>
      <c r="K254" s="31" t="s">
        <v>322</v>
      </c>
      <c r="L254" s="3"/>
      <c r="M254" s="8"/>
      <c r="N254" s="20"/>
      <c r="O254" s="36" t="s">
        <v>296</v>
      </c>
      <c r="P254" s="20"/>
      <c r="Q254" s="31" t="s">
        <v>322</v>
      </c>
      <c r="R254" s="3"/>
    </row>
    <row r="255" spans="1:18">
      <c r="A255" s="14"/>
      <c r="B255" s="9"/>
      <c r="C255" s="10" t="str">
        <f t="shared" si="42"/>
        <v/>
      </c>
      <c r="D255" s="9"/>
      <c r="E255" s="9" t="str">
        <f t="shared" si="43"/>
        <v>TANADON SRISOMSONG</v>
      </c>
      <c r="F255" s="9"/>
      <c r="G255" s="3"/>
      <c r="H255" s="20"/>
      <c r="I255" s="36"/>
      <c r="J255" s="20"/>
      <c r="K255" s="31" t="s">
        <v>323</v>
      </c>
      <c r="L255" s="3"/>
      <c r="M255" s="8"/>
      <c r="N255" s="20"/>
      <c r="O255" s="36"/>
      <c r="P255" s="20"/>
      <c r="Q255" s="31" t="s">
        <v>323</v>
      </c>
      <c r="R255" s="3"/>
    </row>
    <row r="256" spans="1:18">
      <c r="A256" s="14"/>
      <c r="B256" s="9"/>
      <c r="C256" s="10" t="str">
        <f t="shared" si="42"/>
        <v/>
      </c>
      <c r="D256" s="9"/>
      <c r="E256" s="9" t="str">
        <f t="shared" si="43"/>
        <v>SUTHIROJ JAYASANANON</v>
      </c>
      <c r="F256" s="9"/>
      <c r="G256" s="3"/>
      <c r="H256" s="20"/>
      <c r="I256" s="21"/>
      <c r="J256" s="20"/>
      <c r="K256" s="31" t="s">
        <v>324</v>
      </c>
      <c r="L256" s="3"/>
      <c r="M256" s="8"/>
      <c r="N256" s="20"/>
      <c r="O256" s="21"/>
      <c r="P256" s="20"/>
      <c r="Q256" s="31" t="s">
        <v>324</v>
      </c>
      <c r="R256" s="3"/>
    </row>
    <row r="257" spans="1:18">
      <c r="A257" s="14"/>
      <c r="B257" s="9"/>
      <c r="C257" s="10" t="str">
        <f t="shared" si="42"/>
        <v/>
      </c>
      <c r="D257" s="9"/>
      <c r="E257" s="9" t="str">
        <f t="shared" si="43"/>
        <v>WORAPON PONCHAICHAROENKIT</v>
      </c>
      <c r="F257" s="9"/>
      <c r="G257" s="3"/>
      <c r="H257" s="20"/>
      <c r="I257" s="21"/>
      <c r="J257" s="20"/>
      <c r="K257" s="31" t="s">
        <v>325</v>
      </c>
      <c r="L257" s="3"/>
      <c r="M257" s="8"/>
      <c r="N257" s="20"/>
      <c r="O257" s="21"/>
      <c r="P257" s="20"/>
      <c r="Q257" s="31" t="s">
        <v>325</v>
      </c>
      <c r="R257" s="3"/>
    </row>
    <row r="258" spans="1:18">
      <c r="A258" s="14"/>
      <c r="B258" s="9"/>
      <c r="C258" s="10" t="str">
        <f t="shared" si="42"/>
        <v/>
      </c>
      <c r="D258" s="9"/>
      <c r="E258" s="9" t="str">
        <f t="shared" si="43"/>
        <v>THANAPHA YANA</v>
      </c>
      <c r="F258" s="9"/>
      <c r="G258" s="3"/>
      <c r="H258" s="20"/>
      <c r="I258" s="21"/>
      <c r="J258" s="20"/>
      <c r="K258" s="31" t="s">
        <v>326</v>
      </c>
      <c r="L258" s="3"/>
      <c r="M258" s="8"/>
      <c r="N258" s="20"/>
      <c r="O258" s="21"/>
      <c r="P258" s="20"/>
      <c r="Q258" s="31" t="s">
        <v>326</v>
      </c>
      <c r="R258" s="3"/>
    </row>
    <row r="259" spans="1:18">
      <c r="A259" s="14"/>
      <c r="B259" s="9"/>
      <c r="C259" s="10" t="str">
        <f t="shared" si="42"/>
        <v/>
      </c>
      <c r="D259" s="9"/>
      <c r="E259" s="9" t="str">
        <f t="shared" si="43"/>
        <v>THARADON KHONGTHUENG</v>
      </c>
      <c r="F259" s="9"/>
      <c r="G259" s="3"/>
      <c r="H259" s="20"/>
      <c r="I259" s="21"/>
      <c r="J259" s="20"/>
      <c r="K259" s="31" t="s">
        <v>327</v>
      </c>
      <c r="L259" s="3"/>
      <c r="M259" s="8"/>
      <c r="N259" s="20"/>
      <c r="O259" s="21"/>
      <c r="P259" s="20"/>
      <c r="Q259" s="31" t="s">
        <v>327</v>
      </c>
      <c r="R259" s="3"/>
    </row>
    <row r="260" spans="1:18">
      <c r="A260" s="14"/>
      <c r="B260" s="9"/>
      <c r="C260" s="10" t="str">
        <f t="shared" si="42"/>
        <v/>
      </c>
      <c r="D260" s="9"/>
      <c r="E260" s="9" t="str">
        <f t="shared" si="43"/>
        <v>MONNATEE KULPANUN</v>
      </c>
      <c r="F260" s="9"/>
      <c r="G260" s="3"/>
      <c r="H260" s="20"/>
      <c r="I260" s="21"/>
      <c r="J260" s="20"/>
      <c r="K260" s="31" t="s">
        <v>328</v>
      </c>
      <c r="L260" s="3"/>
      <c r="M260" s="8"/>
      <c r="N260" s="20"/>
      <c r="O260" s="21"/>
      <c r="P260" s="20"/>
      <c r="Q260" s="31" t="s">
        <v>328</v>
      </c>
      <c r="R260" s="3"/>
    </row>
    <row r="261" spans="1:18">
      <c r="A261" s="14"/>
      <c r="B261" s="9"/>
      <c r="C261" s="10" t="str">
        <f t="shared" si="42"/>
        <v/>
      </c>
      <c r="D261" s="9"/>
      <c r="E261" s="9" t="str">
        <f t="shared" si="43"/>
        <v>JIRAPORN SOONLIANG</v>
      </c>
      <c r="F261" s="9"/>
      <c r="G261" s="3"/>
      <c r="H261" s="20"/>
      <c r="I261" s="21"/>
      <c r="J261" s="20"/>
      <c r="K261" s="31" t="s">
        <v>329</v>
      </c>
      <c r="L261" s="3"/>
      <c r="M261" s="8"/>
      <c r="N261" s="20"/>
      <c r="O261" s="21"/>
      <c r="P261" s="20"/>
      <c r="Q261" s="31" t="s">
        <v>329</v>
      </c>
      <c r="R261" s="3"/>
    </row>
    <row r="262" spans="1:18">
      <c r="A262" s="14"/>
      <c r="B262" s="9"/>
      <c r="C262" s="10" t="str">
        <f t="shared" si="42"/>
        <v/>
      </c>
      <c r="D262" s="9"/>
      <c r="E262" s="9" t="str">
        <f t="shared" si="43"/>
        <v/>
      </c>
      <c r="F262" s="9"/>
      <c r="G262" s="3"/>
      <c r="H262" s="20"/>
      <c r="I262" s="21"/>
      <c r="J262" s="20"/>
      <c r="K262" s="13"/>
      <c r="L262" s="3"/>
      <c r="M262" s="8"/>
      <c r="N262" s="8"/>
      <c r="O262" s="21"/>
      <c r="P262" s="3"/>
      <c r="Q262" s="3"/>
      <c r="R262" s="3"/>
    </row>
    <row r="263" spans="1:18">
      <c r="A263" s="14"/>
      <c r="B263" s="11"/>
      <c r="C263" s="12" t="str">
        <f t="shared" si="42"/>
        <v/>
      </c>
      <c r="D263" s="11"/>
      <c r="E263" s="11" t="str">
        <f t="shared" si="43"/>
        <v/>
      </c>
      <c r="F263" s="11"/>
      <c r="G263" s="3"/>
      <c r="H263" s="20"/>
      <c r="I263" s="21"/>
      <c r="J263" s="20"/>
      <c r="K263" s="13"/>
      <c r="L263" s="3"/>
      <c r="M263" s="3"/>
      <c r="N263" s="3"/>
      <c r="O263" s="21"/>
      <c r="P263" s="3"/>
      <c r="Q263" s="3"/>
      <c r="R263" s="3"/>
    </row>
    <row r="264" spans="1:18">
      <c r="A264" s="14"/>
      <c r="B264" s="6"/>
      <c r="C264" s="6"/>
      <c r="D264" s="6"/>
      <c r="E264" s="6"/>
      <c r="F264" s="6"/>
      <c r="G264" s="3"/>
      <c r="H264" s="27"/>
      <c r="I264" s="21"/>
      <c r="J264" s="27"/>
      <c r="K264" s="13"/>
      <c r="L264" s="7"/>
      <c r="M264" s="8"/>
      <c r="N264" s="8"/>
      <c r="O264" s="21"/>
      <c r="P264" s="3"/>
      <c r="Q264" s="3"/>
      <c r="R264" s="3"/>
    </row>
    <row r="265" spans="1:18">
      <c r="A265" s="14"/>
      <c r="B265" s="150" t="str">
        <f>UPPER(H265)</f>
        <v>LIGHTING / VFX / COMPOSITING</v>
      </c>
      <c r="C265" s="141"/>
      <c r="D265" s="141"/>
      <c r="E265" s="141"/>
      <c r="F265" s="141"/>
      <c r="G265" s="28"/>
      <c r="H265" s="148" t="s">
        <v>330</v>
      </c>
      <c r="I265" s="141"/>
      <c r="J265" s="141"/>
      <c r="K265" s="141"/>
      <c r="L265" s="141"/>
      <c r="M265" s="29"/>
      <c r="N265" s="149" t="s">
        <v>845</v>
      </c>
      <c r="O265" s="141"/>
      <c r="P265" s="141"/>
      <c r="Q265" s="141"/>
      <c r="R265" s="141"/>
    </row>
    <row r="266" spans="1:18">
      <c r="A266" s="14"/>
      <c r="B266" s="9"/>
      <c r="C266" s="10" t="str">
        <f t="shared" ref="C266:C275" si="44">UPPER(I266)</f>
        <v>VFX SUPERVISOR</v>
      </c>
      <c r="D266" s="9"/>
      <c r="E266" s="9" t="str">
        <f t="shared" ref="E266:E275" si="45">UPPER(K266)</f>
        <v>HYEONGKI KIM</v>
      </c>
      <c r="F266" s="9"/>
      <c r="G266" s="3"/>
      <c r="H266" s="20"/>
      <c r="I266" s="21" t="s">
        <v>331</v>
      </c>
      <c r="J266" s="20"/>
      <c r="K266" s="13" t="s">
        <v>332</v>
      </c>
      <c r="L266" s="3"/>
      <c r="M266" s="8"/>
      <c r="N266" s="8"/>
      <c r="O266" s="8" t="s">
        <v>846</v>
      </c>
      <c r="P266" s="3"/>
      <c r="Q266" s="3" t="s">
        <v>847</v>
      </c>
      <c r="R266" s="3"/>
    </row>
    <row r="267" spans="1:18">
      <c r="A267" s="14"/>
      <c r="B267" s="9"/>
      <c r="C267" s="10" t="str">
        <f t="shared" si="44"/>
        <v/>
      </c>
      <c r="D267" s="9"/>
      <c r="E267" s="9" t="str">
        <f t="shared" si="45"/>
        <v/>
      </c>
      <c r="F267" s="9"/>
      <c r="G267" s="3"/>
      <c r="H267" s="20"/>
      <c r="I267" s="21"/>
      <c r="J267" s="20"/>
      <c r="K267" s="13"/>
      <c r="L267" s="3"/>
      <c r="M267" s="8"/>
      <c r="N267" s="8"/>
      <c r="O267" s="8"/>
      <c r="P267" s="3"/>
      <c r="Q267" s="3"/>
      <c r="R267" s="3"/>
    </row>
    <row r="268" spans="1:18">
      <c r="A268" s="14"/>
      <c r="B268" s="9"/>
      <c r="C268" s="10" t="str">
        <f t="shared" si="44"/>
        <v>LIGHTING SUPERVISOR</v>
      </c>
      <c r="D268" s="9"/>
      <c r="E268" s="9" t="str">
        <f t="shared" si="45"/>
        <v>TAE-IN LEE</v>
      </c>
      <c r="F268" s="9"/>
      <c r="G268" s="3"/>
      <c r="H268" s="20"/>
      <c r="I268" s="21" t="s">
        <v>333</v>
      </c>
      <c r="J268" s="20"/>
      <c r="K268" s="13" t="s">
        <v>334</v>
      </c>
      <c r="L268" s="3"/>
      <c r="M268" s="8"/>
      <c r="N268" s="8"/>
      <c r="O268" s="8" t="s">
        <v>848</v>
      </c>
      <c r="P268" s="3"/>
      <c r="Q268" s="3" t="s">
        <v>849</v>
      </c>
      <c r="R268" s="3"/>
    </row>
    <row r="269" spans="1:18">
      <c r="A269" s="14"/>
      <c r="B269" s="9"/>
      <c r="C269" s="10" t="str">
        <f t="shared" si="44"/>
        <v>LIGHTING ARTIST</v>
      </c>
      <c r="D269" s="9"/>
      <c r="E269" s="9" t="str">
        <f t="shared" si="45"/>
        <v>BYEONGHYEON HWANG</v>
      </c>
      <c r="F269" s="9"/>
      <c r="G269" s="3"/>
      <c r="H269" s="20"/>
      <c r="I269" s="21" t="s">
        <v>335</v>
      </c>
      <c r="J269" s="20"/>
      <c r="K269" s="13" t="s">
        <v>336</v>
      </c>
      <c r="L269" s="3"/>
      <c r="M269" s="8"/>
      <c r="N269" s="8"/>
      <c r="O269" s="8" t="s">
        <v>850</v>
      </c>
      <c r="P269" s="3"/>
      <c r="Q269" s="3" t="s">
        <v>851</v>
      </c>
      <c r="R269" s="3"/>
    </row>
    <row r="270" spans="1:18">
      <c r="A270" s="14"/>
      <c r="B270" s="9"/>
      <c r="C270" s="10" t="str">
        <f t="shared" si="44"/>
        <v/>
      </c>
      <c r="D270" s="9"/>
      <c r="E270" s="9" t="str">
        <f t="shared" si="45"/>
        <v/>
      </c>
      <c r="F270" s="9"/>
      <c r="G270" s="3"/>
      <c r="H270" s="20"/>
      <c r="I270" s="21"/>
      <c r="J270" s="20"/>
      <c r="K270" s="13"/>
      <c r="L270" s="3"/>
      <c r="M270" s="8"/>
      <c r="N270" s="8"/>
      <c r="O270" s="8"/>
      <c r="P270" s="3"/>
      <c r="Q270" s="3"/>
      <c r="R270" s="3"/>
    </row>
    <row r="271" spans="1:18">
      <c r="A271" s="14"/>
      <c r="B271" s="9"/>
      <c r="C271" s="10" t="str">
        <f t="shared" si="44"/>
        <v>FX SUPERVISOR</v>
      </c>
      <c r="D271" s="9"/>
      <c r="E271" s="9" t="str">
        <f t="shared" si="45"/>
        <v>SEWANG KIM</v>
      </c>
      <c r="F271" s="9"/>
      <c r="G271" s="3"/>
      <c r="H271" s="20"/>
      <c r="I271" s="21" t="s">
        <v>337</v>
      </c>
      <c r="J271" s="20"/>
      <c r="K271" s="13" t="s">
        <v>338</v>
      </c>
      <c r="L271" s="3"/>
      <c r="M271" s="8"/>
      <c r="N271" s="8"/>
      <c r="O271" s="8" t="s">
        <v>852</v>
      </c>
      <c r="P271" s="3"/>
      <c r="Q271" s="3" t="s">
        <v>853</v>
      </c>
      <c r="R271" s="3"/>
    </row>
    <row r="272" spans="1:18">
      <c r="A272" s="14"/>
      <c r="B272" s="9"/>
      <c r="C272" s="10" t="str">
        <f t="shared" si="44"/>
        <v>FX ARTIST</v>
      </c>
      <c r="D272" s="9"/>
      <c r="E272" s="9" t="str">
        <f t="shared" si="45"/>
        <v>SAEBOM OH</v>
      </c>
      <c r="F272" s="9"/>
      <c r="G272" s="3"/>
      <c r="H272" s="20"/>
      <c r="I272" s="21" t="s">
        <v>339</v>
      </c>
      <c r="J272" s="20"/>
      <c r="K272" s="13" t="s">
        <v>340</v>
      </c>
      <c r="L272" s="3"/>
      <c r="M272" s="8"/>
      <c r="N272" s="8"/>
      <c r="O272" s="8" t="s">
        <v>854</v>
      </c>
      <c r="P272" s="3"/>
      <c r="Q272" s="137" t="s">
        <v>855</v>
      </c>
      <c r="R272" s="3"/>
    </row>
    <row r="273" spans="1:18">
      <c r="A273" s="14"/>
      <c r="B273" s="9"/>
      <c r="C273" s="10" t="str">
        <f t="shared" si="44"/>
        <v/>
      </c>
      <c r="D273" s="9"/>
      <c r="E273" s="9" t="str">
        <f t="shared" si="45"/>
        <v/>
      </c>
      <c r="F273" s="9"/>
      <c r="G273" s="3"/>
      <c r="H273" s="20"/>
      <c r="I273" s="21"/>
      <c r="J273" s="20"/>
      <c r="K273" s="13"/>
      <c r="L273" s="3"/>
      <c r="M273" s="8"/>
      <c r="N273" s="8"/>
      <c r="O273" s="8"/>
      <c r="P273" s="3"/>
      <c r="Q273" s="3"/>
      <c r="R273" s="3"/>
    </row>
    <row r="274" spans="1:18">
      <c r="A274" s="14"/>
      <c r="B274" s="9"/>
      <c r="C274" s="10" t="str">
        <f t="shared" si="44"/>
        <v>COMPOSITING SUPERVISOR</v>
      </c>
      <c r="D274" s="9"/>
      <c r="E274" s="40" t="str">
        <f t="shared" si="45"/>
        <v>YOONHEE JUNG</v>
      </c>
      <c r="F274" s="9"/>
      <c r="G274" s="3"/>
      <c r="H274" s="20"/>
      <c r="I274" s="21" t="s">
        <v>341</v>
      </c>
      <c r="J274" s="20"/>
      <c r="K274" s="13" t="s">
        <v>342</v>
      </c>
      <c r="L274" s="3"/>
      <c r="M274" s="3"/>
      <c r="N274" s="3"/>
      <c r="O274" s="8" t="s">
        <v>856</v>
      </c>
      <c r="P274" s="3"/>
      <c r="Q274" s="3" t="s">
        <v>857</v>
      </c>
      <c r="R274" s="3"/>
    </row>
    <row r="275" spans="1:18">
      <c r="A275" s="14"/>
      <c r="B275" s="9"/>
      <c r="C275" s="10" t="str">
        <f t="shared" si="44"/>
        <v>COMPOSITING ARTIST</v>
      </c>
      <c r="D275" s="9"/>
      <c r="E275" s="9" t="str">
        <f t="shared" si="45"/>
        <v>NAMMIN KIM</v>
      </c>
      <c r="F275" s="9"/>
      <c r="G275" s="3"/>
      <c r="H275" s="20"/>
      <c r="I275" s="21" t="s">
        <v>343</v>
      </c>
      <c r="J275" s="20"/>
      <c r="K275" s="13" t="s">
        <v>344</v>
      </c>
      <c r="L275" s="3"/>
      <c r="M275" s="8"/>
      <c r="N275" s="8"/>
      <c r="O275" s="8" t="s">
        <v>858</v>
      </c>
      <c r="P275" s="3"/>
      <c r="Q275" s="3" t="s">
        <v>859</v>
      </c>
      <c r="R275" s="3"/>
    </row>
    <row r="276" spans="1:18">
      <c r="A276" s="14"/>
      <c r="B276" s="9"/>
      <c r="C276" s="10"/>
      <c r="D276" s="9"/>
      <c r="E276" s="9"/>
      <c r="F276" s="9"/>
      <c r="G276" s="3"/>
      <c r="H276" s="20"/>
      <c r="I276" s="21"/>
      <c r="J276" s="20"/>
      <c r="K276" s="13"/>
      <c r="L276" s="3"/>
      <c r="M276" s="8"/>
      <c r="N276" s="8"/>
      <c r="O276" s="8"/>
      <c r="P276" s="3"/>
      <c r="Q276" s="3"/>
      <c r="R276" s="3"/>
    </row>
    <row r="277" spans="1:18">
      <c r="A277" s="14"/>
      <c r="B277" s="26"/>
      <c r="C277" s="26"/>
      <c r="D277" s="26"/>
      <c r="E277" s="26"/>
      <c r="F277" s="26"/>
      <c r="G277" s="3"/>
      <c r="H277" s="15"/>
      <c r="I277" s="15"/>
      <c r="J277" s="15"/>
      <c r="K277" s="5"/>
      <c r="L277" s="15"/>
      <c r="M277" s="8"/>
      <c r="N277" s="8"/>
      <c r="O277" s="8"/>
      <c r="P277" s="3"/>
      <c r="Q277" s="3"/>
      <c r="R277" s="3"/>
    </row>
    <row r="278" spans="1:18">
      <c r="A278" s="14"/>
      <c r="B278" s="6"/>
      <c r="C278" s="6"/>
      <c r="D278" s="6"/>
      <c r="E278" s="6"/>
      <c r="F278" s="6"/>
      <c r="G278" s="3"/>
      <c r="H278" s="15"/>
      <c r="I278" s="15"/>
      <c r="J278" s="15"/>
      <c r="K278" s="5"/>
      <c r="L278" s="15"/>
      <c r="M278" s="8"/>
      <c r="N278" s="8"/>
      <c r="O278" s="21"/>
      <c r="P278" s="3"/>
      <c r="Q278" s="3"/>
      <c r="R278" s="3"/>
    </row>
    <row r="279" spans="1:18">
      <c r="A279" s="14"/>
      <c r="B279" s="150" t="str">
        <f t="shared" ref="B279:B280" si="46">UPPER(H279)</f>
        <v>LIGHTING / VFX / COMPOSITING</v>
      </c>
      <c r="C279" s="141"/>
      <c r="D279" s="141"/>
      <c r="E279" s="141"/>
      <c r="F279" s="141"/>
      <c r="G279" s="28"/>
      <c r="H279" s="148" t="s">
        <v>330</v>
      </c>
      <c r="I279" s="141"/>
      <c r="J279" s="141"/>
      <c r="K279" s="141"/>
      <c r="L279" s="141"/>
      <c r="M279" s="8"/>
      <c r="N279" s="149" t="s">
        <v>845</v>
      </c>
      <c r="O279" s="141"/>
      <c r="P279" s="141"/>
      <c r="Q279" s="141"/>
      <c r="R279" s="141"/>
    </row>
    <row r="280" spans="1:18">
      <c r="A280" s="14"/>
      <c r="B280" s="146" t="str">
        <f t="shared" si="46"/>
        <v>THE MONK STUDIOS</v>
      </c>
      <c r="C280" s="141"/>
      <c r="D280" s="141"/>
      <c r="E280" s="141"/>
      <c r="F280" s="141"/>
      <c r="G280" s="3"/>
      <c r="H280" s="147" t="s">
        <v>202</v>
      </c>
      <c r="I280" s="141"/>
      <c r="J280" s="141"/>
      <c r="K280" s="141"/>
      <c r="L280" s="141"/>
      <c r="M280" s="8"/>
      <c r="N280" s="147" t="s">
        <v>202</v>
      </c>
      <c r="O280" s="141"/>
      <c r="P280" s="141"/>
      <c r="Q280" s="141"/>
      <c r="R280" s="141"/>
    </row>
    <row r="281" spans="1:18">
      <c r="A281" s="14"/>
      <c r="B281" s="9"/>
      <c r="C281" s="10"/>
      <c r="D281" s="9"/>
      <c r="E281" s="9"/>
      <c r="F281" s="9"/>
      <c r="G281" s="3"/>
      <c r="H281" s="20"/>
      <c r="I281" s="36"/>
      <c r="J281" s="20"/>
      <c r="K281" s="22"/>
      <c r="L281" s="3"/>
      <c r="M281" s="8"/>
      <c r="N281" s="20"/>
      <c r="O281" s="36"/>
      <c r="P281" s="20"/>
      <c r="Q281" s="22"/>
      <c r="R281" s="3"/>
    </row>
    <row r="282" spans="1:18">
      <c r="A282" s="14"/>
      <c r="B282" s="9"/>
      <c r="C282" s="10" t="str">
        <f>UPPER(I282)</f>
        <v>CFX SUPERVISOR</v>
      </c>
      <c r="D282" s="9"/>
      <c r="E282" s="41" t="str">
        <f>UPPER(K282)</f>
        <v>KORRAPAT TANGSUTTHIWONG</v>
      </c>
      <c r="F282" s="9"/>
      <c r="G282" s="3"/>
      <c r="H282" s="20"/>
      <c r="I282" s="36" t="s">
        <v>345</v>
      </c>
      <c r="J282" s="20"/>
      <c r="K282" s="22" t="s">
        <v>346</v>
      </c>
      <c r="L282" s="3"/>
      <c r="M282" s="8"/>
      <c r="N282" s="20"/>
      <c r="O282" s="36" t="s">
        <v>345</v>
      </c>
      <c r="P282" s="20"/>
      <c r="Q282" s="22" t="s">
        <v>346</v>
      </c>
      <c r="R282" s="3"/>
    </row>
    <row r="283" spans="1:18">
      <c r="A283" s="14"/>
      <c r="B283" s="9"/>
      <c r="C283" s="10"/>
      <c r="D283" s="9"/>
      <c r="E283" s="9"/>
      <c r="F283" s="9"/>
      <c r="G283" s="3"/>
      <c r="H283" s="20"/>
      <c r="I283" s="36"/>
      <c r="J283" s="20"/>
      <c r="K283" s="22"/>
      <c r="L283" s="3"/>
      <c r="M283" s="8"/>
      <c r="N283" s="20"/>
      <c r="O283" s="36"/>
      <c r="P283" s="20"/>
      <c r="Q283" s="22"/>
      <c r="R283" s="3"/>
    </row>
    <row r="284" spans="1:18">
      <c r="A284" s="14"/>
      <c r="B284" s="9"/>
      <c r="C284" s="10" t="str">
        <f>UPPER(I284)</f>
        <v>CFX LEADER</v>
      </c>
      <c r="D284" s="9"/>
      <c r="E284" s="9" t="str">
        <f>UPPER(K284)</f>
        <v>THANAWAT PHUKUMCHAI</v>
      </c>
      <c r="F284" s="9"/>
      <c r="G284" s="3"/>
      <c r="H284" s="20"/>
      <c r="I284" s="36" t="s">
        <v>347</v>
      </c>
      <c r="J284" s="20"/>
      <c r="K284" s="22" t="s">
        <v>348</v>
      </c>
      <c r="L284" s="3"/>
      <c r="M284" s="8"/>
      <c r="N284" s="20"/>
      <c r="O284" s="36" t="s">
        <v>347</v>
      </c>
      <c r="P284" s="20"/>
      <c r="Q284" s="22" t="s">
        <v>348</v>
      </c>
      <c r="R284" s="3"/>
    </row>
    <row r="285" spans="1:18">
      <c r="A285" s="14"/>
      <c r="B285" s="9"/>
      <c r="C285" s="10"/>
      <c r="D285" s="9"/>
      <c r="E285" s="9"/>
      <c r="F285" s="9"/>
      <c r="G285" s="3"/>
      <c r="H285" s="20"/>
      <c r="I285" s="36"/>
      <c r="J285" s="20"/>
      <c r="K285" s="22"/>
      <c r="L285" s="3"/>
      <c r="M285" s="8"/>
      <c r="N285" s="20"/>
      <c r="O285" s="36"/>
      <c r="P285" s="20"/>
      <c r="Q285" s="22"/>
      <c r="R285" s="3"/>
    </row>
    <row r="286" spans="1:18">
      <c r="A286" s="14"/>
      <c r="B286" s="9"/>
      <c r="C286" s="10" t="str">
        <f t="shared" ref="C286:C293" si="47">UPPER(I286)</f>
        <v>CFX ARTIST</v>
      </c>
      <c r="D286" s="9"/>
      <c r="E286" s="9" t="str">
        <f t="shared" ref="E286:E293" si="48">UPPER(K286)</f>
        <v>CHERMAR WITOONWUTTIKUL</v>
      </c>
      <c r="F286" s="9"/>
      <c r="G286" s="3"/>
      <c r="H286" s="20"/>
      <c r="I286" s="36" t="s">
        <v>349</v>
      </c>
      <c r="J286" s="20"/>
      <c r="K286" s="22" t="s">
        <v>350</v>
      </c>
      <c r="L286" s="3"/>
      <c r="M286" s="8"/>
      <c r="N286" s="20"/>
      <c r="O286" s="36" t="s">
        <v>349</v>
      </c>
      <c r="P286" s="20"/>
      <c r="Q286" s="22" t="s">
        <v>350</v>
      </c>
      <c r="R286" s="3"/>
    </row>
    <row r="287" spans="1:18">
      <c r="A287" s="14"/>
      <c r="B287" s="9"/>
      <c r="C287" s="10" t="str">
        <f t="shared" si="47"/>
        <v/>
      </c>
      <c r="D287" s="9"/>
      <c r="E287" s="9" t="str">
        <f t="shared" si="48"/>
        <v>KOMSON SEECHAN</v>
      </c>
      <c r="F287" s="9"/>
      <c r="G287" s="3"/>
      <c r="H287" s="20"/>
      <c r="I287" s="21"/>
      <c r="J287" s="20"/>
      <c r="K287" s="22" t="s">
        <v>351</v>
      </c>
      <c r="L287" s="3"/>
      <c r="M287" s="8"/>
      <c r="N287" s="20"/>
      <c r="O287" s="21"/>
      <c r="P287" s="20"/>
      <c r="Q287" s="22" t="s">
        <v>351</v>
      </c>
      <c r="R287" s="3"/>
    </row>
    <row r="288" spans="1:18">
      <c r="A288" s="14"/>
      <c r="B288" s="9"/>
      <c r="C288" s="10" t="str">
        <f t="shared" si="47"/>
        <v/>
      </c>
      <c r="D288" s="9"/>
      <c r="E288" s="9" t="str">
        <f t="shared" si="48"/>
        <v>PREECHAPONG NOPRUMPA</v>
      </c>
      <c r="F288" s="9"/>
      <c r="G288" s="3"/>
      <c r="H288" s="20"/>
      <c r="I288" s="21"/>
      <c r="J288" s="20"/>
      <c r="K288" s="22" t="s">
        <v>352</v>
      </c>
      <c r="L288" s="3"/>
      <c r="M288" s="8"/>
      <c r="N288" s="20"/>
      <c r="O288" s="21"/>
      <c r="P288" s="20"/>
      <c r="Q288" s="22" t="s">
        <v>352</v>
      </c>
      <c r="R288" s="3"/>
    </row>
    <row r="289" spans="1:18">
      <c r="A289" s="14"/>
      <c r="B289" s="9"/>
      <c r="C289" s="10" t="str">
        <f t="shared" si="47"/>
        <v/>
      </c>
      <c r="D289" s="9"/>
      <c r="E289" s="9" t="str">
        <f t="shared" si="48"/>
        <v>SUPPACHAI WONGSALINGKARN</v>
      </c>
      <c r="F289" s="9"/>
      <c r="G289" s="3"/>
      <c r="H289" s="20"/>
      <c r="I289" s="21"/>
      <c r="J289" s="20"/>
      <c r="K289" s="22" t="s">
        <v>353</v>
      </c>
      <c r="L289" s="3"/>
      <c r="M289" s="8"/>
      <c r="N289" s="20"/>
      <c r="O289" s="21"/>
      <c r="P289" s="20"/>
      <c r="Q289" s="22" t="s">
        <v>353</v>
      </c>
      <c r="R289" s="3"/>
    </row>
    <row r="290" spans="1:18">
      <c r="A290" s="14"/>
      <c r="B290" s="9"/>
      <c r="C290" s="10" t="str">
        <f t="shared" si="47"/>
        <v/>
      </c>
      <c r="D290" s="9"/>
      <c r="E290" s="9" t="str">
        <f t="shared" si="48"/>
        <v>THAWATCHAY KAEWPHUY</v>
      </c>
      <c r="F290" s="9"/>
      <c r="G290" s="3"/>
      <c r="H290" s="20"/>
      <c r="I290" s="21"/>
      <c r="J290" s="20"/>
      <c r="K290" s="22" t="s">
        <v>354</v>
      </c>
      <c r="L290" s="3"/>
      <c r="M290" s="8"/>
      <c r="N290" s="20"/>
      <c r="O290" s="21"/>
      <c r="P290" s="20"/>
      <c r="Q290" s="22" t="s">
        <v>354</v>
      </c>
      <c r="R290" s="3"/>
    </row>
    <row r="291" spans="1:18">
      <c r="A291" s="14"/>
      <c r="B291" s="9"/>
      <c r="C291" s="10" t="str">
        <f t="shared" si="47"/>
        <v/>
      </c>
      <c r="D291" s="9"/>
      <c r="E291" s="9" t="str">
        <f t="shared" si="48"/>
        <v>TITTAYANAN WANNUBOL</v>
      </c>
      <c r="F291" s="9"/>
      <c r="G291" s="3"/>
      <c r="H291" s="20"/>
      <c r="I291" s="21"/>
      <c r="J291" s="20"/>
      <c r="K291" s="22" t="s">
        <v>355</v>
      </c>
      <c r="L291" s="3"/>
      <c r="M291" s="8"/>
      <c r="N291" s="20"/>
      <c r="O291" s="21"/>
      <c r="P291" s="20"/>
      <c r="Q291" s="22" t="s">
        <v>355</v>
      </c>
      <c r="R291" s="3"/>
    </row>
    <row r="292" spans="1:18">
      <c r="A292" s="14"/>
      <c r="B292" s="9"/>
      <c r="C292" s="10" t="str">
        <f t="shared" si="47"/>
        <v/>
      </c>
      <c r="D292" s="9"/>
      <c r="E292" s="9" t="str">
        <f t="shared" si="48"/>
        <v>PORNNEEKA THAMWONG</v>
      </c>
      <c r="F292" s="9"/>
      <c r="G292" s="3"/>
      <c r="H292" s="20"/>
      <c r="I292" s="21"/>
      <c r="J292" s="20"/>
      <c r="K292" s="22" t="s">
        <v>356</v>
      </c>
      <c r="L292" s="3"/>
      <c r="M292" s="8"/>
      <c r="N292" s="20"/>
      <c r="O292" s="21"/>
      <c r="P292" s="20"/>
      <c r="Q292" s="22" t="s">
        <v>356</v>
      </c>
      <c r="R292" s="3"/>
    </row>
    <row r="293" spans="1:18">
      <c r="A293" s="14"/>
      <c r="B293" s="9"/>
      <c r="C293" s="10" t="str">
        <f t="shared" si="47"/>
        <v/>
      </c>
      <c r="D293" s="9"/>
      <c r="E293" s="9" t="str">
        <f t="shared" si="48"/>
        <v/>
      </c>
      <c r="F293" s="9"/>
      <c r="G293" s="3"/>
      <c r="H293" s="20"/>
      <c r="I293" s="21"/>
      <c r="J293" s="20"/>
      <c r="K293" s="31"/>
      <c r="L293" s="3"/>
      <c r="M293" s="8"/>
      <c r="N293" s="8"/>
      <c r="O293" s="21"/>
      <c r="P293" s="3"/>
      <c r="Q293" s="3"/>
      <c r="R293" s="3"/>
    </row>
    <row r="294" spans="1:18">
      <c r="A294" s="14"/>
      <c r="B294" s="11"/>
      <c r="C294" s="12"/>
      <c r="D294" s="11"/>
      <c r="E294" s="11"/>
      <c r="F294" s="11"/>
      <c r="G294" s="3"/>
      <c r="H294" s="20"/>
      <c r="I294" s="36"/>
      <c r="J294" s="20"/>
      <c r="K294" s="31"/>
      <c r="L294" s="3"/>
      <c r="M294" s="8"/>
      <c r="N294" s="8"/>
      <c r="O294" s="21"/>
      <c r="P294" s="3"/>
      <c r="Q294" s="3"/>
      <c r="R294" s="3"/>
    </row>
    <row r="295" spans="1:18">
      <c r="A295" s="14"/>
      <c r="B295" s="17"/>
      <c r="C295" s="17"/>
      <c r="D295" s="17"/>
      <c r="E295" s="17"/>
      <c r="F295" s="17"/>
      <c r="G295" s="28"/>
      <c r="H295" s="19"/>
      <c r="I295" s="19"/>
      <c r="J295" s="19"/>
      <c r="K295" s="18"/>
      <c r="L295" s="19"/>
      <c r="M295" s="8"/>
      <c r="N295" s="8"/>
      <c r="O295" s="21"/>
      <c r="P295" s="3"/>
      <c r="Q295" s="3"/>
      <c r="R295" s="3"/>
    </row>
    <row r="296" spans="1:18">
      <c r="A296" s="14"/>
      <c r="B296" s="150" t="str">
        <f t="shared" ref="B296:B297" si="49">UPPER(H296)</f>
        <v>LIGHTING / VFX / COMPOSITING</v>
      </c>
      <c r="C296" s="141"/>
      <c r="D296" s="141"/>
      <c r="E296" s="141"/>
      <c r="F296" s="141"/>
      <c r="G296" s="28"/>
      <c r="H296" s="148" t="s">
        <v>330</v>
      </c>
      <c r="I296" s="141"/>
      <c r="J296" s="141"/>
      <c r="K296" s="141"/>
      <c r="L296" s="141"/>
      <c r="M296" s="8"/>
      <c r="N296" s="149" t="s">
        <v>845</v>
      </c>
      <c r="O296" s="141"/>
      <c r="P296" s="141"/>
      <c r="Q296" s="141"/>
      <c r="R296" s="141"/>
    </row>
    <row r="297" spans="1:18">
      <c r="A297" s="14"/>
      <c r="B297" s="146" t="str">
        <f t="shared" si="49"/>
        <v>THE MONK STUDIOS</v>
      </c>
      <c r="C297" s="141"/>
      <c r="D297" s="141"/>
      <c r="E297" s="141"/>
      <c r="F297" s="141"/>
      <c r="G297" s="3"/>
      <c r="H297" s="147" t="s">
        <v>202</v>
      </c>
      <c r="I297" s="141"/>
      <c r="J297" s="141"/>
      <c r="K297" s="141"/>
      <c r="L297" s="141"/>
      <c r="M297" s="8"/>
      <c r="N297" s="147" t="s">
        <v>202</v>
      </c>
      <c r="O297" s="141"/>
      <c r="P297" s="141"/>
      <c r="Q297" s="141"/>
      <c r="R297" s="141"/>
    </row>
    <row r="298" spans="1:18">
      <c r="A298" s="14"/>
      <c r="B298" s="9"/>
      <c r="C298" s="10"/>
      <c r="D298" s="9"/>
      <c r="E298" s="9"/>
      <c r="F298" s="9"/>
      <c r="G298" s="3"/>
      <c r="H298" s="20"/>
      <c r="I298" s="36"/>
      <c r="J298" s="20"/>
      <c r="K298" s="31"/>
      <c r="L298" s="3"/>
      <c r="M298" s="8"/>
      <c r="N298" s="20"/>
      <c r="O298" s="36"/>
      <c r="P298" s="20"/>
      <c r="Q298" s="31"/>
      <c r="R298" s="3"/>
    </row>
    <row r="299" spans="1:18">
      <c r="A299" s="14"/>
      <c r="B299" s="9"/>
      <c r="C299" s="10" t="str">
        <f>UPPER(I299)</f>
        <v xml:space="preserve">EFFECT SUPERVISOR </v>
      </c>
      <c r="D299" s="9"/>
      <c r="E299" s="9" t="str">
        <f>UPPER(K299)</f>
        <v>THACHAPONG RUANGROJ</v>
      </c>
      <c r="F299" s="9"/>
      <c r="G299" s="3"/>
      <c r="H299" s="20"/>
      <c r="I299" s="36" t="s">
        <v>357</v>
      </c>
      <c r="J299" s="20"/>
      <c r="K299" s="31" t="s">
        <v>358</v>
      </c>
      <c r="L299" s="3"/>
      <c r="M299" s="8"/>
      <c r="N299" s="20"/>
      <c r="O299" s="36" t="s">
        <v>357</v>
      </c>
      <c r="P299" s="20"/>
      <c r="Q299" s="31" t="s">
        <v>358</v>
      </c>
      <c r="R299" s="3"/>
    </row>
    <row r="300" spans="1:18">
      <c r="A300" s="14"/>
      <c r="B300" s="9"/>
      <c r="C300" s="10"/>
      <c r="D300" s="9"/>
      <c r="E300" s="9"/>
      <c r="F300" s="9"/>
      <c r="G300" s="3"/>
      <c r="H300" s="20"/>
      <c r="I300" s="36"/>
      <c r="J300" s="20"/>
      <c r="K300" s="31"/>
      <c r="L300" s="3"/>
      <c r="M300" s="8"/>
      <c r="N300" s="20"/>
      <c r="O300" s="36"/>
      <c r="P300" s="20"/>
      <c r="Q300" s="31"/>
      <c r="R300" s="3"/>
    </row>
    <row r="301" spans="1:18">
      <c r="A301" s="14"/>
      <c r="B301" s="9"/>
      <c r="C301" s="10" t="str">
        <f>UPPER(I301)</f>
        <v>VFX GENERALIST</v>
      </c>
      <c r="D301" s="9"/>
      <c r="E301" s="9" t="str">
        <f>UPPER(K301)</f>
        <v>PHUONG THANH NAM</v>
      </c>
      <c r="F301" s="9"/>
      <c r="G301" s="3"/>
      <c r="H301" s="20"/>
      <c r="I301" s="36" t="s">
        <v>359</v>
      </c>
      <c r="J301" s="20"/>
      <c r="K301" s="31" t="s">
        <v>360</v>
      </c>
      <c r="L301" s="3"/>
      <c r="M301" s="8"/>
      <c r="N301" s="20"/>
      <c r="O301" s="36" t="s">
        <v>359</v>
      </c>
      <c r="P301" s="20"/>
      <c r="Q301" s="31" t="s">
        <v>360</v>
      </c>
      <c r="R301" s="3"/>
    </row>
    <row r="302" spans="1:18">
      <c r="A302" s="14"/>
      <c r="B302" s="9"/>
      <c r="C302" s="10"/>
      <c r="D302" s="9"/>
      <c r="E302" s="9"/>
      <c r="F302" s="9"/>
      <c r="G302" s="3"/>
      <c r="H302" s="20"/>
      <c r="I302" s="36"/>
      <c r="J302" s="20"/>
      <c r="K302" s="31"/>
      <c r="L302" s="3"/>
      <c r="M302" s="8"/>
      <c r="N302" s="20"/>
      <c r="O302" s="36"/>
      <c r="P302" s="20"/>
      <c r="Q302" s="31"/>
      <c r="R302" s="3"/>
    </row>
    <row r="303" spans="1:18">
      <c r="A303" s="14"/>
      <c r="B303" s="9"/>
      <c r="C303" s="10" t="str">
        <f t="shared" ref="C303:C311" si="50">UPPER(I303)</f>
        <v>EFFECTS ARTIST</v>
      </c>
      <c r="D303" s="9"/>
      <c r="E303" s="9" t="str">
        <f t="shared" ref="E303:E311" si="51">UPPER(K303)</f>
        <v>CHAIPAT WINYOOVIJIT</v>
      </c>
      <c r="F303" s="9"/>
      <c r="G303" s="3"/>
      <c r="H303" s="20"/>
      <c r="I303" s="36" t="s">
        <v>361</v>
      </c>
      <c r="J303" s="20"/>
      <c r="K303" s="31" t="s">
        <v>362</v>
      </c>
      <c r="L303" s="3"/>
      <c r="M303" s="8"/>
      <c r="N303" s="20"/>
      <c r="O303" s="36" t="s">
        <v>361</v>
      </c>
      <c r="P303" s="20"/>
      <c r="Q303" s="31" t="s">
        <v>362</v>
      </c>
      <c r="R303" s="3"/>
    </row>
    <row r="304" spans="1:18">
      <c r="A304" s="14"/>
      <c r="B304" s="9"/>
      <c r="C304" s="10" t="str">
        <f t="shared" si="50"/>
        <v/>
      </c>
      <c r="D304" s="9"/>
      <c r="E304" s="9" t="str">
        <f t="shared" si="51"/>
        <v>CHINNAWAT ASVINJAIPETCH</v>
      </c>
      <c r="F304" s="9"/>
      <c r="G304" s="3"/>
      <c r="H304" s="20"/>
      <c r="I304" s="21"/>
      <c r="J304" s="20"/>
      <c r="K304" s="31" t="s">
        <v>363</v>
      </c>
      <c r="L304" s="3"/>
      <c r="M304" s="8"/>
      <c r="N304" s="20"/>
      <c r="O304" s="21"/>
      <c r="P304" s="20"/>
      <c r="Q304" s="31" t="s">
        <v>363</v>
      </c>
      <c r="R304" s="3"/>
    </row>
    <row r="305" spans="1:18">
      <c r="A305" s="14"/>
      <c r="B305" s="9"/>
      <c r="C305" s="10" t="str">
        <f t="shared" si="50"/>
        <v/>
      </c>
      <c r="D305" s="9"/>
      <c r="E305" s="9" t="str">
        <f t="shared" si="51"/>
        <v>NATTAPON KRICHAVONG</v>
      </c>
      <c r="F305" s="9"/>
      <c r="G305" s="3"/>
      <c r="H305" s="20"/>
      <c r="I305" s="36"/>
      <c r="J305" s="20"/>
      <c r="K305" s="31" t="s">
        <v>364</v>
      </c>
      <c r="L305" s="3"/>
      <c r="M305" s="8"/>
      <c r="N305" s="20"/>
      <c r="O305" s="36"/>
      <c r="P305" s="20"/>
      <c r="Q305" s="31" t="s">
        <v>364</v>
      </c>
      <c r="R305" s="3"/>
    </row>
    <row r="306" spans="1:18">
      <c r="A306" s="14"/>
      <c r="B306" s="9"/>
      <c r="C306" s="10" t="str">
        <f t="shared" si="50"/>
        <v/>
      </c>
      <c r="D306" s="9"/>
      <c r="E306" s="9" t="str">
        <f t="shared" si="51"/>
        <v>PIYAPONG JANHALUTAI</v>
      </c>
      <c r="F306" s="9"/>
      <c r="G306" s="3"/>
      <c r="H306" s="20"/>
      <c r="I306" s="21"/>
      <c r="J306" s="20"/>
      <c r="K306" s="31" t="s">
        <v>365</v>
      </c>
      <c r="L306" s="3"/>
      <c r="M306" s="8"/>
      <c r="N306" s="20"/>
      <c r="O306" s="21"/>
      <c r="P306" s="20"/>
      <c r="Q306" s="31" t="s">
        <v>365</v>
      </c>
      <c r="R306" s="3"/>
    </row>
    <row r="307" spans="1:18">
      <c r="A307" s="14"/>
      <c r="B307" s="9"/>
      <c r="C307" s="10" t="str">
        <f t="shared" si="50"/>
        <v/>
      </c>
      <c r="D307" s="9"/>
      <c r="E307" s="9" t="str">
        <f t="shared" si="51"/>
        <v>SILAKORN KONGSUWAN</v>
      </c>
      <c r="F307" s="9"/>
      <c r="G307" s="3"/>
      <c r="H307" s="20"/>
      <c r="I307" s="21"/>
      <c r="J307" s="20"/>
      <c r="K307" s="31" t="s">
        <v>366</v>
      </c>
      <c r="L307" s="3"/>
      <c r="M307" s="8"/>
      <c r="N307" s="20"/>
      <c r="O307" s="21"/>
      <c r="P307" s="20"/>
      <c r="Q307" s="31" t="s">
        <v>366</v>
      </c>
      <c r="R307" s="3"/>
    </row>
    <row r="308" spans="1:18">
      <c r="A308" s="14"/>
      <c r="B308" s="9"/>
      <c r="C308" s="10" t="str">
        <f t="shared" si="50"/>
        <v/>
      </c>
      <c r="D308" s="9"/>
      <c r="E308" s="9" t="str">
        <f t="shared" si="51"/>
        <v>SIRAWIT LAOVIRIYAKUL</v>
      </c>
      <c r="F308" s="9"/>
      <c r="G308" s="3"/>
      <c r="H308" s="20"/>
      <c r="I308" s="21"/>
      <c r="J308" s="20"/>
      <c r="K308" s="31" t="s">
        <v>367</v>
      </c>
      <c r="L308" s="3"/>
      <c r="M308" s="8"/>
      <c r="N308" s="20"/>
      <c r="O308" s="21"/>
      <c r="P308" s="20"/>
      <c r="Q308" s="31" t="s">
        <v>367</v>
      </c>
      <c r="R308" s="3"/>
    </row>
    <row r="309" spans="1:18">
      <c r="A309" s="14"/>
      <c r="B309" s="9"/>
      <c r="C309" s="10" t="str">
        <f t="shared" si="50"/>
        <v/>
      </c>
      <c r="D309" s="9"/>
      <c r="E309" s="9" t="str">
        <f t="shared" si="51"/>
        <v>THANAKORN THAEVAKANJANAPHOKHIN</v>
      </c>
      <c r="F309" s="9"/>
      <c r="G309" s="3"/>
      <c r="H309" s="20"/>
      <c r="I309" s="21"/>
      <c r="J309" s="20"/>
      <c r="K309" s="39" t="s">
        <v>368</v>
      </c>
      <c r="L309" s="3"/>
      <c r="M309" s="8"/>
      <c r="N309" s="20"/>
      <c r="O309" s="21"/>
      <c r="P309" s="20"/>
      <c r="Q309" s="39" t="s">
        <v>368</v>
      </c>
      <c r="R309" s="3"/>
    </row>
    <row r="310" spans="1:18">
      <c r="A310" s="14"/>
      <c r="B310" s="9"/>
      <c r="C310" s="10" t="str">
        <f t="shared" si="50"/>
        <v/>
      </c>
      <c r="D310" s="9"/>
      <c r="E310" s="9" t="str">
        <f t="shared" si="51"/>
        <v>THANAWAT KAEWARSA</v>
      </c>
      <c r="F310" s="9"/>
      <c r="G310" s="3"/>
      <c r="H310" s="20"/>
      <c r="I310" s="21"/>
      <c r="J310" s="20"/>
      <c r="K310" s="31" t="s">
        <v>369</v>
      </c>
      <c r="L310" s="3"/>
      <c r="M310" s="8"/>
      <c r="N310" s="20"/>
      <c r="O310" s="21"/>
      <c r="P310" s="20"/>
      <c r="Q310" s="31" t="s">
        <v>369</v>
      </c>
      <c r="R310" s="3"/>
    </row>
    <row r="311" spans="1:18">
      <c r="A311" s="14"/>
      <c r="B311" s="9"/>
      <c r="C311" s="10" t="str">
        <f t="shared" si="50"/>
        <v/>
      </c>
      <c r="D311" s="9"/>
      <c r="E311" s="9" t="str">
        <f t="shared" si="51"/>
        <v>WASU LERTAMORNWATTANA</v>
      </c>
      <c r="F311" s="9"/>
      <c r="G311" s="3"/>
      <c r="H311" s="20"/>
      <c r="I311" s="21"/>
      <c r="J311" s="20"/>
      <c r="K311" s="39" t="s">
        <v>370</v>
      </c>
      <c r="L311" s="3"/>
      <c r="M311" s="8"/>
      <c r="N311" s="20"/>
      <c r="O311" s="21"/>
      <c r="P311" s="20"/>
      <c r="Q311" s="39" t="s">
        <v>370</v>
      </c>
      <c r="R311" s="3"/>
    </row>
    <row r="312" spans="1:18">
      <c r="A312" s="14"/>
      <c r="B312" s="9"/>
      <c r="C312" s="10"/>
      <c r="D312" s="9"/>
      <c r="E312" s="9"/>
      <c r="F312" s="9"/>
      <c r="G312" s="3"/>
      <c r="H312" s="20"/>
      <c r="I312" s="21"/>
      <c r="J312" s="20"/>
      <c r="K312" s="31"/>
      <c r="L312" s="3"/>
      <c r="M312" s="8"/>
      <c r="N312" s="8"/>
      <c r="O312" s="21"/>
      <c r="P312" s="3"/>
      <c r="Q312" s="3"/>
      <c r="R312" s="3"/>
    </row>
    <row r="313" spans="1:18">
      <c r="A313" s="14"/>
      <c r="B313" s="11"/>
      <c r="C313" s="12"/>
      <c r="D313" s="11"/>
      <c r="E313" s="11"/>
      <c r="F313" s="11"/>
      <c r="G313" s="3"/>
      <c r="H313" s="20"/>
      <c r="I313" s="21"/>
      <c r="J313" s="20"/>
      <c r="K313" s="13"/>
      <c r="L313" s="3"/>
      <c r="M313" s="8"/>
      <c r="N313" s="8"/>
      <c r="O313" s="21"/>
      <c r="P313" s="3"/>
      <c r="Q313" s="3"/>
      <c r="R313" s="3"/>
    </row>
    <row r="314" spans="1:18">
      <c r="A314" s="14"/>
      <c r="B314" s="9"/>
      <c r="C314" s="10"/>
      <c r="D314" s="9"/>
      <c r="E314" s="9"/>
      <c r="F314" s="9"/>
      <c r="G314" s="3"/>
      <c r="H314" s="20"/>
      <c r="I314" s="21"/>
      <c r="J314" s="20"/>
      <c r="K314" s="13"/>
      <c r="L314" s="3"/>
      <c r="M314" s="8"/>
      <c r="N314" s="8"/>
      <c r="O314" s="21"/>
      <c r="P314" s="3"/>
      <c r="Q314" s="3"/>
      <c r="R314" s="3"/>
    </row>
    <row r="315" spans="1:18">
      <c r="A315" s="14"/>
      <c r="B315" s="150" t="str">
        <f t="shared" ref="B315:B316" si="52">UPPER(H315)</f>
        <v>LIGHTING / VFX / COMPOSITING</v>
      </c>
      <c r="C315" s="141"/>
      <c r="D315" s="141"/>
      <c r="E315" s="141"/>
      <c r="F315" s="141"/>
      <c r="G315" s="28"/>
      <c r="H315" s="148" t="s">
        <v>330</v>
      </c>
      <c r="I315" s="141"/>
      <c r="J315" s="141"/>
      <c r="K315" s="141"/>
      <c r="L315" s="141"/>
      <c r="M315" s="8"/>
      <c r="N315" s="149" t="s">
        <v>845</v>
      </c>
      <c r="O315" s="141"/>
      <c r="P315" s="141"/>
      <c r="Q315" s="141"/>
      <c r="R315" s="141"/>
    </row>
    <row r="316" spans="1:18">
      <c r="A316" s="14"/>
      <c r="B316" s="146" t="str">
        <f t="shared" si="52"/>
        <v>THE MONK STUDIOS</v>
      </c>
      <c r="C316" s="141"/>
      <c r="D316" s="141"/>
      <c r="E316" s="141"/>
      <c r="F316" s="141"/>
      <c r="G316" s="3"/>
      <c r="H316" s="147" t="s">
        <v>202</v>
      </c>
      <c r="I316" s="141"/>
      <c r="J316" s="141"/>
      <c r="K316" s="141"/>
      <c r="L316" s="141"/>
      <c r="M316" s="8"/>
      <c r="N316" s="147" t="s">
        <v>202</v>
      </c>
      <c r="O316" s="141"/>
      <c r="P316" s="141"/>
      <c r="Q316" s="141"/>
      <c r="R316" s="141"/>
    </row>
    <row r="317" spans="1:18">
      <c r="A317" s="14"/>
      <c r="B317" s="9"/>
      <c r="C317" s="10"/>
      <c r="D317" s="9"/>
      <c r="E317" s="9"/>
      <c r="F317" s="9"/>
      <c r="G317" s="3"/>
      <c r="H317" s="20"/>
      <c r="I317" s="36"/>
      <c r="J317" s="20"/>
      <c r="K317" s="31"/>
      <c r="L317" s="3"/>
      <c r="M317" s="8"/>
      <c r="N317" s="20"/>
      <c r="O317" s="36"/>
      <c r="P317" s="20"/>
      <c r="Q317" s="31"/>
      <c r="R317" s="3"/>
    </row>
    <row r="318" spans="1:18">
      <c r="A318" s="14"/>
      <c r="B318" s="9"/>
      <c r="C318" s="10" t="str">
        <f>UPPER(I318)</f>
        <v>LIGHTING SUPERVISOR</v>
      </c>
      <c r="D318" s="9"/>
      <c r="E318" s="9" t="str">
        <f>UPPER(K318)</f>
        <v>TIKUMPORN SRISANG-NGAM</v>
      </c>
      <c r="F318" s="9"/>
      <c r="G318" s="3"/>
      <c r="H318" s="20"/>
      <c r="I318" s="36" t="s">
        <v>371</v>
      </c>
      <c r="J318" s="20"/>
      <c r="K318" s="31" t="s">
        <v>372</v>
      </c>
      <c r="L318" s="3"/>
      <c r="M318" s="8"/>
      <c r="N318" s="20"/>
      <c r="O318" s="36" t="s">
        <v>371</v>
      </c>
      <c r="P318" s="20"/>
      <c r="Q318" s="31" t="s">
        <v>372</v>
      </c>
      <c r="R318" s="3"/>
    </row>
    <row r="319" spans="1:18">
      <c r="A319" s="14"/>
      <c r="B319" s="9"/>
      <c r="C319" s="10"/>
      <c r="D319" s="9"/>
      <c r="E319" s="9"/>
      <c r="F319" s="9"/>
      <c r="G319" s="3"/>
      <c r="H319" s="20"/>
      <c r="I319" s="36"/>
      <c r="J319" s="20"/>
      <c r="K319" s="31"/>
      <c r="L319" s="3"/>
      <c r="M319" s="8"/>
      <c r="N319" s="20"/>
      <c r="O319" s="36"/>
      <c r="P319" s="20"/>
      <c r="Q319" s="31"/>
      <c r="R319" s="3"/>
    </row>
    <row r="320" spans="1:18">
      <c r="A320" s="14"/>
      <c r="B320" s="9"/>
      <c r="C320" s="10" t="str">
        <f>UPPER(I320)</f>
        <v>LEAD LIGHTING ARTIST</v>
      </c>
      <c r="D320" s="9"/>
      <c r="E320" s="9" t="str">
        <f>UPPER(K320)</f>
        <v>CHANIN PHEUNGKLAY</v>
      </c>
      <c r="F320" s="9"/>
      <c r="G320" s="3"/>
      <c r="H320" s="20"/>
      <c r="I320" s="36" t="s">
        <v>373</v>
      </c>
      <c r="J320" s="20"/>
      <c r="K320" s="31" t="s">
        <v>374</v>
      </c>
      <c r="L320" s="3"/>
      <c r="M320" s="8"/>
      <c r="N320" s="20"/>
      <c r="O320" s="36" t="s">
        <v>373</v>
      </c>
      <c r="P320" s="20"/>
      <c r="Q320" s="31" t="s">
        <v>374</v>
      </c>
      <c r="R320" s="3"/>
    </row>
    <row r="321" spans="1:18">
      <c r="A321" s="14"/>
      <c r="B321" s="9"/>
      <c r="C321" s="10"/>
      <c r="D321" s="9"/>
      <c r="E321" s="9"/>
      <c r="F321" s="9"/>
      <c r="G321" s="3"/>
      <c r="H321" s="20"/>
      <c r="I321" s="36"/>
      <c r="J321" s="20"/>
      <c r="K321" s="31"/>
      <c r="L321" s="3"/>
      <c r="M321" s="8"/>
      <c r="N321" s="20"/>
      <c r="O321" s="36"/>
      <c r="P321" s="20"/>
      <c r="Q321" s="31"/>
      <c r="R321" s="3"/>
    </row>
    <row r="322" spans="1:18">
      <c r="A322" s="14"/>
      <c r="B322" s="9"/>
      <c r="C322" s="10" t="str">
        <f t="shared" ref="C322:C333" si="53">UPPER(I322)</f>
        <v>LIGHTING ARTIST</v>
      </c>
      <c r="D322" s="9"/>
      <c r="E322" s="9" t="str">
        <f t="shared" ref="E322:E334" si="54">UPPER(K322)</f>
        <v>TITIKAMON NANRUDON</v>
      </c>
      <c r="F322" s="9"/>
      <c r="G322" s="3"/>
      <c r="H322" s="20"/>
      <c r="I322" s="36" t="s">
        <v>335</v>
      </c>
      <c r="J322" s="20"/>
      <c r="K322" s="31" t="s">
        <v>375</v>
      </c>
      <c r="L322" s="3"/>
      <c r="M322" s="8"/>
      <c r="N322" s="20"/>
      <c r="O322" s="36" t="s">
        <v>335</v>
      </c>
      <c r="P322" s="20"/>
      <c r="Q322" s="31" t="s">
        <v>375</v>
      </c>
      <c r="R322" s="3"/>
    </row>
    <row r="323" spans="1:18">
      <c r="A323" s="14"/>
      <c r="B323" s="9"/>
      <c r="C323" s="10" t="str">
        <f t="shared" si="53"/>
        <v/>
      </c>
      <c r="D323" s="9"/>
      <c r="E323" s="9" t="str">
        <f t="shared" si="54"/>
        <v>PRADTANA KARALOP</v>
      </c>
      <c r="F323" s="9"/>
      <c r="G323" s="3"/>
      <c r="H323" s="20"/>
      <c r="I323" s="36"/>
      <c r="J323" s="20"/>
      <c r="K323" s="31" t="s">
        <v>376</v>
      </c>
      <c r="L323" s="3"/>
      <c r="M323" s="8"/>
      <c r="N323" s="20"/>
      <c r="O323" s="36"/>
      <c r="P323" s="20"/>
      <c r="Q323" s="31" t="s">
        <v>376</v>
      </c>
      <c r="R323" s="3"/>
    </row>
    <row r="324" spans="1:18">
      <c r="A324" s="14"/>
      <c r="B324" s="9"/>
      <c r="C324" s="10" t="str">
        <f t="shared" si="53"/>
        <v/>
      </c>
      <c r="D324" s="9"/>
      <c r="E324" s="9" t="str">
        <f t="shared" si="54"/>
        <v>WORRAPAT YIMSUKPAITOON</v>
      </c>
      <c r="F324" s="9"/>
      <c r="G324" s="3"/>
      <c r="H324" s="20"/>
      <c r="I324" s="36"/>
      <c r="J324" s="20"/>
      <c r="K324" s="31" t="s">
        <v>377</v>
      </c>
      <c r="L324" s="3"/>
      <c r="M324" s="8"/>
      <c r="N324" s="20"/>
      <c r="O324" s="36"/>
      <c r="P324" s="20"/>
      <c r="Q324" s="31" t="s">
        <v>377</v>
      </c>
      <c r="R324" s="3"/>
    </row>
    <row r="325" spans="1:18">
      <c r="A325" s="14"/>
      <c r="B325" s="9"/>
      <c r="C325" s="10" t="str">
        <f t="shared" si="53"/>
        <v/>
      </c>
      <c r="D325" s="9"/>
      <c r="E325" s="9" t="str">
        <f t="shared" si="54"/>
        <v>PHANATHON WARATHIP</v>
      </c>
      <c r="F325" s="9"/>
      <c r="G325" s="3"/>
      <c r="H325" s="20"/>
      <c r="I325" s="36"/>
      <c r="J325" s="20"/>
      <c r="K325" s="31" t="s">
        <v>378</v>
      </c>
      <c r="L325" s="3"/>
      <c r="M325" s="8"/>
      <c r="N325" s="20"/>
      <c r="O325" s="36"/>
      <c r="P325" s="20"/>
      <c r="Q325" s="31" t="s">
        <v>378</v>
      </c>
      <c r="R325" s="3"/>
    </row>
    <row r="326" spans="1:18">
      <c r="A326" s="14"/>
      <c r="B326" s="9"/>
      <c r="C326" s="10" t="str">
        <f t="shared" si="53"/>
        <v/>
      </c>
      <c r="D326" s="9"/>
      <c r="E326" s="9" t="str">
        <f t="shared" si="54"/>
        <v>BOONYARAT PONOMCHOENG</v>
      </c>
      <c r="F326" s="9"/>
      <c r="G326" s="3"/>
      <c r="H326" s="20"/>
      <c r="I326" s="36"/>
      <c r="J326" s="20"/>
      <c r="K326" s="31" t="s">
        <v>379</v>
      </c>
      <c r="L326" s="3"/>
      <c r="M326" s="8"/>
      <c r="N326" s="20"/>
      <c r="O326" s="36"/>
      <c r="P326" s="20"/>
      <c r="Q326" s="31" t="s">
        <v>379</v>
      </c>
      <c r="R326" s="3"/>
    </row>
    <row r="327" spans="1:18">
      <c r="A327" s="14"/>
      <c r="B327" s="9"/>
      <c r="C327" s="10" t="str">
        <f t="shared" si="53"/>
        <v/>
      </c>
      <c r="D327" s="9"/>
      <c r="E327" s="9" t="str">
        <f t="shared" si="54"/>
        <v>NUTCHAWEE SREWAI</v>
      </c>
      <c r="F327" s="9"/>
      <c r="G327" s="3"/>
      <c r="H327" s="20"/>
      <c r="I327" s="36"/>
      <c r="J327" s="20"/>
      <c r="K327" s="31" t="s">
        <v>380</v>
      </c>
      <c r="L327" s="3"/>
      <c r="M327" s="8"/>
      <c r="N327" s="20"/>
      <c r="O327" s="36"/>
      <c r="P327" s="20"/>
      <c r="Q327" s="31" t="s">
        <v>380</v>
      </c>
      <c r="R327" s="3"/>
    </row>
    <row r="328" spans="1:18">
      <c r="A328" s="14"/>
      <c r="B328" s="9"/>
      <c r="C328" s="10" t="str">
        <f t="shared" si="53"/>
        <v/>
      </c>
      <c r="D328" s="9"/>
      <c r="E328" s="9" t="str">
        <f t="shared" si="54"/>
        <v>CHANIPORN PORSEELA</v>
      </c>
      <c r="F328" s="9"/>
      <c r="G328" s="3"/>
      <c r="H328" s="20"/>
      <c r="I328" s="36"/>
      <c r="J328" s="20"/>
      <c r="K328" s="31" t="s">
        <v>381</v>
      </c>
      <c r="L328" s="3"/>
      <c r="M328" s="8"/>
      <c r="N328" s="20"/>
      <c r="O328" s="36"/>
      <c r="P328" s="20"/>
      <c r="Q328" s="31" t="s">
        <v>381</v>
      </c>
      <c r="R328" s="3"/>
    </row>
    <row r="329" spans="1:18">
      <c r="A329" s="14"/>
      <c r="B329" s="9"/>
      <c r="C329" s="10" t="str">
        <f t="shared" si="53"/>
        <v/>
      </c>
      <c r="D329" s="9"/>
      <c r="E329" s="9" t="str">
        <f t="shared" si="54"/>
        <v>KITTISAK SOPAKUL</v>
      </c>
      <c r="F329" s="9"/>
      <c r="G329" s="3"/>
      <c r="H329" s="20"/>
      <c r="I329" s="36"/>
      <c r="J329" s="20"/>
      <c r="K329" s="31" t="s">
        <v>382</v>
      </c>
      <c r="L329" s="3"/>
      <c r="M329" s="8"/>
      <c r="N329" s="20"/>
      <c r="O329" s="36"/>
      <c r="P329" s="20"/>
      <c r="Q329" s="31" t="s">
        <v>382</v>
      </c>
      <c r="R329" s="3"/>
    </row>
    <row r="330" spans="1:18">
      <c r="A330" s="14"/>
      <c r="B330" s="9"/>
      <c r="C330" s="10" t="str">
        <f t="shared" si="53"/>
        <v/>
      </c>
      <c r="D330" s="9"/>
      <c r="E330" s="9" t="str">
        <f t="shared" si="54"/>
        <v>KORRAPHAT PONGPAIBOON</v>
      </c>
      <c r="F330" s="9"/>
      <c r="G330" s="3"/>
      <c r="H330" s="20"/>
      <c r="I330" s="36"/>
      <c r="J330" s="20"/>
      <c r="K330" s="31" t="s">
        <v>383</v>
      </c>
      <c r="L330" s="3"/>
      <c r="M330" s="8"/>
      <c r="N330" s="20"/>
      <c r="O330" s="36"/>
      <c r="P330" s="20"/>
      <c r="Q330" s="31" t="s">
        <v>383</v>
      </c>
      <c r="R330" s="3"/>
    </row>
    <row r="331" spans="1:18">
      <c r="A331" s="14"/>
      <c r="B331" s="9"/>
      <c r="C331" s="10" t="str">
        <f t="shared" si="53"/>
        <v/>
      </c>
      <c r="D331" s="9"/>
      <c r="E331" s="9" t="str">
        <f t="shared" si="54"/>
        <v>SUPHATCHA NUAMTHONG</v>
      </c>
      <c r="F331" s="9"/>
      <c r="G331" s="3"/>
      <c r="H331" s="20"/>
      <c r="I331" s="36"/>
      <c r="J331" s="20"/>
      <c r="K331" s="31" t="s">
        <v>384</v>
      </c>
      <c r="L331" s="3"/>
      <c r="M331" s="8"/>
      <c r="N331" s="20"/>
      <c r="O331" s="36"/>
      <c r="P331" s="20"/>
      <c r="Q331" s="31" t="s">
        <v>384</v>
      </c>
      <c r="R331" s="3"/>
    </row>
    <row r="332" spans="1:18">
      <c r="A332" s="14"/>
      <c r="B332" s="9"/>
      <c r="C332" s="10" t="str">
        <f t="shared" si="53"/>
        <v/>
      </c>
      <c r="D332" s="9"/>
      <c r="E332" s="9" t="str">
        <f t="shared" si="54"/>
        <v>CHAIYAVUDH BURANASONGGRAM</v>
      </c>
      <c r="F332" s="9"/>
      <c r="G332" s="3"/>
      <c r="H332" s="20"/>
      <c r="I332" s="36"/>
      <c r="J332" s="20"/>
      <c r="K332" s="31" t="s">
        <v>385</v>
      </c>
      <c r="L332" s="3"/>
      <c r="M332" s="8"/>
      <c r="N332" s="20"/>
      <c r="O332" s="36"/>
      <c r="P332" s="20"/>
      <c r="Q332" s="31" t="s">
        <v>385</v>
      </c>
      <c r="R332" s="3"/>
    </row>
    <row r="333" spans="1:18">
      <c r="A333" s="14"/>
      <c r="B333" s="9"/>
      <c r="C333" s="10" t="str">
        <f t="shared" si="53"/>
        <v/>
      </c>
      <c r="D333" s="9"/>
      <c r="E333" s="9" t="str">
        <f t="shared" si="54"/>
        <v>PHUWADON KHAYANYIAM</v>
      </c>
      <c r="F333" s="9"/>
      <c r="G333" s="3"/>
      <c r="H333" s="20"/>
      <c r="I333" s="36"/>
      <c r="J333" s="20"/>
      <c r="K333" s="31" t="s">
        <v>386</v>
      </c>
      <c r="L333" s="3"/>
      <c r="M333" s="8"/>
      <c r="N333" s="20"/>
      <c r="O333" s="36"/>
      <c r="P333" s="20"/>
      <c r="Q333" s="31" t="s">
        <v>386</v>
      </c>
      <c r="R333" s="3"/>
    </row>
    <row r="334" spans="1:18">
      <c r="A334" s="14"/>
      <c r="B334" s="9"/>
      <c r="C334" s="10"/>
      <c r="D334" s="9"/>
      <c r="E334" s="9" t="str">
        <f t="shared" si="54"/>
        <v/>
      </c>
      <c r="F334" s="9"/>
      <c r="G334" s="3"/>
      <c r="H334" s="20"/>
      <c r="I334" s="21"/>
      <c r="J334" s="20"/>
      <c r="K334" s="13"/>
      <c r="L334" s="3"/>
      <c r="M334" s="8"/>
      <c r="N334" s="8"/>
      <c r="O334" s="21"/>
      <c r="P334" s="3"/>
      <c r="Q334" s="3"/>
      <c r="R334" s="3"/>
    </row>
    <row r="335" spans="1:18">
      <c r="A335" s="14"/>
      <c r="B335" s="11"/>
      <c r="C335" s="12"/>
      <c r="D335" s="11"/>
      <c r="E335" s="11"/>
      <c r="F335" s="11"/>
      <c r="G335" s="3"/>
      <c r="H335" s="20"/>
      <c r="I335" s="21"/>
      <c r="J335" s="20"/>
      <c r="K335" s="13"/>
      <c r="L335" s="3"/>
      <c r="M335" s="8"/>
      <c r="N335" s="8"/>
      <c r="O335" s="21"/>
      <c r="P335" s="3"/>
      <c r="Q335" s="3"/>
      <c r="R335" s="3"/>
    </row>
    <row r="336" spans="1:18">
      <c r="A336" s="14"/>
      <c r="B336" s="6"/>
      <c r="C336" s="6"/>
      <c r="D336" s="6"/>
      <c r="E336" s="6"/>
      <c r="F336" s="6"/>
      <c r="G336" s="3"/>
      <c r="H336" s="15"/>
      <c r="I336" s="15"/>
      <c r="J336" s="15"/>
      <c r="K336" s="5"/>
      <c r="L336" s="15"/>
      <c r="M336" s="8"/>
      <c r="N336" s="15"/>
      <c r="O336" s="15"/>
      <c r="P336" s="15"/>
      <c r="Q336" s="15"/>
      <c r="R336" s="15"/>
    </row>
    <row r="337" spans="1:18">
      <c r="A337" s="14"/>
      <c r="B337" s="150" t="str">
        <f>UPPER(H337)</f>
        <v>PIPELINE &amp; SYSTEM</v>
      </c>
      <c r="C337" s="141"/>
      <c r="D337" s="141"/>
      <c r="E337" s="141"/>
      <c r="F337" s="141"/>
      <c r="G337" s="28"/>
      <c r="H337" s="148" t="s">
        <v>387</v>
      </c>
      <c r="I337" s="141"/>
      <c r="J337" s="141"/>
      <c r="K337" s="141"/>
      <c r="L337" s="141"/>
      <c r="M337" s="29"/>
      <c r="N337" s="149" t="s">
        <v>860</v>
      </c>
      <c r="O337" s="141"/>
      <c r="P337" s="141"/>
      <c r="Q337" s="141"/>
      <c r="R337" s="141"/>
    </row>
    <row r="338" spans="1:18">
      <c r="A338" s="14"/>
      <c r="B338" s="9"/>
      <c r="C338" s="10"/>
      <c r="D338" s="9"/>
      <c r="E338" s="9"/>
      <c r="F338" s="9"/>
      <c r="G338" s="3"/>
      <c r="H338" s="20"/>
      <c r="I338" s="21"/>
      <c r="J338" s="20"/>
      <c r="K338" s="13"/>
      <c r="L338" s="3"/>
      <c r="M338" s="8"/>
      <c r="N338" s="3"/>
      <c r="O338" s="8"/>
      <c r="P338" s="3"/>
      <c r="Q338" s="3"/>
      <c r="R338" s="3"/>
    </row>
    <row r="339" spans="1:18">
      <c r="A339" s="14"/>
      <c r="B339" s="9"/>
      <c r="C339" s="10" t="str">
        <f t="shared" ref="C339:C342" si="55">UPPER(I339)</f>
        <v>PIPELINE SUPERVISOR</v>
      </c>
      <c r="D339" s="9"/>
      <c r="E339" s="9" t="str">
        <f t="shared" ref="E339:E342" si="56">UPPER(K339)</f>
        <v>HYUNKYU PARK</v>
      </c>
      <c r="F339" s="9"/>
      <c r="G339" s="3"/>
      <c r="H339" s="20"/>
      <c r="I339" s="21" t="s">
        <v>388</v>
      </c>
      <c r="J339" s="20"/>
      <c r="K339" s="13" t="s">
        <v>389</v>
      </c>
      <c r="L339" s="3"/>
      <c r="M339" s="8"/>
      <c r="N339" s="3"/>
      <c r="O339" s="8" t="s">
        <v>861</v>
      </c>
      <c r="P339" s="3"/>
      <c r="Q339" s="3" t="s">
        <v>862</v>
      </c>
      <c r="R339" s="3"/>
    </row>
    <row r="340" spans="1:18">
      <c r="A340" s="14"/>
      <c r="B340" s="9"/>
      <c r="C340" s="10" t="str">
        <f t="shared" si="55"/>
        <v/>
      </c>
      <c r="D340" s="9"/>
      <c r="E340" s="9" t="str">
        <f t="shared" si="56"/>
        <v/>
      </c>
      <c r="F340" s="9"/>
      <c r="G340" s="3"/>
      <c r="H340" s="20"/>
      <c r="I340" s="21"/>
      <c r="J340" s="20"/>
      <c r="K340" s="13"/>
      <c r="L340" s="3"/>
      <c r="M340" s="8"/>
      <c r="N340" s="3"/>
      <c r="O340" s="8"/>
      <c r="P340" s="3"/>
      <c r="Q340" s="3"/>
      <c r="R340" s="3"/>
    </row>
    <row r="341" spans="1:18">
      <c r="A341" s="14"/>
      <c r="B341" s="9"/>
      <c r="C341" s="10" t="str">
        <f t="shared" si="55"/>
        <v>SYSTEM MANAGER</v>
      </c>
      <c r="D341" s="9"/>
      <c r="E341" s="9" t="str">
        <f t="shared" si="56"/>
        <v>JIWOONG RYU</v>
      </c>
      <c r="F341" s="9"/>
      <c r="G341" s="3"/>
      <c r="H341" s="20"/>
      <c r="I341" s="21" t="s">
        <v>390</v>
      </c>
      <c r="J341" s="20"/>
      <c r="K341" s="13" t="s">
        <v>391</v>
      </c>
      <c r="L341" s="3"/>
      <c r="M341" s="8"/>
      <c r="N341" s="3"/>
      <c r="O341" s="8" t="s">
        <v>863</v>
      </c>
      <c r="P341" s="3"/>
      <c r="Q341" s="3" t="s">
        <v>864</v>
      </c>
      <c r="R341" s="3"/>
    </row>
    <row r="342" spans="1:18">
      <c r="A342" s="14"/>
      <c r="B342" s="9"/>
      <c r="C342" s="10" t="str">
        <f t="shared" si="55"/>
        <v/>
      </c>
      <c r="D342" s="9"/>
      <c r="E342" s="9" t="str">
        <f t="shared" si="56"/>
        <v/>
      </c>
      <c r="F342" s="9"/>
      <c r="G342" s="3"/>
      <c r="H342" s="20"/>
      <c r="I342" s="21"/>
      <c r="J342" s="20"/>
      <c r="K342" s="13"/>
      <c r="L342" s="3"/>
      <c r="M342" s="8"/>
      <c r="N342" s="8"/>
      <c r="O342" s="21"/>
      <c r="P342" s="3"/>
      <c r="Q342" s="3"/>
      <c r="R342" s="3"/>
    </row>
    <row r="343" spans="1:18">
      <c r="A343" s="14"/>
      <c r="B343" s="150" t="str">
        <f>UPPER(H343)</f>
        <v>MANAGEMENT</v>
      </c>
      <c r="C343" s="141"/>
      <c r="D343" s="141"/>
      <c r="E343" s="141"/>
      <c r="F343" s="141"/>
      <c r="G343" s="28"/>
      <c r="H343" s="148" t="s">
        <v>392</v>
      </c>
      <c r="I343" s="141"/>
      <c r="J343" s="141"/>
      <c r="K343" s="141"/>
      <c r="L343" s="141"/>
      <c r="M343" s="29"/>
      <c r="N343" s="149" t="s">
        <v>865</v>
      </c>
      <c r="O343" s="141"/>
      <c r="P343" s="141"/>
      <c r="Q343" s="141"/>
      <c r="R343" s="141"/>
    </row>
    <row r="344" spans="1:18">
      <c r="A344" s="14"/>
      <c r="B344" s="9"/>
      <c r="C344" s="10"/>
      <c r="D344" s="9"/>
      <c r="E344" s="9"/>
      <c r="F344" s="9"/>
      <c r="G344" s="3"/>
      <c r="H344" s="20"/>
      <c r="I344" s="21"/>
      <c r="J344" s="20"/>
      <c r="K344" s="3"/>
      <c r="L344" s="3"/>
      <c r="M344" s="3"/>
      <c r="N344" s="3"/>
      <c r="O344" s="8"/>
      <c r="P344" s="3"/>
      <c r="Q344" s="3"/>
      <c r="R344" s="3"/>
    </row>
    <row r="345" spans="1:18">
      <c r="A345" s="14"/>
      <c r="B345" s="9"/>
      <c r="C345" s="10" t="str">
        <f>UPPER(I345)</f>
        <v>STUDIO MANAGEMENT</v>
      </c>
      <c r="D345" s="9"/>
      <c r="E345" s="9" t="str">
        <f>UPPER(K345)</f>
        <v>SANGWAN SEOK</v>
      </c>
      <c r="F345" s="9"/>
      <c r="G345" s="3"/>
      <c r="H345" s="20"/>
      <c r="I345" s="21" t="s">
        <v>393</v>
      </c>
      <c r="J345" s="20"/>
      <c r="K345" s="3" t="s">
        <v>394</v>
      </c>
      <c r="L345" s="3"/>
      <c r="M345" s="3"/>
      <c r="N345" s="3"/>
      <c r="O345" s="8" t="s">
        <v>866</v>
      </c>
      <c r="P345" s="3"/>
      <c r="Q345" s="3" t="s">
        <v>867</v>
      </c>
      <c r="R345" s="3"/>
    </row>
    <row r="346" spans="1:18">
      <c r="A346" s="14"/>
      <c r="B346" s="146" t="str">
        <f>UPPER(H346)</f>
        <v/>
      </c>
      <c r="C346" s="141"/>
      <c r="D346" s="141"/>
      <c r="E346" s="141"/>
      <c r="F346" s="141"/>
      <c r="G346" s="3"/>
      <c r="H346" s="20"/>
      <c r="I346" s="21"/>
      <c r="J346" s="20"/>
      <c r="K346" s="3"/>
      <c r="L346" s="3"/>
      <c r="M346" s="3"/>
      <c r="N346" s="3"/>
      <c r="O346" s="8"/>
      <c r="P346" s="3"/>
      <c r="Q346" s="3"/>
      <c r="R346" s="3"/>
    </row>
    <row r="347" spans="1:18">
      <c r="A347" s="14"/>
      <c r="B347" s="9"/>
      <c r="C347" s="10" t="str">
        <f t="shared" ref="C347:C351" si="57">UPPER(I347)</f>
        <v>SUPERVISING PRODUCER</v>
      </c>
      <c r="D347" s="9"/>
      <c r="E347" s="9" t="str">
        <f t="shared" ref="E347:E357" si="58">UPPER(K347)</f>
        <v>JARIN SOHN</v>
      </c>
      <c r="F347" s="9"/>
      <c r="G347" s="3"/>
      <c r="H347" s="20"/>
      <c r="I347" s="21" t="s">
        <v>395</v>
      </c>
      <c r="J347" s="20"/>
      <c r="K347" s="3" t="s">
        <v>396</v>
      </c>
      <c r="L347" s="3"/>
      <c r="M347" s="8"/>
      <c r="N347" s="3"/>
      <c r="O347" s="8" t="s">
        <v>868</v>
      </c>
      <c r="P347" s="3"/>
      <c r="Q347" s="3" t="s">
        <v>869</v>
      </c>
      <c r="R347" s="3"/>
    </row>
    <row r="348" spans="1:18">
      <c r="A348" s="14"/>
      <c r="B348" s="9"/>
      <c r="C348" s="10" t="str">
        <f t="shared" si="57"/>
        <v/>
      </c>
      <c r="D348" s="9"/>
      <c r="E348" s="9" t="str">
        <f t="shared" si="58"/>
        <v/>
      </c>
      <c r="F348" s="9"/>
      <c r="G348" s="3"/>
      <c r="H348" s="20"/>
      <c r="I348" s="21"/>
      <c r="J348" s="20"/>
      <c r="K348" s="3"/>
      <c r="L348" s="3"/>
      <c r="M348" s="8"/>
      <c r="N348" s="3"/>
      <c r="O348" s="8"/>
      <c r="P348" s="3"/>
      <c r="Q348" s="3"/>
      <c r="R348" s="3"/>
    </row>
    <row r="349" spans="1:18">
      <c r="A349" s="14"/>
      <c r="B349" s="6"/>
      <c r="C349" s="10" t="str">
        <f t="shared" si="57"/>
        <v>IP BUSINESS</v>
      </c>
      <c r="D349" s="9"/>
      <c r="E349" s="9" t="str">
        <f t="shared" si="58"/>
        <v>YEOMIN YOON</v>
      </c>
      <c r="F349" s="6"/>
      <c r="G349" s="3"/>
      <c r="H349" s="20"/>
      <c r="I349" s="21" t="s">
        <v>397</v>
      </c>
      <c r="J349" s="20"/>
      <c r="K349" s="3" t="s">
        <v>398</v>
      </c>
      <c r="L349" s="3"/>
      <c r="M349" s="8"/>
      <c r="N349" s="3"/>
      <c r="O349" s="8" t="s">
        <v>870</v>
      </c>
      <c r="P349" s="3"/>
      <c r="Q349" s="3" t="s">
        <v>871</v>
      </c>
      <c r="R349" s="3"/>
    </row>
    <row r="350" spans="1:18">
      <c r="A350" s="14"/>
      <c r="B350" s="9"/>
      <c r="C350" s="10" t="str">
        <f t="shared" si="57"/>
        <v/>
      </c>
      <c r="D350" s="9"/>
      <c r="E350" s="9" t="str">
        <f t="shared" si="58"/>
        <v>SANGWON NAM</v>
      </c>
      <c r="F350" s="9"/>
      <c r="G350" s="3"/>
      <c r="H350" s="20"/>
      <c r="I350" s="21"/>
      <c r="J350" s="20"/>
      <c r="K350" s="3" t="s">
        <v>399</v>
      </c>
      <c r="L350" s="3"/>
      <c r="M350" s="8"/>
      <c r="N350" s="3"/>
      <c r="O350" s="8"/>
      <c r="P350" s="3"/>
      <c r="Q350" s="3" t="s">
        <v>872</v>
      </c>
      <c r="R350" s="3"/>
    </row>
    <row r="351" spans="1:18">
      <c r="A351" s="14"/>
      <c r="B351" s="9"/>
      <c r="C351" s="10" t="str">
        <f t="shared" si="57"/>
        <v/>
      </c>
      <c r="D351" s="9"/>
      <c r="E351" s="9" t="str">
        <f t="shared" si="58"/>
        <v xml:space="preserve">GAHYUN BAIK </v>
      </c>
      <c r="F351" s="9"/>
      <c r="G351" s="3"/>
      <c r="H351" s="20"/>
      <c r="I351" s="21"/>
      <c r="J351" s="20"/>
      <c r="K351" s="3" t="s">
        <v>400</v>
      </c>
      <c r="L351" s="3"/>
      <c r="M351" s="8"/>
      <c r="N351" s="3"/>
      <c r="O351" s="8"/>
      <c r="P351" s="3"/>
      <c r="Q351" s="3" t="s">
        <v>873</v>
      </c>
      <c r="R351" s="3"/>
    </row>
    <row r="352" spans="1:18">
      <c r="A352" s="14"/>
      <c r="B352" s="9"/>
      <c r="C352" s="10"/>
      <c r="D352" s="9"/>
      <c r="E352" s="9" t="str">
        <f t="shared" si="58"/>
        <v>HANNA BANG</v>
      </c>
      <c r="F352" s="9"/>
      <c r="G352" s="3"/>
      <c r="H352" s="20"/>
      <c r="I352" s="21"/>
      <c r="J352" s="20"/>
      <c r="K352" s="3" t="s">
        <v>874</v>
      </c>
      <c r="L352" s="3"/>
      <c r="M352" s="8"/>
      <c r="N352" s="3"/>
      <c r="O352" s="8"/>
      <c r="P352" s="3"/>
      <c r="Q352" s="3" t="s">
        <v>875</v>
      </c>
      <c r="R352" s="3"/>
    </row>
    <row r="353" spans="1:18">
      <c r="A353" s="14"/>
      <c r="B353" s="9"/>
      <c r="C353" s="10" t="str">
        <f t="shared" ref="C353:C357" si="59">UPPER(I353)</f>
        <v/>
      </c>
      <c r="D353" s="9"/>
      <c r="E353" s="9" t="str">
        <f t="shared" si="58"/>
        <v/>
      </c>
      <c r="F353" s="9"/>
      <c r="G353" s="3"/>
      <c r="H353" s="20"/>
      <c r="I353" s="21"/>
      <c r="J353" s="20"/>
      <c r="K353" s="3"/>
      <c r="L353" s="3"/>
      <c r="M353" s="8"/>
      <c r="N353" s="3"/>
      <c r="O353" s="8"/>
      <c r="P353" s="3"/>
      <c r="Q353" s="3"/>
      <c r="R353" s="3"/>
    </row>
    <row r="354" spans="1:18">
      <c r="A354" s="14"/>
      <c r="B354" s="9"/>
      <c r="C354" s="10" t="str">
        <f t="shared" si="59"/>
        <v>ACCOUNTING</v>
      </c>
      <c r="D354" s="9"/>
      <c r="E354" s="9" t="str">
        <f t="shared" si="58"/>
        <v>JAEHWAN SHIN</v>
      </c>
      <c r="F354" s="9"/>
      <c r="G354" s="3"/>
      <c r="H354" s="20"/>
      <c r="I354" s="21" t="s">
        <v>401</v>
      </c>
      <c r="J354" s="20"/>
      <c r="K354" s="3" t="s">
        <v>402</v>
      </c>
      <c r="L354" s="3"/>
      <c r="M354" s="8"/>
      <c r="N354" s="3"/>
      <c r="O354" s="8" t="s">
        <v>876</v>
      </c>
      <c r="P354" s="3"/>
      <c r="Q354" s="3" t="s">
        <v>877</v>
      </c>
      <c r="R354" s="3"/>
    </row>
    <row r="355" spans="1:18">
      <c r="A355" s="14"/>
      <c r="B355" s="9"/>
      <c r="C355" s="10" t="str">
        <f t="shared" si="59"/>
        <v/>
      </c>
      <c r="D355" s="9"/>
      <c r="E355" s="9" t="str">
        <f t="shared" si="58"/>
        <v/>
      </c>
      <c r="F355" s="9"/>
      <c r="G355" s="3"/>
      <c r="H355" s="20"/>
      <c r="I355" s="21"/>
      <c r="J355" s="20"/>
      <c r="K355" s="3"/>
      <c r="L355" s="3"/>
      <c r="M355" s="8"/>
      <c r="N355" s="8"/>
      <c r="O355" s="21"/>
      <c r="P355" s="3"/>
      <c r="Q355" s="3"/>
      <c r="R355" s="3"/>
    </row>
    <row r="356" spans="1:18">
      <c r="A356" s="14"/>
      <c r="B356" s="9"/>
      <c r="C356" s="10" t="str">
        <f t="shared" si="59"/>
        <v>HUMAN RESOURCES</v>
      </c>
      <c r="D356" s="9"/>
      <c r="E356" s="9" t="str">
        <f t="shared" si="58"/>
        <v>JIN KIM</v>
      </c>
      <c r="F356" s="9"/>
      <c r="G356" s="3"/>
      <c r="H356" s="20"/>
      <c r="I356" s="21" t="s">
        <v>403</v>
      </c>
      <c r="J356" s="20"/>
      <c r="K356" s="3" t="s">
        <v>404</v>
      </c>
      <c r="L356" s="3"/>
      <c r="M356" s="8"/>
      <c r="N356" s="8"/>
      <c r="O356" s="8" t="s">
        <v>878</v>
      </c>
      <c r="P356" s="3"/>
      <c r="Q356" s="3" t="s">
        <v>879</v>
      </c>
      <c r="R356" s="3"/>
    </row>
    <row r="357" spans="1:18">
      <c r="A357" s="14"/>
      <c r="B357" s="9"/>
      <c r="C357" s="10" t="str">
        <f t="shared" si="59"/>
        <v/>
      </c>
      <c r="D357" s="9"/>
      <c r="E357" s="9" t="str">
        <f t="shared" si="58"/>
        <v/>
      </c>
      <c r="F357" s="9"/>
      <c r="G357" s="3"/>
      <c r="H357" s="20"/>
      <c r="I357" s="21"/>
      <c r="J357" s="20"/>
      <c r="K357" s="3"/>
      <c r="L357" s="20"/>
      <c r="M357" s="8"/>
      <c r="N357" s="20"/>
      <c r="O357" s="21"/>
      <c r="P357" s="20"/>
      <c r="Q357" s="20"/>
      <c r="R357" s="20"/>
    </row>
    <row r="358" spans="1:18">
      <c r="A358" s="14"/>
      <c r="B358" s="11"/>
      <c r="C358" s="12"/>
      <c r="D358" s="11"/>
      <c r="E358" s="11"/>
      <c r="F358" s="11"/>
      <c r="G358" s="3"/>
      <c r="H358" s="20"/>
      <c r="I358" s="21"/>
      <c r="J358" s="20"/>
      <c r="K358" s="13"/>
      <c r="L358" s="3"/>
      <c r="M358" s="3"/>
      <c r="N358" s="3"/>
      <c r="O358" s="21"/>
      <c r="P358" s="3"/>
      <c r="Q358" s="3"/>
      <c r="R358" s="3"/>
    </row>
    <row r="359" spans="1:18">
      <c r="A359" s="14"/>
      <c r="B359" s="42"/>
      <c r="C359" s="10" t="str">
        <f>UPPER(I359)</f>
        <v/>
      </c>
      <c r="D359" s="9"/>
      <c r="E359" s="9" t="str">
        <f>UPPER(K359)</f>
        <v/>
      </c>
      <c r="F359" s="42"/>
      <c r="G359" s="3"/>
      <c r="H359" s="21"/>
      <c r="I359" s="21"/>
      <c r="J359" s="21"/>
      <c r="K359" s="13"/>
      <c r="L359" s="12"/>
      <c r="M359" s="12"/>
      <c r="N359" s="12"/>
      <c r="O359" s="21"/>
      <c r="P359" s="3"/>
      <c r="Q359" s="3"/>
      <c r="R359" s="3"/>
    </row>
    <row r="360" spans="1:18">
      <c r="A360" s="14"/>
      <c r="B360" s="150" t="str">
        <f t="shared" ref="B360:B361" si="60">UPPER(H360)</f>
        <v>ADDITIONAL ARTISTS</v>
      </c>
      <c r="C360" s="141"/>
      <c r="D360" s="141"/>
      <c r="E360" s="141"/>
      <c r="F360" s="141"/>
      <c r="G360" s="28"/>
      <c r="H360" s="148" t="s">
        <v>405</v>
      </c>
      <c r="I360" s="141"/>
      <c r="J360" s="141"/>
      <c r="K360" s="141"/>
      <c r="L360" s="141"/>
      <c r="M360" s="43"/>
      <c r="N360" s="149" t="s">
        <v>880</v>
      </c>
      <c r="O360" s="141"/>
      <c r="P360" s="141"/>
      <c r="Q360" s="141"/>
      <c r="R360" s="141"/>
    </row>
    <row r="361" spans="1:18">
      <c r="A361" s="14"/>
      <c r="B361" s="165" t="str">
        <f t="shared" si="60"/>
        <v>YGGDRAZIL GROUP PUBLIC CO., LTD.</v>
      </c>
      <c r="C361" s="141"/>
      <c r="D361" s="141"/>
      <c r="E361" s="141"/>
      <c r="F361" s="141"/>
      <c r="G361" s="44"/>
      <c r="H361" s="166" t="s">
        <v>406</v>
      </c>
      <c r="I361" s="141"/>
      <c r="J361" s="141"/>
      <c r="K361" s="141"/>
      <c r="L361" s="141"/>
      <c r="M361" s="45"/>
      <c r="N361" s="145" t="s">
        <v>406</v>
      </c>
      <c r="O361" s="141"/>
      <c r="P361" s="141"/>
      <c r="Q361" s="141"/>
      <c r="R361" s="141"/>
    </row>
    <row r="362" spans="1:18">
      <c r="A362" s="14"/>
      <c r="B362" s="9"/>
      <c r="C362" s="10"/>
      <c r="D362" s="9"/>
      <c r="E362" s="9"/>
      <c r="F362" s="9"/>
      <c r="G362" s="3"/>
      <c r="H362" s="47"/>
      <c r="I362" s="21"/>
      <c r="J362" s="20"/>
      <c r="K362" s="3"/>
      <c r="L362" s="3"/>
      <c r="M362" s="12"/>
      <c r="N362" s="12"/>
      <c r="O362" s="21"/>
      <c r="P362" s="3"/>
      <c r="Q362" s="20"/>
      <c r="R362" s="3"/>
    </row>
    <row r="363" spans="1:18">
      <c r="A363" s="14"/>
      <c r="B363" s="9"/>
      <c r="C363" s="10" t="str">
        <f>UPPER(I363)</f>
        <v>ANIMATION DIRECTOR</v>
      </c>
      <c r="D363" s="9"/>
      <c r="E363" s="9" t="str">
        <f>UPPER(K363)</f>
        <v>PAIRATCH LERTKAJORNWONG</v>
      </c>
      <c r="F363" s="9"/>
      <c r="G363" s="3"/>
      <c r="H363" s="47"/>
      <c r="I363" s="21" t="s">
        <v>291</v>
      </c>
      <c r="J363" s="20"/>
      <c r="K363" s="3" t="s">
        <v>407</v>
      </c>
      <c r="L363" s="3"/>
      <c r="M363" s="12"/>
      <c r="N363" s="12"/>
      <c r="O363" s="8" t="s">
        <v>291</v>
      </c>
      <c r="P363" s="3"/>
      <c r="Q363" s="3" t="s">
        <v>407</v>
      </c>
      <c r="R363" s="3"/>
    </row>
    <row r="364" spans="1:18">
      <c r="A364" s="14"/>
      <c r="B364" s="6"/>
      <c r="C364" s="6"/>
      <c r="D364" s="6"/>
      <c r="E364" s="6"/>
      <c r="F364" s="6"/>
      <c r="G364" s="3"/>
      <c r="H364" s="15"/>
      <c r="I364" s="15"/>
      <c r="J364" s="15"/>
      <c r="K364" s="5"/>
      <c r="L364" s="5"/>
      <c r="M364" s="12"/>
      <c r="N364" s="12"/>
      <c r="O364" s="21"/>
      <c r="P364" s="3"/>
      <c r="Q364" s="3"/>
      <c r="R364" s="3"/>
    </row>
    <row r="365" spans="1:18">
      <c r="A365" s="14"/>
      <c r="B365" s="42"/>
      <c r="C365" s="10" t="str">
        <f t="shared" ref="C365:C379" si="61">UPPER(I365)</f>
        <v>ASSET SUPERVISOR</v>
      </c>
      <c r="D365" s="9"/>
      <c r="E365" s="9" t="str">
        <f t="shared" ref="E365:E384" si="62">UPPER(K365)</f>
        <v>PANUWAT BOVORNSIRISARP</v>
      </c>
      <c r="F365" s="42"/>
      <c r="G365" s="3"/>
      <c r="H365" s="21"/>
      <c r="I365" s="21" t="s">
        <v>209</v>
      </c>
      <c r="J365" s="21"/>
      <c r="K365" s="2" t="s">
        <v>408</v>
      </c>
      <c r="L365" s="8"/>
      <c r="M365" s="12"/>
      <c r="N365" s="12"/>
      <c r="O365" s="21" t="s">
        <v>209</v>
      </c>
      <c r="P365" s="21"/>
      <c r="Q365" s="2" t="s">
        <v>408</v>
      </c>
      <c r="R365" s="8"/>
    </row>
    <row r="366" spans="1:18">
      <c r="A366" s="14"/>
      <c r="B366" s="42"/>
      <c r="C366" s="10" t="str">
        <f t="shared" si="61"/>
        <v/>
      </c>
      <c r="D366" s="9"/>
      <c r="E366" s="9" t="str">
        <f t="shared" si="62"/>
        <v/>
      </c>
      <c r="F366" s="42"/>
      <c r="G366" s="3"/>
      <c r="H366" s="21"/>
      <c r="I366" s="21"/>
      <c r="J366" s="21"/>
      <c r="K366" s="2"/>
      <c r="L366" s="8"/>
      <c r="M366" s="12"/>
      <c r="N366" s="12"/>
      <c r="O366" s="21"/>
      <c r="P366" s="21"/>
      <c r="Q366" s="2"/>
      <c r="R366" s="8"/>
    </row>
    <row r="367" spans="1:18">
      <c r="A367" s="14"/>
      <c r="B367" s="42"/>
      <c r="C367" s="10" t="str">
        <f t="shared" si="61"/>
        <v>LEAD ASSET</v>
      </c>
      <c r="D367" s="9"/>
      <c r="E367" s="9" t="str">
        <f t="shared" si="62"/>
        <v>PRADTANA TARWONG</v>
      </c>
      <c r="F367" s="42"/>
      <c r="G367" s="3"/>
      <c r="H367" s="21"/>
      <c r="I367" s="21" t="s">
        <v>409</v>
      </c>
      <c r="J367" s="21"/>
      <c r="K367" s="2" t="s">
        <v>410</v>
      </c>
      <c r="L367" s="8"/>
      <c r="M367" s="12"/>
      <c r="N367" s="12"/>
      <c r="O367" s="21" t="s">
        <v>409</v>
      </c>
      <c r="P367" s="21"/>
      <c r="Q367" s="2" t="s">
        <v>410</v>
      </c>
      <c r="R367" s="8"/>
    </row>
    <row r="368" spans="1:18">
      <c r="A368" s="14"/>
      <c r="B368" s="42"/>
      <c r="C368" s="10" t="str">
        <f t="shared" si="61"/>
        <v/>
      </c>
      <c r="D368" s="9"/>
      <c r="E368" s="9" t="str">
        <f t="shared" si="62"/>
        <v/>
      </c>
      <c r="F368" s="42"/>
      <c r="G368" s="3"/>
      <c r="H368" s="21"/>
      <c r="I368" s="21"/>
      <c r="J368" s="21"/>
      <c r="K368" s="2"/>
      <c r="L368" s="8"/>
      <c r="M368" s="12"/>
      <c r="N368" s="12"/>
      <c r="O368" s="21"/>
      <c r="P368" s="21"/>
      <c r="Q368" s="2"/>
      <c r="R368" s="8"/>
    </row>
    <row r="369" spans="1:18">
      <c r="A369" s="14"/>
      <c r="B369" s="42"/>
      <c r="C369" s="10" t="str">
        <f t="shared" si="61"/>
        <v>ASSET ARTIST</v>
      </c>
      <c r="D369" s="9"/>
      <c r="E369" s="9" t="str">
        <f t="shared" si="62"/>
        <v>PUCHIT YOTWICHAI</v>
      </c>
      <c r="F369" s="42"/>
      <c r="G369" s="3"/>
      <c r="H369" s="21"/>
      <c r="I369" s="21" t="s">
        <v>411</v>
      </c>
      <c r="J369" s="21"/>
      <c r="K369" s="2" t="s">
        <v>412</v>
      </c>
      <c r="L369" s="8"/>
      <c r="M369" s="12"/>
      <c r="N369" s="12"/>
      <c r="O369" s="21" t="s">
        <v>411</v>
      </c>
      <c r="P369" s="21"/>
      <c r="Q369" s="2" t="s">
        <v>412</v>
      </c>
      <c r="R369" s="8"/>
    </row>
    <row r="370" spans="1:18">
      <c r="A370" s="14"/>
      <c r="B370" s="42"/>
      <c r="C370" s="10" t="str">
        <f t="shared" si="61"/>
        <v/>
      </c>
      <c r="D370" s="9"/>
      <c r="E370" s="9" t="str">
        <f t="shared" si="62"/>
        <v>RITHIKEAT TEACHO</v>
      </c>
      <c r="F370" s="42"/>
      <c r="G370" s="3"/>
      <c r="H370" s="21"/>
      <c r="I370" s="21"/>
      <c r="J370" s="21"/>
      <c r="K370" s="2" t="s">
        <v>413</v>
      </c>
      <c r="L370" s="8"/>
      <c r="M370" s="12"/>
      <c r="N370" s="12"/>
      <c r="O370" s="21"/>
      <c r="P370" s="21"/>
      <c r="Q370" s="2" t="s">
        <v>413</v>
      </c>
      <c r="R370" s="8"/>
    </row>
    <row r="371" spans="1:18">
      <c r="A371" s="14"/>
      <c r="B371" s="42"/>
      <c r="C371" s="10" t="str">
        <f t="shared" si="61"/>
        <v/>
      </c>
      <c r="D371" s="9"/>
      <c r="E371" s="9" t="str">
        <f t="shared" si="62"/>
        <v>JAKKRIT JAROENSUK</v>
      </c>
      <c r="F371" s="42"/>
      <c r="G371" s="3"/>
      <c r="H371" s="21"/>
      <c r="I371" s="21"/>
      <c r="J371" s="21"/>
      <c r="K371" s="2" t="s">
        <v>414</v>
      </c>
      <c r="L371" s="8"/>
      <c r="M371" s="12"/>
      <c r="N371" s="12"/>
      <c r="O371" s="21"/>
      <c r="P371" s="21"/>
      <c r="Q371" s="2" t="s">
        <v>414</v>
      </c>
      <c r="R371" s="8"/>
    </row>
    <row r="372" spans="1:18">
      <c r="A372" s="14"/>
      <c r="B372" s="42"/>
      <c r="C372" s="10" t="str">
        <f t="shared" si="61"/>
        <v/>
      </c>
      <c r="D372" s="9"/>
      <c r="E372" s="9" t="str">
        <f t="shared" si="62"/>
        <v>NAWAPAS MAINKOON</v>
      </c>
      <c r="F372" s="42"/>
      <c r="G372" s="3"/>
      <c r="H372" s="21"/>
      <c r="I372" s="21"/>
      <c r="J372" s="21"/>
      <c r="K372" s="2" t="s">
        <v>415</v>
      </c>
      <c r="L372" s="8"/>
      <c r="M372" s="12"/>
      <c r="N372" s="12"/>
      <c r="O372" s="21"/>
      <c r="P372" s="21"/>
      <c r="Q372" s="2" t="s">
        <v>415</v>
      </c>
      <c r="R372" s="8"/>
    </row>
    <row r="373" spans="1:18">
      <c r="A373" s="14"/>
      <c r="B373" s="42"/>
      <c r="C373" s="10" t="str">
        <f t="shared" si="61"/>
        <v/>
      </c>
      <c r="D373" s="9"/>
      <c r="E373" s="9" t="str">
        <f t="shared" si="62"/>
        <v>THARIT BANCHANURAT</v>
      </c>
      <c r="F373" s="42"/>
      <c r="G373" s="3"/>
      <c r="H373" s="21"/>
      <c r="I373" s="21"/>
      <c r="J373" s="20"/>
      <c r="K373" s="2" t="s">
        <v>416</v>
      </c>
      <c r="L373" s="8"/>
      <c r="M373" s="12"/>
      <c r="N373" s="12"/>
      <c r="O373" s="21"/>
      <c r="P373" s="20"/>
      <c r="Q373" s="2" t="s">
        <v>416</v>
      </c>
      <c r="R373" s="8"/>
    </row>
    <row r="374" spans="1:18">
      <c r="A374" s="14"/>
      <c r="B374" s="42"/>
      <c r="C374" s="10" t="str">
        <f t="shared" si="61"/>
        <v/>
      </c>
      <c r="D374" s="9"/>
      <c r="E374" s="9" t="str">
        <f t="shared" si="62"/>
        <v>PALINEE ANURATANAPRASIT</v>
      </c>
      <c r="F374" s="42"/>
      <c r="G374" s="3"/>
      <c r="H374" s="21"/>
      <c r="I374" s="21"/>
      <c r="J374" s="20"/>
      <c r="K374" s="2" t="s">
        <v>417</v>
      </c>
      <c r="L374" s="8"/>
      <c r="M374" s="12"/>
      <c r="N374" s="12"/>
      <c r="O374" s="21"/>
      <c r="P374" s="20"/>
      <c r="Q374" s="2" t="s">
        <v>417</v>
      </c>
      <c r="R374" s="8"/>
    </row>
    <row r="375" spans="1:18">
      <c r="A375" s="14"/>
      <c r="B375" s="42"/>
      <c r="C375" s="10" t="str">
        <f t="shared" si="61"/>
        <v/>
      </c>
      <c r="D375" s="9"/>
      <c r="E375" s="9" t="str">
        <f t="shared" si="62"/>
        <v>PHARUNYOO PROMKORN</v>
      </c>
      <c r="F375" s="42"/>
      <c r="G375" s="3"/>
      <c r="H375" s="21"/>
      <c r="I375" s="21"/>
      <c r="J375" s="20"/>
      <c r="K375" s="2" t="s">
        <v>418</v>
      </c>
      <c r="L375" s="8"/>
      <c r="M375" s="12"/>
      <c r="N375" s="12"/>
      <c r="O375" s="21"/>
      <c r="P375" s="20"/>
      <c r="Q375" s="2" t="s">
        <v>418</v>
      </c>
      <c r="R375" s="8"/>
    </row>
    <row r="376" spans="1:18">
      <c r="A376" s="14"/>
      <c r="B376" s="42"/>
      <c r="C376" s="10" t="str">
        <f t="shared" si="61"/>
        <v/>
      </c>
      <c r="D376" s="9"/>
      <c r="E376" s="9" t="str">
        <f t="shared" si="62"/>
        <v>CHANANKARN KANTA</v>
      </c>
      <c r="F376" s="42"/>
      <c r="G376" s="3"/>
      <c r="H376" s="21"/>
      <c r="I376" s="21"/>
      <c r="J376" s="20"/>
      <c r="K376" s="2" t="s">
        <v>419</v>
      </c>
      <c r="L376" s="8"/>
      <c r="M376" s="12"/>
      <c r="N376" s="12"/>
      <c r="O376" s="21"/>
      <c r="P376" s="20"/>
      <c r="Q376" s="2" t="s">
        <v>419</v>
      </c>
      <c r="R376" s="8"/>
    </row>
    <row r="377" spans="1:18">
      <c r="A377" s="14"/>
      <c r="B377" s="42"/>
      <c r="C377" s="10" t="str">
        <f t="shared" si="61"/>
        <v/>
      </c>
      <c r="D377" s="9"/>
      <c r="E377" s="9" t="str">
        <f t="shared" si="62"/>
        <v>CHANAPAT THUETRONG</v>
      </c>
      <c r="F377" s="42"/>
      <c r="G377" s="3"/>
      <c r="H377" s="21"/>
      <c r="I377" s="21"/>
      <c r="J377" s="20"/>
      <c r="K377" s="2" t="s">
        <v>420</v>
      </c>
      <c r="L377" s="8"/>
      <c r="M377" s="12"/>
      <c r="N377" s="12"/>
      <c r="O377" s="21"/>
      <c r="P377" s="20"/>
      <c r="Q377" s="2" t="s">
        <v>420</v>
      </c>
      <c r="R377" s="8"/>
    </row>
    <row r="378" spans="1:18">
      <c r="A378" s="14"/>
      <c r="B378" s="42"/>
      <c r="C378" s="10" t="str">
        <f t="shared" si="61"/>
        <v/>
      </c>
      <c r="D378" s="9"/>
      <c r="E378" s="9" t="str">
        <f t="shared" si="62"/>
        <v>TARIGAN SUKONTAGON</v>
      </c>
      <c r="F378" s="42"/>
      <c r="G378" s="3"/>
      <c r="H378" s="21"/>
      <c r="I378" s="21"/>
      <c r="J378" s="20"/>
      <c r="K378" s="2" t="s">
        <v>421</v>
      </c>
      <c r="L378" s="8"/>
      <c r="M378" s="12"/>
      <c r="N378" s="12"/>
      <c r="O378" s="21"/>
      <c r="P378" s="20"/>
      <c r="Q378" s="2" t="s">
        <v>421</v>
      </c>
      <c r="R378" s="8"/>
    </row>
    <row r="379" spans="1:18">
      <c r="A379" s="14"/>
      <c r="B379" s="42"/>
      <c r="C379" s="10" t="str">
        <f t="shared" si="61"/>
        <v/>
      </c>
      <c r="D379" s="9"/>
      <c r="E379" s="9" t="str">
        <f t="shared" si="62"/>
        <v>WATCHARAPOL PANYAPITAKKUL</v>
      </c>
      <c r="F379" s="42"/>
      <c r="G379" s="3"/>
      <c r="H379" s="21"/>
      <c r="I379" s="21"/>
      <c r="J379" s="20"/>
      <c r="K379" s="2" t="s">
        <v>422</v>
      </c>
      <c r="L379" s="8"/>
      <c r="M379" s="12"/>
      <c r="N379" s="12"/>
      <c r="O379" s="21"/>
      <c r="P379" s="20"/>
      <c r="Q379" s="2" t="s">
        <v>422</v>
      </c>
      <c r="R379" s="8"/>
    </row>
    <row r="380" spans="1:18">
      <c r="A380" s="14"/>
      <c r="B380" s="42"/>
      <c r="C380" s="10"/>
      <c r="D380" s="9"/>
      <c r="E380" s="9" t="str">
        <f t="shared" si="62"/>
        <v>PRAPABHORN POOMSIRI</v>
      </c>
      <c r="F380" s="42"/>
      <c r="G380" s="3"/>
      <c r="H380" s="21"/>
      <c r="I380" s="21"/>
      <c r="J380" s="20"/>
      <c r="K380" s="2" t="s">
        <v>423</v>
      </c>
      <c r="L380" s="8"/>
      <c r="M380" s="12"/>
      <c r="N380" s="12"/>
      <c r="O380" s="21"/>
      <c r="P380" s="20"/>
      <c r="Q380" s="2" t="s">
        <v>423</v>
      </c>
      <c r="R380" s="8"/>
    </row>
    <row r="381" spans="1:18">
      <c r="A381" s="14"/>
      <c r="B381" s="42"/>
      <c r="C381" s="10"/>
      <c r="D381" s="9"/>
      <c r="E381" s="9" t="str">
        <f t="shared" si="62"/>
        <v>BAVORNSAK UDOMCHIMPLEE</v>
      </c>
      <c r="F381" s="42"/>
      <c r="G381" s="3"/>
      <c r="H381" s="21"/>
      <c r="I381" s="21"/>
      <c r="J381" s="20"/>
      <c r="K381" s="2" t="s">
        <v>424</v>
      </c>
      <c r="L381" s="8"/>
      <c r="M381" s="12"/>
      <c r="N381" s="12"/>
      <c r="O381" s="21"/>
      <c r="P381" s="20"/>
      <c r="Q381" s="2" t="s">
        <v>424</v>
      </c>
      <c r="R381" s="8"/>
    </row>
    <row r="382" spans="1:18">
      <c r="A382" s="14"/>
      <c r="B382" s="42"/>
      <c r="C382" s="10"/>
      <c r="D382" s="9"/>
      <c r="E382" s="9" t="str">
        <f t="shared" si="62"/>
        <v/>
      </c>
      <c r="F382" s="42"/>
      <c r="G382" s="3"/>
      <c r="H382" s="21"/>
      <c r="I382" s="21"/>
      <c r="J382" s="20"/>
      <c r="K382" s="2"/>
      <c r="L382" s="8"/>
      <c r="M382" s="12"/>
      <c r="N382" s="12"/>
      <c r="O382" s="21"/>
      <c r="P382" s="3"/>
      <c r="Q382" s="3"/>
      <c r="R382" s="3"/>
    </row>
    <row r="383" spans="1:18">
      <c r="A383" s="14"/>
      <c r="B383" s="11"/>
      <c r="C383" s="12" t="str">
        <f>UPPER(I383)</f>
        <v/>
      </c>
      <c r="D383" s="11"/>
      <c r="E383" s="11" t="str">
        <f t="shared" si="62"/>
        <v/>
      </c>
      <c r="F383" s="11"/>
      <c r="G383" s="3"/>
      <c r="H383" s="20"/>
      <c r="I383" s="21"/>
      <c r="J383" s="20"/>
      <c r="K383" s="13"/>
      <c r="L383" s="3"/>
      <c r="M383" s="3"/>
      <c r="N383" s="3"/>
      <c r="O383" s="21"/>
      <c r="P383" s="3"/>
      <c r="Q383" s="3"/>
      <c r="R383" s="3"/>
    </row>
    <row r="384" spans="1:18">
      <c r="A384" s="14"/>
      <c r="B384" s="9" t="str">
        <f t="shared" ref="B384:C384" si="63">UPPER(H384)</f>
        <v/>
      </c>
      <c r="C384" s="10" t="str">
        <f t="shared" si="63"/>
        <v/>
      </c>
      <c r="D384" s="9"/>
      <c r="E384" s="9" t="str">
        <f t="shared" si="62"/>
        <v/>
      </c>
      <c r="F384" s="9"/>
      <c r="G384" s="3"/>
      <c r="H384" s="20"/>
      <c r="I384" s="21"/>
      <c r="J384" s="20"/>
      <c r="K384" s="13"/>
      <c r="L384" s="3"/>
      <c r="M384" s="8"/>
      <c r="N384" s="8"/>
      <c r="O384" s="21"/>
      <c r="P384" s="3"/>
      <c r="Q384" s="3"/>
      <c r="R384" s="3"/>
    </row>
    <row r="385" spans="1:18">
      <c r="A385" s="14"/>
      <c r="B385" s="150" t="str">
        <f>UPPER(H385)</f>
        <v>VOICE RECORDING</v>
      </c>
      <c r="C385" s="141"/>
      <c r="D385" s="141"/>
      <c r="E385" s="141"/>
      <c r="F385" s="141"/>
      <c r="G385" s="28"/>
      <c r="H385" s="148" t="s">
        <v>425</v>
      </c>
      <c r="I385" s="141"/>
      <c r="J385" s="141"/>
      <c r="K385" s="141"/>
      <c r="L385" s="141"/>
      <c r="M385" s="29"/>
      <c r="N385" s="149" t="s">
        <v>881</v>
      </c>
      <c r="O385" s="141"/>
      <c r="P385" s="141"/>
      <c r="Q385" s="141"/>
      <c r="R385" s="141"/>
    </row>
    <row r="386" spans="1:18">
      <c r="A386" s="14"/>
      <c r="B386" s="9"/>
      <c r="C386" s="10" t="str">
        <f t="shared" ref="C386:C398" si="64">UPPER(I386)</f>
        <v>VOICE DIRECTOR</v>
      </c>
      <c r="D386" s="9"/>
      <c r="E386" s="9" t="str">
        <f t="shared" ref="E386:E398" si="65">UPPER(K386)</f>
        <v>TOM WAYLAND</v>
      </c>
      <c r="F386" s="9"/>
      <c r="G386" s="3"/>
      <c r="H386" s="20"/>
      <c r="I386" s="36" t="s">
        <v>426</v>
      </c>
      <c r="J386" s="2"/>
      <c r="K386" s="2" t="s">
        <v>58</v>
      </c>
      <c r="L386" s="3"/>
      <c r="M386" s="8"/>
      <c r="N386" s="3"/>
      <c r="O386" s="8" t="s">
        <v>882</v>
      </c>
      <c r="P386" s="3"/>
      <c r="Q386" s="3" t="s">
        <v>883</v>
      </c>
      <c r="R386" s="3"/>
    </row>
    <row r="387" spans="1:18">
      <c r="A387" s="14"/>
      <c r="B387" s="9"/>
      <c r="C387" s="10" t="str">
        <f t="shared" si="64"/>
        <v/>
      </c>
      <c r="D387" s="9"/>
      <c r="E387" s="9" t="str">
        <f t="shared" si="65"/>
        <v/>
      </c>
      <c r="F387" s="9"/>
      <c r="G387" s="3"/>
      <c r="H387" s="20"/>
      <c r="I387" s="2"/>
      <c r="J387" s="2"/>
      <c r="K387" s="2"/>
      <c r="L387" s="3"/>
      <c r="M387" s="8"/>
      <c r="N387" s="3"/>
      <c r="O387" s="8"/>
      <c r="P387" s="3"/>
      <c r="Q387" s="3"/>
      <c r="R387" s="3"/>
    </row>
    <row r="388" spans="1:18">
      <c r="A388" s="14"/>
      <c r="B388" s="9"/>
      <c r="C388" s="10" t="str">
        <f t="shared" si="64"/>
        <v>RECORDING ENGINEER</v>
      </c>
      <c r="D388" s="9"/>
      <c r="E388" s="9" t="str">
        <f t="shared" si="65"/>
        <v>DOMINIC DUNN</v>
      </c>
      <c r="F388" s="9"/>
      <c r="G388" s="3"/>
      <c r="H388" s="20"/>
      <c r="I388" s="36" t="s">
        <v>427</v>
      </c>
      <c r="J388" s="2"/>
      <c r="K388" s="2" t="s">
        <v>428</v>
      </c>
      <c r="L388" s="3"/>
      <c r="M388" s="8"/>
      <c r="N388" s="3"/>
      <c r="O388" s="8" t="s">
        <v>884</v>
      </c>
      <c r="P388" s="3"/>
      <c r="Q388" s="3" t="s">
        <v>885</v>
      </c>
      <c r="R388" s="3"/>
    </row>
    <row r="389" spans="1:18">
      <c r="A389" s="14"/>
      <c r="B389" s="9"/>
      <c r="C389" s="10" t="str">
        <f t="shared" si="64"/>
        <v/>
      </c>
      <c r="D389" s="9"/>
      <c r="E389" s="9" t="str">
        <f t="shared" si="65"/>
        <v>FAHAD RAHMAN</v>
      </c>
      <c r="F389" s="9"/>
      <c r="G389" s="3"/>
      <c r="H389" s="20"/>
      <c r="I389" s="2"/>
      <c r="J389" s="2"/>
      <c r="K389" s="2" t="s">
        <v>429</v>
      </c>
      <c r="L389" s="3"/>
      <c r="M389" s="8"/>
      <c r="N389" s="3"/>
      <c r="O389" s="8"/>
      <c r="P389" s="3"/>
      <c r="Q389" s="3"/>
      <c r="R389" s="3"/>
    </row>
    <row r="390" spans="1:18">
      <c r="A390" s="14"/>
      <c r="B390" s="9"/>
      <c r="C390" s="10" t="str">
        <f t="shared" si="64"/>
        <v/>
      </c>
      <c r="D390" s="9"/>
      <c r="E390" s="9" t="str">
        <f t="shared" si="65"/>
        <v>TOM WAYLAND</v>
      </c>
      <c r="F390" s="9"/>
      <c r="G390" s="3"/>
      <c r="H390" s="20"/>
      <c r="I390" s="2"/>
      <c r="J390" s="2"/>
      <c r="K390" s="2" t="s">
        <v>58</v>
      </c>
      <c r="L390" s="3"/>
      <c r="M390" s="8"/>
      <c r="N390" s="3"/>
      <c r="O390" s="8" t="s">
        <v>886</v>
      </c>
      <c r="P390" s="3"/>
      <c r="Q390" s="3" t="s">
        <v>885</v>
      </c>
      <c r="R390" s="3"/>
    </row>
    <row r="391" spans="1:18">
      <c r="A391" s="14"/>
      <c r="B391" s="9"/>
      <c r="C391" s="10" t="str">
        <f t="shared" si="64"/>
        <v/>
      </c>
      <c r="D391" s="9"/>
      <c r="E391" s="9" t="str">
        <f t="shared" si="65"/>
        <v/>
      </c>
      <c r="F391" s="9"/>
      <c r="G391" s="3"/>
      <c r="H391" s="20"/>
      <c r="I391" s="2"/>
      <c r="J391" s="2"/>
      <c r="K391" s="2"/>
      <c r="L391" s="3"/>
      <c r="M391" s="8"/>
      <c r="N391" s="3"/>
      <c r="O391" s="8"/>
      <c r="P391" s="3"/>
      <c r="Q391" s="3"/>
      <c r="R391" s="3"/>
    </row>
    <row r="392" spans="1:18">
      <c r="A392" s="14"/>
      <c r="B392" s="9"/>
      <c r="C392" s="10" t="str">
        <f t="shared" si="64"/>
        <v>VOICE CASTING</v>
      </c>
      <c r="D392" s="9"/>
      <c r="E392" s="9" t="str">
        <f t="shared" si="65"/>
        <v>TOM WAYLAND</v>
      </c>
      <c r="F392" s="9"/>
      <c r="G392" s="3"/>
      <c r="H392" s="20"/>
      <c r="I392" s="36" t="s">
        <v>430</v>
      </c>
      <c r="J392" s="2"/>
      <c r="K392" s="2" t="s">
        <v>58</v>
      </c>
      <c r="L392" s="3"/>
      <c r="M392" s="8"/>
      <c r="N392" s="3"/>
      <c r="O392" s="8" t="s">
        <v>887</v>
      </c>
      <c r="P392" s="3"/>
      <c r="Q392" s="3" t="s">
        <v>885</v>
      </c>
      <c r="R392" s="3"/>
    </row>
    <row r="393" spans="1:18">
      <c r="A393" s="14"/>
      <c r="B393" s="9"/>
      <c r="C393" s="10" t="str">
        <f t="shared" si="64"/>
        <v/>
      </c>
      <c r="D393" s="9"/>
      <c r="E393" s="9" t="str">
        <f t="shared" si="65"/>
        <v/>
      </c>
      <c r="F393" s="9"/>
      <c r="G393" s="3"/>
      <c r="H393" s="20"/>
      <c r="I393" s="2"/>
      <c r="J393" s="2"/>
      <c r="K393" s="2"/>
      <c r="L393" s="3"/>
      <c r="M393" s="8"/>
      <c r="N393" s="20"/>
      <c r="O393" s="3"/>
      <c r="P393" s="3"/>
      <c r="Q393" s="3"/>
      <c r="R393" s="3"/>
    </row>
    <row r="394" spans="1:18">
      <c r="A394" s="14"/>
      <c r="B394" s="9"/>
      <c r="C394" s="10" t="str">
        <f t="shared" si="64"/>
        <v>RECORDED BY</v>
      </c>
      <c r="D394" s="9"/>
      <c r="E394" s="9" t="str">
        <f t="shared" si="65"/>
        <v>3BEEP, NYC</v>
      </c>
      <c r="F394" s="9"/>
      <c r="G394" s="3"/>
      <c r="H394" s="20"/>
      <c r="I394" s="36" t="s">
        <v>431</v>
      </c>
      <c r="J394" s="2"/>
      <c r="K394" s="2" t="s">
        <v>432</v>
      </c>
      <c r="L394" s="3"/>
      <c r="M394" s="8"/>
      <c r="N394" s="20"/>
      <c r="O394" s="8"/>
      <c r="P394" s="3"/>
      <c r="Q394" s="3"/>
      <c r="R394" s="3"/>
    </row>
    <row r="395" spans="1:18">
      <c r="A395" s="14"/>
      <c r="B395" s="9"/>
      <c r="C395" s="10" t="str">
        <f t="shared" si="64"/>
        <v/>
      </c>
      <c r="D395" s="9"/>
      <c r="E395" s="9" t="str">
        <f t="shared" si="65"/>
        <v/>
      </c>
      <c r="F395" s="9"/>
      <c r="G395" s="3"/>
      <c r="H395" s="20"/>
      <c r="I395" s="2"/>
      <c r="J395" s="2"/>
      <c r="K395" s="2"/>
      <c r="L395" s="3"/>
      <c r="M395" s="8"/>
      <c r="N395" s="20"/>
      <c r="O395" s="2"/>
      <c r="P395" s="2"/>
      <c r="Q395" s="2"/>
      <c r="R395" s="3"/>
    </row>
    <row r="396" spans="1:18">
      <c r="A396" s="14"/>
      <c r="B396" s="9"/>
      <c r="C396" s="10" t="str">
        <f t="shared" si="64"/>
        <v>PRODUCER FOR  3BEEP</v>
      </c>
      <c r="D396" s="9"/>
      <c r="E396" s="9" t="str">
        <f t="shared" si="65"/>
        <v>TIM WERENKO</v>
      </c>
      <c r="F396" s="9"/>
      <c r="G396" s="3"/>
      <c r="H396" s="20"/>
      <c r="I396" s="36" t="s">
        <v>433</v>
      </c>
      <c r="J396" s="2"/>
      <c r="K396" s="2" t="s">
        <v>434</v>
      </c>
      <c r="L396" s="3"/>
      <c r="M396" s="8"/>
      <c r="N396" s="20"/>
      <c r="O396" s="36"/>
      <c r="P396" s="2"/>
      <c r="Q396" s="2"/>
      <c r="R396" s="3"/>
    </row>
    <row r="397" spans="1:18">
      <c r="A397" s="14"/>
      <c r="B397" s="9"/>
      <c r="C397" s="10" t="str">
        <f t="shared" si="64"/>
        <v/>
      </c>
      <c r="D397" s="9"/>
      <c r="E397" s="9" t="str">
        <f t="shared" si="65"/>
        <v>TOM WAYLAND</v>
      </c>
      <c r="F397" s="9"/>
      <c r="G397" s="3"/>
      <c r="H397" s="20"/>
      <c r="I397" s="2"/>
      <c r="J397" s="2"/>
      <c r="K397" s="2" t="s">
        <v>58</v>
      </c>
      <c r="L397" s="3"/>
      <c r="M397" s="8"/>
      <c r="N397" s="20"/>
      <c r="O397" s="2"/>
      <c r="P397" s="2"/>
      <c r="Q397" s="2"/>
      <c r="R397" s="3"/>
    </row>
    <row r="398" spans="1:18">
      <c r="A398" s="14"/>
      <c r="B398" s="9"/>
      <c r="C398" s="10" t="str">
        <f t="shared" si="64"/>
        <v/>
      </c>
      <c r="D398" s="9"/>
      <c r="E398" s="9" t="str">
        <f t="shared" si="65"/>
        <v/>
      </c>
      <c r="F398" s="9"/>
      <c r="G398" s="3"/>
      <c r="H398" s="20"/>
      <c r="I398" s="2"/>
      <c r="J398" s="2"/>
      <c r="K398" s="2"/>
      <c r="L398" s="3"/>
      <c r="M398" s="8"/>
      <c r="N398" s="20"/>
      <c r="O398" s="21"/>
      <c r="P398" s="20"/>
      <c r="Q398" s="47"/>
      <c r="R398" s="3"/>
    </row>
    <row r="399" spans="1:18">
      <c r="A399" s="14"/>
      <c r="B399" s="11"/>
      <c r="C399" s="12"/>
      <c r="D399" s="11"/>
      <c r="E399" s="11"/>
      <c r="F399" s="11"/>
      <c r="G399" s="3"/>
      <c r="H399" s="20"/>
      <c r="I399" s="21"/>
      <c r="J399" s="20"/>
      <c r="K399" s="13"/>
      <c r="L399" s="3"/>
      <c r="M399" s="3"/>
      <c r="N399" s="3"/>
      <c r="O399" s="21"/>
      <c r="P399" s="3"/>
      <c r="Q399" s="3"/>
      <c r="R399" s="3"/>
    </row>
    <row r="400" spans="1:18">
      <c r="A400" s="14"/>
      <c r="B400" s="6"/>
      <c r="C400" s="6"/>
      <c r="D400" s="6"/>
      <c r="E400" s="6"/>
      <c r="F400" s="6"/>
      <c r="G400" s="3"/>
      <c r="H400" s="15"/>
      <c r="I400" s="15"/>
      <c r="J400" s="15"/>
      <c r="K400" s="5"/>
      <c r="L400" s="15"/>
      <c r="M400" s="8"/>
      <c r="N400" s="8"/>
      <c r="O400" s="21"/>
      <c r="P400" s="3"/>
      <c r="Q400" s="3"/>
      <c r="R400" s="3"/>
    </row>
    <row r="401" spans="1:18">
      <c r="A401" s="14"/>
      <c r="B401" s="150" t="str">
        <f>UPPER(H401)</f>
        <v>POST PRODUCTION / ORIGINAL SCORES &amp; SONGS</v>
      </c>
      <c r="C401" s="141"/>
      <c r="D401" s="141"/>
      <c r="E401" s="141"/>
      <c r="F401" s="141"/>
      <c r="G401" s="28"/>
      <c r="H401" s="148" t="s">
        <v>435</v>
      </c>
      <c r="I401" s="141"/>
      <c r="J401" s="141"/>
      <c r="K401" s="141"/>
      <c r="L401" s="141"/>
      <c r="M401" s="29"/>
      <c r="N401" s="149" t="s">
        <v>888</v>
      </c>
      <c r="O401" s="141"/>
      <c r="P401" s="141"/>
      <c r="Q401" s="141"/>
      <c r="R401" s="141"/>
    </row>
    <row r="402" spans="1:18">
      <c r="A402" s="14"/>
      <c r="B402" s="9"/>
      <c r="C402" s="10" t="str">
        <f t="shared" ref="C402:C404" si="66">UPPER(I402)</f>
        <v>AUDIO POST PRODUCTION</v>
      </c>
      <c r="D402" s="9"/>
      <c r="E402" s="9" t="str">
        <f t="shared" ref="E402:E404" si="67">UPPER(K402)</f>
        <v>DOONG SOUND</v>
      </c>
      <c r="F402" s="9"/>
      <c r="G402" s="3"/>
      <c r="H402" s="20"/>
      <c r="I402" s="21" t="s">
        <v>436</v>
      </c>
      <c r="J402" s="20"/>
      <c r="K402" s="3" t="s">
        <v>437</v>
      </c>
      <c r="L402" s="3"/>
      <c r="M402" s="8"/>
      <c r="N402" s="3"/>
      <c r="O402" s="8" t="s">
        <v>889</v>
      </c>
      <c r="P402" s="3"/>
      <c r="Q402" s="3" t="s">
        <v>883</v>
      </c>
      <c r="R402" s="3"/>
    </row>
    <row r="403" spans="1:18">
      <c r="A403" s="14"/>
      <c r="B403" s="6"/>
      <c r="C403" s="10" t="str">
        <f t="shared" si="66"/>
        <v>SOUND SUPERVISOR</v>
      </c>
      <c r="D403" s="9"/>
      <c r="E403" s="9" t="str">
        <f t="shared" si="67"/>
        <v>JEONGYOUNG PARK</v>
      </c>
      <c r="F403" s="6"/>
      <c r="G403" s="3"/>
      <c r="H403" s="20"/>
      <c r="I403" s="21" t="s">
        <v>438</v>
      </c>
      <c r="J403" s="20"/>
      <c r="K403" s="3" t="s">
        <v>439</v>
      </c>
      <c r="L403" s="3"/>
      <c r="M403" s="8"/>
      <c r="N403" s="3"/>
      <c r="O403" s="8" t="s">
        <v>890</v>
      </c>
      <c r="P403" s="3"/>
      <c r="Q403" s="3" t="s">
        <v>891</v>
      </c>
      <c r="R403" s="3"/>
    </row>
    <row r="404" spans="1:18">
      <c r="A404" s="14"/>
      <c r="B404" s="6"/>
      <c r="C404" s="10" t="str">
        <f t="shared" si="66"/>
        <v>SOUND PRODUCTION MANAGER</v>
      </c>
      <c r="D404" s="9"/>
      <c r="E404" s="9" t="str">
        <f t="shared" si="67"/>
        <v>HYEJEONG HWANG</v>
      </c>
      <c r="F404" s="6"/>
      <c r="G404" s="3"/>
      <c r="H404" s="20"/>
      <c r="I404" s="21" t="s">
        <v>440</v>
      </c>
      <c r="J404" s="20"/>
      <c r="K404" s="3" t="s">
        <v>441</v>
      </c>
      <c r="L404" s="3"/>
      <c r="M404" s="8"/>
      <c r="N404" s="3"/>
      <c r="O404" s="8" t="s">
        <v>892</v>
      </c>
      <c r="P404" s="3"/>
      <c r="Q404" s="3" t="s">
        <v>885</v>
      </c>
      <c r="R404" s="3"/>
    </row>
    <row r="405" spans="1:18">
      <c r="A405" s="14"/>
      <c r="B405" s="6"/>
      <c r="C405" s="6"/>
      <c r="D405" s="6"/>
      <c r="E405" s="6"/>
      <c r="F405" s="6"/>
      <c r="G405" s="3"/>
      <c r="H405" s="20"/>
      <c r="I405" s="21"/>
      <c r="J405" s="20"/>
      <c r="K405" s="3"/>
      <c r="L405" s="3"/>
      <c r="M405" s="8"/>
      <c r="N405" s="8"/>
      <c r="O405" s="21"/>
      <c r="P405" s="3"/>
      <c r="Q405" s="3"/>
      <c r="R405" s="3"/>
    </row>
    <row r="406" spans="1:18">
      <c r="A406" s="14"/>
      <c r="B406" s="6"/>
      <c r="C406" s="6"/>
      <c r="D406" s="6"/>
      <c r="E406" s="6"/>
      <c r="F406" s="6"/>
      <c r="G406" s="3"/>
      <c r="H406" s="20"/>
      <c r="I406" s="21"/>
      <c r="J406" s="20"/>
      <c r="K406" s="3"/>
      <c r="L406" s="3"/>
      <c r="M406" s="8"/>
      <c r="N406" s="147"/>
      <c r="O406" s="141"/>
      <c r="P406" s="141"/>
      <c r="Q406" s="141"/>
      <c r="R406" s="141"/>
    </row>
    <row r="407" spans="1:18">
      <c r="A407" s="14"/>
      <c r="B407" s="146" t="str">
        <f>UPPER(H407)</f>
        <v>SOUND</v>
      </c>
      <c r="C407" s="141"/>
      <c r="D407" s="141"/>
      <c r="E407" s="141"/>
      <c r="F407" s="141"/>
      <c r="G407" s="3"/>
      <c r="H407" s="147" t="s">
        <v>442</v>
      </c>
      <c r="I407" s="141"/>
      <c r="J407" s="141"/>
      <c r="K407" s="141"/>
      <c r="L407" s="141"/>
      <c r="M407" s="8"/>
      <c r="N407" s="149" t="s">
        <v>893</v>
      </c>
      <c r="O407" s="141"/>
      <c r="P407" s="141"/>
      <c r="Q407" s="141"/>
      <c r="R407" s="141"/>
    </row>
    <row r="408" spans="1:18">
      <c r="A408" s="14"/>
      <c r="B408" s="9"/>
      <c r="C408" s="10" t="str">
        <f t="shared" ref="C408:C410" si="68">UPPER(I408)</f>
        <v>CHIEF SOUND DESIGNER &amp; EFFECTS &amp; EDITOR</v>
      </c>
      <c r="D408" s="9"/>
      <c r="E408" s="9" t="str">
        <f t="shared" ref="E408:E411" si="69">UPPER(K408)</f>
        <v>HYEJEONG HWANG</v>
      </c>
      <c r="F408" s="9"/>
      <c r="G408" s="3"/>
      <c r="H408" s="21"/>
      <c r="I408" s="21" t="s">
        <v>443</v>
      </c>
      <c r="J408" s="20"/>
      <c r="K408" s="3" t="s">
        <v>441</v>
      </c>
      <c r="L408" s="3"/>
      <c r="M408" s="8"/>
      <c r="N408" s="3"/>
      <c r="O408" s="8" t="s">
        <v>894</v>
      </c>
      <c r="P408" s="3"/>
      <c r="Q408" s="3" t="s">
        <v>885</v>
      </c>
      <c r="R408" s="3"/>
    </row>
    <row r="409" spans="1:18">
      <c r="A409" s="14"/>
      <c r="B409" s="9"/>
      <c r="C409" s="10" t="str">
        <f t="shared" si="68"/>
        <v>VOICE EDITOR</v>
      </c>
      <c r="D409" s="9"/>
      <c r="E409" s="9" t="str">
        <f t="shared" si="69"/>
        <v>HYEJEONG HWANG</v>
      </c>
      <c r="F409" s="9"/>
      <c r="G409" s="3"/>
      <c r="H409" s="21"/>
      <c r="I409" s="21" t="s">
        <v>444</v>
      </c>
      <c r="J409" s="20"/>
      <c r="K409" s="3" t="s">
        <v>441</v>
      </c>
      <c r="L409" s="3"/>
      <c r="M409" s="8"/>
      <c r="N409" s="3"/>
      <c r="O409" s="8" t="s">
        <v>895</v>
      </c>
      <c r="P409" s="3"/>
      <c r="Q409" s="3" t="s">
        <v>885</v>
      </c>
      <c r="R409" s="3"/>
    </row>
    <row r="410" spans="1:18">
      <c r="A410" s="14"/>
      <c r="B410" s="9"/>
      <c r="C410" s="10" t="str">
        <f t="shared" si="68"/>
        <v>MIXING &amp; MASTERING</v>
      </c>
      <c r="D410" s="9"/>
      <c r="E410" s="9" t="str">
        <f t="shared" si="69"/>
        <v>HYEJEONG HWANG</v>
      </c>
      <c r="F410" s="9"/>
      <c r="G410" s="3"/>
      <c r="H410" s="21"/>
      <c r="I410" s="21" t="s">
        <v>445</v>
      </c>
      <c r="J410" s="20"/>
      <c r="K410" s="3" t="s">
        <v>441</v>
      </c>
      <c r="L410" s="3"/>
      <c r="M410" s="8"/>
      <c r="N410" s="3"/>
      <c r="O410" s="8" t="s">
        <v>896</v>
      </c>
      <c r="P410" s="3"/>
      <c r="Q410" s="3" t="s">
        <v>885</v>
      </c>
      <c r="R410" s="3"/>
    </row>
    <row r="411" spans="1:18">
      <c r="A411" s="14"/>
      <c r="B411" s="9"/>
      <c r="C411" s="9"/>
      <c r="D411" s="9"/>
      <c r="E411" s="9" t="str">
        <f t="shared" si="69"/>
        <v>JEONGYOUNG PARK</v>
      </c>
      <c r="F411" s="9"/>
      <c r="G411" s="3"/>
      <c r="H411" s="21"/>
      <c r="I411" s="21"/>
      <c r="J411" s="20"/>
      <c r="K411" s="3" t="s">
        <v>439</v>
      </c>
      <c r="L411" s="3"/>
      <c r="M411" s="8"/>
      <c r="N411" s="3"/>
      <c r="O411" s="8"/>
      <c r="P411" s="3"/>
      <c r="Q411" s="3" t="s">
        <v>891</v>
      </c>
      <c r="R411" s="3"/>
    </row>
    <row r="412" spans="1:18">
      <c r="A412" s="14"/>
      <c r="B412" s="9"/>
      <c r="C412" s="9"/>
      <c r="D412" s="9"/>
      <c r="E412" s="9"/>
      <c r="F412" s="9"/>
      <c r="G412" s="3"/>
      <c r="H412" s="21"/>
      <c r="I412" s="21"/>
      <c r="J412" s="20"/>
      <c r="K412" s="3"/>
      <c r="L412" s="3"/>
      <c r="M412" s="8"/>
      <c r="N412" s="147"/>
      <c r="O412" s="141"/>
      <c r="P412" s="141"/>
      <c r="Q412" s="141"/>
      <c r="R412" s="141"/>
    </row>
    <row r="413" spans="1:18">
      <c r="A413" s="14"/>
      <c r="B413" s="9"/>
      <c r="C413" s="9"/>
      <c r="D413" s="9"/>
      <c r="E413" s="9"/>
      <c r="F413" s="9"/>
      <c r="G413" s="3"/>
      <c r="H413" s="21"/>
      <c r="I413" s="21"/>
      <c r="J413" s="20"/>
      <c r="K413" s="3"/>
      <c r="L413" s="3"/>
      <c r="M413" s="8"/>
      <c r="N413" s="8"/>
      <c r="O413" s="21"/>
      <c r="P413" s="3"/>
      <c r="Q413" s="3"/>
      <c r="R413" s="3"/>
    </row>
    <row r="414" spans="1:18">
      <c r="A414" s="14"/>
      <c r="B414" s="146" t="str">
        <f>UPPER(H414)</f>
        <v>ORIGINAL SCORE</v>
      </c>
      <c r="C414" s="141"/>
      <c r="D414" s="141"/>
      <c r="E414" s="141"/>
      <c r="F414" s="141"/>
      <c r="G414" s="3"/>
      <c r="H414" s="147" t="s">
        <v>446</v>
      </c>
      <c r="I414" s="141"/>
      <c r="J414" s="141"/>
      <c r="K414" s="141"/>
      <c r="L414" s="141"/>
      <c r="M414" s="8"/>
      <c r="N414" s="149" t="s">
        <v>897</v>
      </c>
      <c r="O414" s="141"/>
      <c r="P414" s="141"/>
      <c r="Q414" s="141"/>
      <c r="R414" s="141"/>
    </row>
    <row r="415" spans="1:18">
      <c r="A415" s="14"/>
      <c r="B415" s="9"/>
      <c r="C415" s="10" t="str">
        <f t="shared" ref="C415:C417" si="70">UPPER(I415)</f>
        <v>MUSIC SUPERVISOR</v>
      </c>
      <c r="D415" s="9"/>
      <c r="E415" s="9" t="str">
        <f t="shared" ref="E415:E424" si="71">UPPER(K415)</f>
        <v>YOONHO KIM</v>
      </c>
      <c r="F415" s="9"/>
      <c r="G415" s="3"/>
      <c r="H415" s="21"/>
      <c r="I415" s="21" t="s">
        <v>447</v>
      </c>
      <c r="J415" s="20"/>
      <c r="K415" s="3" t="s">
        <v>448</v>
      </c>
      <c r="L415" s="3"/>
      <c r="M415" s="8"/>
      <c r="N415" s="3"/>
      <c r="O415" s="8" t="s">
        <v>898</v>
      </c>
      <c r="P415" s="3"/>
      <c r="Q415" s="3" t="s">
        <v>899</v>
      </c>
      <c r="R415" s="3"/>
    </row>
    <row r="416" spans="1:18">
      <c r="A416" s="14"/>
      <c r="B416" s="9"/>
      <c r="C416" s="10" t="str">
        <f t="shared" si="70"/>
        <v>LEAD COMPOSER</v>
      </c>
      <c r="D416" s="9"/>
      <c r="E416" s="9" t="str">
        <f t="shared" si="71"/>
        <v>SIEUN KIM</v>
      </c>
      <c r="F416" s="9"/>
      <c r="G416" s="3"/>
      <c r="H416" s="21"/>
      <c r="I416" s="21" t="s">
        <v>449</v>
      </c>
      <c r="J416" s="20"/>
      <c r="K416" s="3" t="s">
        <v>450</v>
      </c>
      <c r="L416" s="3"/>
      <c r="M416" s="8"/>
      <c r="N416" s="3"/>
      <c r="O416" s="8" t="s">
        <v>900</v>
      </c>
      <c r="P416" s="3"/>
      <c r="Q416" s="3" t="s">
        <v>901</v>
      </c>
      <c r="R416" s="3"/>
    </row>
    <row r="417" spans="1:18">
      <c r="A417" s="14"/>
      <c r="B417" s="9"/>
      <c r="C417" s="10" t="str">
        <f t="shared" si="70"/>
        <v>ADDITIONAL COMPOSER</v>
      </c>
      <c r="D417" s="9"/>
      <c r="E417" s="9" t="str">
        <f t="shared" si="71"/>
        <v>NAYEON LEE</v>
      </c>
      <c r="F417" s="9"/>
      <c r="G417" s="3"/>
      <c r="H417" s="21"/>
      <c r="I417" s="21" t="s">
        <v>451</v>
      </c>
      <c r="J417" s="20"/>
      <c r="K417" s="22" t="s">
        <v>452</v>
      </c>
      <c r="L417" s="3"/>
      <c r="M417" s="8"/>
      <c r="N417" s="3"/>
      <c r="O417" s="8" t="s">
        <v>902</v>
      </c>
      <c r="P417" s="3"/>
      <c r="Q417" s="3" t="s">
        <v>903</v>
      </c>
      <c r="R417" s="3"/>
    </row>
    <row r="418" spans="1:18">
      <c r="A418" s="14"/>
      <c r="B418" s="9"/>
      <c r="C418" s="10"/>
      <c r="D418" s="9"/>
      <c r="E418" s="9" t="str">
        <f t="shared" si="71"/>
        <v>DOLLY HWANG</v>
      </c>
      <c r="F418" s="9"/>
      <c r="G418" s="3"/>
      <c r="H418" s="21"/>
      <c r="I418" s="21"/>
      <c r="J418" s="20"/>
      <c r="K418" s="22" t="s">
        <v>453</v>
      </c>
      <c r="L418" s="3"/>
      <c r="M418" s="8"/>
      <c r="N418" s="3"/>
      <c r="O418" s="3"/>
      <c r="P418" s="3"/>
      <c r="Q418" s="20" t="s">
        <v>453</v>
      </c>
      <c r="R418" s="3"/>
    </row>
    <row r="419" spans="1:18">
      <c r="A419" s="14"/>
      <c r="B419" s="9"/>
      <c r="C419" s="10"/>
      <c r="D419" s="9"/>
      <c r="E419" s="9" t="str">
        <f t="shared" si="71"/>
        <v>HAEHOON LEE</v>
      </c>
      <c r="F419" s="9"/>
      <c r="G419" s="3"/>
      <c r="H419" s="21"/>
      <c r="I419" s="21"/>
      <c r="J419" s="20"/>
      <c r="K419" s="24" t="s">
        <v>454</v>
      </c>
      <c r="L419" s="3"/>
      <c r="M419" s="8"/>
      <c r="N419" s="3"/>
      <c r="O419" s="3"/>
      <c r="P419" s="3"/>
      <c r="Q419" s="3" t="s">
        <v>904</v>
      </c>
      <c r="R419" s="3"/>
    </row>
    <row r="420" spans="1:18">
      <c r="A420" s="14"/>
      <c r="B420" s="9"/>
      <c r="C420" s="10"/>
      <c r="D420" s="9"/>
      <c r="E420" s="9" t="str">
        <f t="shared" si="71"/>
        <v>SOYOUNG KWON</v>
      </c>
      <c r="F420" s="9"/>
      <c r="G420" s="3"/>
      <c r="H420" s="21"/>
      <c r="I420" s="21"/>
      <c r="J420" s="20"/>
      <c r="K420" s="22" t="s">
        <v>455</v>
      </c>
      <c r="L420" s="3"/>
      <c r="M420" s="8"/>
      <c r="N420" s="8"/>
      <c r="O420" s="8"/>
      <c r="P420" s="3"/>
      <c r="Q420" s="3" t="s">
        <v>905</v>
      </c>
      <c r="R420" s="3"/>
    </row>
    <row r="421" spans="1:18">
      <c r="A421" s="14"/>
      <c r="B421" s="9"/>
      <c r="C421" s="10"/>
      <c r="D421" s="9"/>
      <c r="E421" s="9" t="str">
        <f t="shared" si="71"/>
        <v>BUMPIZ</v>
      </c>
      <c r="F421" s="9"/>
      <c r="G421" s="3"/>
      <c r="H421" s="21"/>
      <c r="I421" s="21"/>
      <c r="J421" s="20"/>
      <c r="K421" s="22" t="s">
        <v>456</v>
      </c>
      <c r="L421" s="3"/>
      <c r="M421" s="8"/>
      <c r="N421" s="8"/>
      <c r="O421" s="21"/>
      <c r="P421" s="3"/>
      <c r="Q421" s="3" t="s">
        <v>456</v>
      </c>
      <c r="R421" s="3"/>
    </row>
    <row r="422" spans="1:18">
      <c r="A422" s="14"/>
      <c r="B422" s="9"/>
      <c r="C422" s="10"/>
      <c r="D422" s="9"/>
      <c r="E422" s="9" t="str">
        <f t="shared" si="71"/>
        <v>YEONGHUN YUN</v>
      </c>
      <c r="F422" s="9"/>
      <c r="G422" s="3"/>
      <c r="H422" s="21"/>
      <c r="I422" s="21"/>
      <c r="J422" s="20"/>
      <c r="K422" s="22" t="s">
        <v>457</v>
      </c>
      <c r="L422" s="3"/>
      <c r="M422" s="8"/>
      <c r="N422" s="8"/>
      <c r="O422" s="21"/>
      <c r="P422" s="3"/>
      <c r="Q422" s="3" t="s">
        <v>906</v>
      </c>
      <c r="R422" s="3"/>
    </row>
    <row r="423" spans="1:18">
      <c r="A423" s="14"/>
      <c r="B423" s="9"/>
      <c r="C423" s="10"/>
      <c r="D423" s="9"/>
      <c r="E423" s="9" t="str">
        <f t="shared" si="71"/>
        <v>JIAE YU</v>
      </c>
      <c r="F423" s="9"/>
      <c r="G423" s="3"/>
      <c r="H423" s="21"/>
      <c r="I423" s="21"/>
      <c r="J423" s="20"/>
      <c r="K423" s="22" t="s">
        <v>458</v>
      </c>
      <c r="L423" s="3"/>
      <c r="M423" s="8"/>
      <c r="N423" s="8"/>
      <c r="O423" s="21"/>
      <c r="P423" s="3"/>
      <c r="Q423" s="3" t="s">
        <v>907</v>
      </c>
      <c r="R423" s="3"/>
    </row>
    <row r="424" spans="1:18">
      <c r="A424" s="14"/>
      <c r="B424" s="9"/>
      <c r="C424" s="10"/>
      <c r="D424" s="9"/>
      <c r="E424" s="9" t="str">
        <f t="shared" si="71"/>
        <v/>
      </c>
      <c r="F424" s="9"/>
      <c r="G424" s="3"/>
      <c r="H424" s="21"/>
      <c r="I424" s="21"/>
      <c r="J424" s="20"/>
      <c r="K424" s="22"/>
      <c r="L424" s="3"/>
      <c r="M424" s="8"/>
      <c r="N424" s="8"/>
      <c r="O424" s="21"/>
      <c r="P424" s="3"/>
      <c r="Q424" s="3"/>
      <c r="R424" s="3"/>
    </row>
    <row r="425" spans="1:18">
      <c r="A425" s="14"/>
      <c r="B425" s="11"/>
      <c r="C425" s="11"/>
      <c r="D425" s="11"/>
      <c r="E425" s="11"/>
      <c r="F425" s="11"/>
      <c r="G425" s="3"/>
      <c r="H425" s="21"/>
      <c r="I425" s="21"/>
      <c r="J425" s="20"/>
      <c r="K425" s="3"/>
      <c r="L425" s="3"/>
      <c r="M425" s="8"/>
      <c r="N425" s="8"/>
      <c r="O425" s="21"/>
      <c r="P425" s="3"/>
      <c r="Q425" s="3"/>
      <c r="R425" s="3"/>
    </row>
    <row r="426" spans="1:18">
      <c r="A426" s="14"/>
      <c r="B426" s="6"/>
      <c r="C426" s="6"/>
      <c r="D426" s="6"/>
      <c r="E426" s="6"/>
      <c r="F426" s="6"/>
      <c r="G426" s="3"/>
      <c r="H426" s="48"/>
      <c r="I426" s="15"/>
      <c r="J426" s="15"/>
      <c r="K426" s="5"/>
      <c r="L426" s="48"/>
      <c r="M426" s="8"/>
      <c r="N426" s="8"/>
      <c r="O426" s="21"/>
      <c r="P426" s="3"/>
      <c r="Q426" s="3"/>
      <c r="R426" s="3"/>
    </row>
    <row r="427" spans="1:18">
      <c r="A427" s="14"/>
      <c r="B427" s="150" t="str">
        <f t="shared" ref="B427:B428" si="72">UPPER(H427)</f>
        <v>POST PRODUCTION / ORIGINAL SCORES &amp; SONGS</v>
      </c>
      <c r="C427" s="141"/>
      <c r="D427" s="141"/>
      <c r="E427" s="141"/>
      <c r="F427" s="141"/>
      <c r="G427" s="28"/>
      <c r="H427" s="148" t="s">
        <v>435</v>
      </c>
      <c r="I427" s="141"/>
      <c r="J427" s="141"/>
      <c r="K427" s="141"/>
      <c r="L427" s="141"/>
      <c r="M427" s="29"/>
      <c r="N427" s="149" t="s">
        <v>888</v>
      </c>
      <c r="O427" s="141"/>
      <c r="P427" s="141"/>
      <c r="Q427" s="141"/>
      <c r="R427" s="141"/>
    </row>
    <row r="428" spans="1:18">
      <c r="A428" s="14"/>
      <c r="B428" s="146" t="str">
        <f t="shared" si="72"/>
        <v>RECORDING SESSION</v>
      </c>
      <c r="C428" s="141"/>
      <c r="D428" s="141"/>
      <c r="E428" s="141"/>
      <c r="F428" s="141"/>
      <c r="G428" s="3"/>
      <c r="H428" s="142" t="s">
        <v>459</v>
      </c>
      <c r="I428" s="141"/>
      <c r="J428" s="141"/>
      <c r="K428" s="141"/>
      <c r="L428" s="141"/>
      <c r="M428" s="8"/>
      <c r="N428" s="151" t="s">
        <v>908</v>
      </c>
      <c r="O428" s="141"/>
      <c r="P428" s="141"/>
      <c r="Q428" s="141"/>
      <c r="R428" s="141"/>
    </row>
    <row r="429" spans="1:18">
      <c r="A429" s="14"/>
      <c r="B429" s="9"/>
      <c r="C429" s="10" t="str">
        <f t="shared" ref="C429:C445" si="73">UPPER(I429)</f>
        <v/>
      </c>
      <c r="D429" s="9"/>
      <c r="E429" s="9" t="str">
        <f t="shared" ref="E429:E445" si="74">UPPER(K429)</f>
        <v/>
      </c>
      <c r="F429" s="9"/>
      <c r="G429" s="3"/>
      <c r="H429" s="20"/>
      <c r="I429" s="49"/>
      <c r="J429" s="50"/>
      <c r="K429" s="22"/>
      <c r="L429" s="3"/>
      <c r="M429" s="8"/>
      <c r="N429" s="3"/>
      <c r="O429" s="8"/>
      <c r="P429" s="3"/>
      <c r="Q429" s="3"/>
      <c r="R429" s="3"/>
    </row>
    <row r="430" spans="1:18">
      <c r="A430" s="14"/>
      <c r="B430" s="9"/>
      <c r="C430" s="10" t="str">
        <f t="shared" si="73"/>
        <v>GUITAR</v>
      </c>
      <c r="D430" s="9"/>
      <c r="E430" s="9" t="str">
        <f t="shared" si="74"/>
        <v>DOLLY HWANG</v>
      </c>
      <c r="F430" s="9"/>
      <c r="G430" s="3"/>
      <c r="H430" s="20"/>
      <c r="I430" s="49" t="s">
        <v>460</v>
      </c>
      <c r="J430" s="50"/>
      <c r="K430" s="22" t="s">
        <v>453</v>
      </c>
      <c r="L430" s="3"/>
      <c r="M430" s="8"/>
      <c r="N430" s="3"/>
      <c r="O430" s="8" t="s">
        <v>909</v>
      </c>
      <c r="P430" s="3"/>
      <c r="Q430" s="20" t="s">
        <v>453</v>
      </c>
      <c r="R430" s="3"/>
    </row>
    <row r="431" spans="1:18">
      <c r="A431" s="14"/>
      <c r="B431" s="9"/>
      <c r="C431" s="10" t="str">
        <f t="shared" si="73"/>
        <v/>
      </c>
      <c r="D431" s="9"/>
      <c r="E431" s="9" t="str">
        <f t="shared" si="74"/>
        <v>BUMPIZ</v>
      </c>
      <c r="F431" s="9"/>
      <c r="G431" s="3"/>
      <c r="H431" s="20"/>
      <c r="I431" s="49"/>
      <c r="J431" s="50"/>
      <c r="K431" s="22" t="s">
        <v>456</v>
      </c>
      <c r="L431" s="3"/>
      <c r="M431" s="8"/>
      <c r="N431" s="3"/>
      <c r="O431" s="8"/>
      <c r="P431" s="3"/>
      <c r="Q431" s="3" t="s">
        <v>456</v>
      </c>
      <c r="R431" s="3"/>
    </row>
    <row r="432" spans="1:18">
      <c r="A432" s="14"/>
      <c r="B432" s="9"/>
      <c r="C432" s="10" t="str">
        <f t="shared" si="73"/>
        <v/>
      </c>
      <c r="D432" s="9"/>
      <c r="E432" s="9" t="str">
        <f t="shared" si="74"/>
        <v/>
      </c>
      <c r="F432" s="9"/>
      <c r="G432" s="3"/>
      <c r="H432" s="20"/>
      <c r="I432" s="49"/>
      <c r="J432" s="50"/>
      <c r="K432" s="22"/>
      <c r="L432" s="3"/>
      <c r="M432" s="8"/>
      <c r="N432" s="3"/>
      <c r="O432" s="8"/>
      <c r="P432" s="3"/>
      <c r="Q432" s="3"/>
      <c r="R432" s="3"/>
    </row>
    <row r="433" spans="1:18">
      <c r="A433" s="14"/>
      <c r="B433" s="9"/>
      <c r="C433" s="10" t="str">
        <f t="shared" si="73"/>
        <v>BASS</v>
      </c>
      <c r="D433" s="9"/>
      <c r="E433" s="9" t="str">
        <f t="shared" si="74"/>
        <v>DOLLY HWANG</v>
      </c>
      <c r="F433" s="9"/>
      <c r="G433" s="3"/>
      <c r="H433" s="20"/>
      <c r="I433" s="49" t="s">
        <v>461</v>
      </c>
      <c r="J433" s="50"/>
      <c r="K433" s="22" t="s">
        <v>453</v>
      </c>
      <c r="L433" s="3"/>
      <c r="M433" s="8"/>
      <c r="N433" s="3"/>
      <c r="O433" s="8" t="s">
        <v>910</v>
      </c>
      <c r="P433" s="3"/>
      <c r="Q433" s="20" t="s">
        <v>453</v>
      </c>
      <c r="R433" s="3"/>
    </row>
    <row r="434" spans="1:18">
      <c r="A434" s="14"/>
      <c r="B434" s="9"/>
      <c r="C434" s="10" t="str">
        <f t="shared" si="73"/>
        <v/>
      </c>
      <c r="D434" s="9"/>
      <c r="E434" s="9" t="str">
        <f t="shared" si="74"/>
        <v>BUMPIZ</v>
      </c>
      <c r="F434" s="9"/>
      <c r="G434" s="3"/>
      <c r="H434" s="20"/>
      <c r="I434" s="51"/>
      <c r="J434" s="50"/>
      <c r="K434" s="22" t="s">
        <v>456</v>
      </c>
      <c r="L434" s="3"/>
      <c r="M434" s="8"/>
      <c r="N434" s="3"/>
      <c r="O434" s="3"/>
      <c r="P434" s="3"/>
      <c r="Q434" s="3" t="s">
        <v>456</v>
      </c>
      <c r="R434" s="3"/>
    </row>
    <row r="435" spans="1:18">
      <c r="A435" s="14"/>
      <c r="B435" s="9"/>
      <c r="C435" s="10" t="str">
        <f t="shared" si="73"/>
        <v/>
      </c>
      <c r="D435" s="9"/>
      <c r="E435" s="9" t="str">
        <f t="shared" si="74"/>
        <v/>
      </c>
      <c r="F435" s="9"/>
      <c r="G435" s="3"/>
      <c r="H435" s="20"/>
      <c r="I435" s="49"/>
      <c r="J435" s="50"/>
      <c r="K435" s="22"/>
      <c r="L435" s="3"/>
      <c r="M435" s="8"/>
      <c r="N435" s="3"/>
      <c r="O435" s="3"/>
      <c r="P435" s="3"/>
      <c r="Q435" s="3"/>
      <c r="R435" s="3"/>
    </row>
    <row r="436" spans="1:18">
      <c r="A436" s="14"/>
      <c r="B436" s="9"/>
      <c r="C436" s="10" t="str">
        <f t="shared" si="73"/>
        <v>KEYBOARD</v>
      </c>
      <c r="D436" s="9"/>
      <c r="E436" s="9" t="str">
        <f t="shared" si="74"/>
        <v>YOONHO KIM</v>
      </c>
      <c r="F436" s="9"/>
      <c r="G436" s="3"/>
      <c r="H436" s="20"/>
      <c r="I436" s="49" t="s">
        <v>462</v>
      </c>
      <c r="J436" s="50"/>
      <c r="K436" s="22" t="s">
        <v>448</v>
      </c>
      <c r="L436" s="3"/>
      <c r="M436" s="8"/>
      <c r="N436" s="3"/>
      <c r="O436" s="8" t="s">
        <v>911</v>
      </c>
      <c r="P436" s="3"/>
      <c r="Q436" s="3" t="s">
        <v>899</v>
      </c>
      <c r="R436" s="3"/>
    </row>
    <row r="437" spans="1:18">
      <c r="A437" s="14"/>
      <c r="B437" s="9"/>
      <c r="C437" s="10" t="str">
        <f t="shared" si="73"/>
        <v/>
      </c>
      <c r="D437" s="9"/>
      <c r="E437" s="9" t="str">
        <f t="shared" si="74"/>
        <v>SIEUN KIM</v>
      </c>
      <c r="F437" s="9"/>
      <c r="G437" s="3"/>
      <c r="H437" s="20"/>
      <c r="I437" s="52"/>
      <c r="J437" s="50"/>
      <c r="K437" s="22" t="s">
        <v>463</v>
      </c>
      <c r="L437" s="3"/>
      <c r="M437" s="8"/>
      <c r="N437" s="3"/>
      <c r="O437" s="3"/>
      <c r="P437" s="3"/>
      <c r="Q437" s="3" t="s">
        <v>901</v>
      </c>
      <c r="R437" s="3"/>
    </row>
    <row r="438" spans="1:18">
      <c r="A438" s="14"/>
      <c r="B438" s="9"/>
      <c r="C438" s="10" t="str">
        <f t="shared" si="73"/>
        <v/>
      </c>
      <c r="D438" s="9"/>
      <c r="E438" s="9" t="str">
        <f t="shared" si="74"/>
        <v>DOLLY HWANG</v>
      </c>
      <c r="F438" s="9"/>
      <c r="G438" s="3"/>
      <c r="H438" s="20"/>
      <c r="I438" s="52"/>
      <c r="J438" s="50"/>
      <c r="K438" s="22" t="s">
        <v>453</v>
      </c>
      <c r="L438" s="3"/>
      <c r="M438" s="8"/>
      <c r="N438" s="3"/>
      <c r="O438" s="3"/>
      <c r="P438" s="3"/>
      <c r="Q438" s="20" t="s">
        <v>453</v>
      </c>
      <c r="R438" s="3"/>
    </row>
    <row r="439" spans="1:18">
      <c r="A439" s="14"/>
      <c r="B439" s="9"/>
      <c r="C439" s="10" t="str">
        <f t="shared" si="73"/>
        <v/>
      </c>
      <c r="D439" s="9"/>
      <c r="E439" s="9" t="str">
        <f t="shared" si="74"/>
        <v>HAEHOON LEE</v>
      </c>
      <c r="F439" s="9"/>
      <c r="G439" s="3"/>
      <c r="H439" s="20"/>
      <c r="I439" s="52"/>
      <c r="J439" s="50"/>
      <c r="K439" s="22" t="s">
        <v>454</v>
      </c>
      <c r="L439" s="3"/>
      <c r="M439" s="8"/>
      <c r="N439" s="3"/>
      <c r="O439" s="3"/>
      <c r="P439" s="3"/>
      <c r="Q439" s="3" t="s">
        <v>904</v>
      </c>
      <c r="R439" s="3"/>
    </row>
    <row r="440" spans="1:18">
      <c r="A440" s="14"/>
      <c r="B440" s="9"/>
      <c r="C440" s="10" t="str">
        <f t="shared" si="73"/>
        <v/>
      </c>
      <c r="D440" s="9"/>
      <c r="E440" s="9" t="str">
        <f t="shared" si="74"/>
        <v>NAYEON LEE</v>
      </c>
      <c r="F440" s="9"/>
      <c r="G440" s="3"/>
      <c r="H440" s="20"/>
      <c r="I440" s="52"/>
      <c r="J440" s="50"/>
      <c r="K440" s="22" t="s">
        <v>452</v>
      </c>
      <c r="L440" s="3"/>
      <c r="M440" s="8"/>
      <c r="N440" s="3"/>
      <c r="O440" s="3"/>
      <c r="P440" s="3"/>
      <c r="Q440" s="3" t="s">
        <v>903</v>
      </c>
      <c r="R440" s="3"/>
    </row>
    <row r="441" spans="1:18">
      <c r="A441" s="14"/>
      <c r="B441" s="9"/>
      <c r="C441" s="10" t="str">
        <f t="shared" si="73"/>
        <v/>
      </c>
      <c r="D441" s="9"/>
      <c r="E441" s="9" t="str">
        <f t="shared" si="74"/>
        <v>BUMPIZ</v>
      </c>
      <c r="F441" s="9"/>
      <c r="G441" s="3"/>
      <c r="H441" s="20"/>
      <c r="I441" s="52"/>
      <c r="J441" s="50"/>
      <c r="K441" s="22" t="s">
        <v>456</v>
      </c>
      <c r="L441" s="3"/>
      <c r="M441" s="8"/>
      <c r="N441" s="3"/>
      <c r="O441" s="3"/>
      <c r="P441" s="3"/>
      <c r="Q441" s="3" t="s">
        <v>456</v>
      </c>
      <c r="R441" s="3"/>
    </row>
    <row r="442" spans="1:18">
      <c r="A442" s="14"/>
      <c r="B442" s="9"/>
      <c r="C442" s="10" t="str">
        <f t="shared" si="73"/>
        <v/>
      </c>
      <c r="D442" s="9"/>
      <c r="E442" s="9" t="str">
        <f t="shared" si="74"/>
        <v>YEONGHUN YUN</v>
      </c>
      <c r="F442" s="9"/>
      <c r="G442" s="3"/>
      <c r="H442" s="20"/>
      <c r="I442" s="52"/>
      <c r="J442" s="50"/>
      <c r="K442" s="22" t="s">
        <v>457</v>
      </c>
      <c r="L442" s="3"/>
      <c r="M442" s="8"/>
      <c r="N442" s="3"/>
      <c r="O442" s="3"/>
      <c r="P442" s="3"/>
      <c r="Q442" s="3" t="s">
        <v>906</v>
      </c>
      <c r="R442" s="3"/>
    </row>
    <row r="443" spans="1:18">
      <c r="A443" s="14"/>
      <c r="B443" s="9"/>
      <c r="C443" s="10" t="str">
        <f t="shared" si="73"/>
        <v/>
      </c>
      <c r="D443" s="9"/>
      <c r="E443" s="9" t="str">
        <f t="shared" si="74"/>
        <v>JIAE YU</v>
      </c>
      <c r="F443" s="9"/>
      <c r="G443" s="3"/>
      <c r="H443" s="20"/>
      <c r="I443" s="52"/>
      <c r="J443" s="50"/>
      <c r="K443" s="22" t="s">
        <v>458</v>
      </c>
      <c r="L443" s="3"/>
      <c r="M443" s="8"/>
      <c r="N443" s="3"/>
      <c r="O443" s="3"/>
      <c r="P443" s="3"/>
      <c r="Q443" s="3" t="s">
        <v>907</v>
      </c>
      <c r="R443" s="3"/>
    </row>
    <row r="444" spans="1:18">
      <c r="A444" s="14"/>
      <c r="B444" s="9"/>
      <c r="C444" s="10" t="str">
        <f t="shared" si="73"/>
        <v/>
      </c>
      <c r="D444" s="9"/>
      <c r="E444" s="9" t="str">
        <f t="shared" si="74"/>
        <v/>
      </c>
      <c r="F444" s="9"/>
      <c r="G444" s="3"/>
      <c r="H444" s="20"/>
      <c r="I444" s="52"/>
      <c r="J444" s="50"/>
      <c r="K444" s="14"/>
      <c r="L444" s="3"/>
      <c r="M444" s="8"/>
      <c r="N444" s="3"/>
      <c r="O444" s="8"/>
      <c r="P444" s="3"/>
      <c r="Q444" s="3"/>
      <c r="R444" s="3"/>
    </row>
    <row r="445" spans="1:18">
      <c r="A445" s="14"/>
      <c r="B445" s="11"/>
      <c r="C445" s="11" t="str">
        <f t="shared" si="73"/>
        <v/>
      </c>
      <c r="D445" s="11"/>
      <c r="E445" s="11" t="str">
        <f t="shared" si="74"/>
        <v/>
      </c>
      <c r="F445" s="11"/>
      <c r="G445" s="3"/>
      <c r="H445" s="20"/>
      <c r="I445" s="21"/>
      <c r="J445" s="20"/>
      <c r="K445" s="3"/>
      <c r="L445" s="3"/>
      <c r="M445" s="8"/>
      <c r="N445" s="3"/>
      <c r="O445" s="8"/>
      <c r="P445" s="3"/>
      <c r="Q445" s="3"/>
      <c r="R445" s="3"/>
    </row>
    <row r="446" spans="1:18">
      <c r="A446" s="14"/>
      <c r="B446" s="6"/>
      <c r="C446" s="6"/>
      <c r="D446" s="6"/>
      <c r="E446" s="6"/>
      <c r="F446" s="6"/>
      <c r="G446" s="3"/>
      <c r="H446" s="48"/>
      <c r="I446" s="15"/>
      <c r="J446" s="15"/>
      <c r="K446" s="5"/>
      <c r="L446" s="48"/>
      <c r="M446" s="8"/>
      <c r="N446" s="3"/>
      <c r="O446" s="3"/>
      <c r="P446" s="3"/>
      <c r="Q446" s="3"/>
      <c r="R446" s="3"/>
    </row>
    <row r="447" spans="1:18">
      <c r="A447" s="14"/>
      <c r="B447" s="150" t="str">
        <f t="shared" ref="B447:B448" si="75">UPPER(H447)</f>
        <v>POST PRODUCTION / ORIGINAL SCORES &amp; SONGS</v>
      </c>
      <c r="C447" s="141"/>
      <c r="D447" s="141"/>
      <c r="E447" s="141"/>
      <c r="F447" s="141"/>
      <c r="G447" s="28"/>
      <c r="H447" s="148" t="s">
        <v>435</v>
      </c>
      <c r="I447" s="141"/>
      <c r="J447" s="141"/>
      <c r="K447" s="141"/>
      <c r="L447" s="141"/>
      <c r="M447" s="8"/>
      <c r="N447" s="149" t="s">
        <v>888</v>
      </c>
      <c r="O447" s="141"/>
      <c r="P447" s="141"/>
      <c r="Q447" s="141"/>
      <c r="R447" s="141"/>
    </row>
    <row r="448" spans="1:18">
      <c r="A448" s="14"/>
      <c r="B448" s="146" t="str">
        <f t="shared" si="75"/>
        <v>RECORDING SESSION</v>
      </c>
      <c r="C448" s="141"/>
      <c r="D448" s="141"/>
      <c r="E448" s="141"/>
      <c r="F448" s="141"/>
      <c r="G448" s="3"/>
      <c r="H448" s="142" t="s">
        <v>459</v>
      </c>
      <c r="I448" s="141"/>
      <c r="J448" s="141"/>
      <c r="K448" s="141"/>
      <c r="L448" s="141"/>
      <c r="M448" s="8"/>
      <c r="N448" s="151" t="s">
        <v>912</v>
      </c>
      <c r="O448" s="141"/>
      <c r="P448" s="141"/>
      <c r="Q448" s="141"/>
      <c r="R448" s="141"/>
    </row>
    <row r="449" spans="1:18">
      <c r="A449" s="14"/>
      <c r="B449" s="9"/>
      <c r="C449" s="10" t="str">
        <f t="shared" ref="C449:C463" si="76">UPPER(I449)</f>
        <v/>
      </c>
      <c r="D449" s="9"/>
      <c r="E449" s="9" t="str">
        <f t="shared" ref="E449:E463" si="77">UPPER(K449)</f>
        <v/>
      </c>
      <c r="F449" s="9"/>
      <c r="G449" s="3"/>
      <c r="H449" s="20"/>
      <c r="I449" s="49"/>
      <c r="J449" s="50"/>
      <c r="K449" s="22"/>
      <c r="L449" s="3"/>
      <c r="M449" s="8"/>
      <c r="N449" s="8"/>
      <c r="O449" s="21"/>
      <c r="P449" s="3"/>
      <c r="Q449" s="3"/>
      <c r="R449" s="3"/>
    </row>
    <row r="450" spans="1:18">
      <c r="A450" s="14"/>
      <c r="B450" s="9"/>
      <c r="C450" s="10" t="str">
        <f t="shared" si="76"/>
        <v>MUSIC PROGRAMING</v>
      </c>
      <c r="D450" s="9"/>
      <c r="E450" s="9" t="str">
        <f t="shared" si="77"/>
        <v>YOONHO KIM</v>
      </c>
      <c r="F450" s="9"/>
      <c r="G450" s="3"/>
      <c r="H450" s="20"/>
      <c r="I450" s="49" t="s">
        <v>464</v>
      </c>
      <c r="J450" s="50"/>
      <c r="K450" s="22" t="s">
        <v>448</v>
      </c>
      <c r="L450" s="3"/>
      <c r="M450" s="8"/>
      <c r="N450" s="8"/>
      <c r="O450" s="36" t="s">
        <v>913</v>
      </c>
      <c r="P450" s="2"/>
      <c r="Q450" s="2" t="s">
        <v>899</v>
      </c>
      <c r="R450" s="3"/>
    </row>
    <row r="451" spans="1:18">
      <c r="A451" s="14"/>
      <c r="B451" s="9"/>
      <c r="C451" s="10" t="str">
        <f t="shared" si="76"/>
        <v/>
      </c>
      <c r="D451" s="9"/>
      <c r="E451" s="9" t="str">
        <f t="shared" si="77"/>
        <v>SIEUN KIM</v>
      </c>
      <c r="F451" s="9"/>
      <c r="G451" s="3"/>
      <c r="H451" s="20"/>
      <c r="I451" s="52"/>
      <c r="J451" s="50"/>
      <c r="K451" s="22" t="s">
        <v>463</v>
      </c>
      <c r="L451" s="3"/>
      <c r="M451" s="8"/>
      <c r="N451" s="8"/>
      <c r="O451" s="2"/>
      <c r="P451" s="2"/>
      <c r="Q451" s="3" t="s">
        <v>901</v>
      </c>
      <c r="R451" s="3"/>
    </row>
    <row r="452" spans="1:18">
      <c r="A452" s="14"/>
      <c r="B452" s="9"/>
      <c r="C452" s="10" t="str">
        <f t="shared" si="76"/>
        <v/>
      </c>
      <c r="D452" s="9"/>
      <c r="E452" s="9" t="str">
        <f t="shared" si="77"/>
        <v>HAEHOON LEE</v>
      </c>
      <c r="F452" s="9"/>
      <c r="G452" s="3"/>
      <c r="H452" s="20"/>
      <c r="I452" s="52"/>
      <c r="J452" s="50"/>
      <c r="K452" s="22" t="s">
        <v>454</v>
      </c>
      <c r="L452" s="3"/>
      <c r="M452" s="8"/>
      <c r="N452" s="8"/>
      <c r="O452" s="2"/>
      <c r="P452" s="2"/>
      <c r="Q452" s="3" t="s">
        <v>904</v>
      </c>
      <c r="R452" s="3"/>
    </row>
    <row r="453" spans="1:18">
      <c r="A453" s="14"/>
      <c r="B453" s="9"/>
      <c r="C453" s="10" t="str">
        <f t="shared" si="76"/>
        <v/>
      </c>
      <c r="D453" s="9"/>
      <c r="E453" s="9" t="str">
        <f t="shared" si="77"/>
        <v>DOLLY HWANG</v>
      </c>
      <c r="F453" s="9"/>
      <c r="G453" s="3"/>
      <c r="H453" s="20"/>
      <c r="I453" s="52"/>
      <c r="J453" s="50"/>
      <c r="K453" s="22" t="s">
        <v>453</v>
      </c>
      <c r="L453" s="3"/>
      <c r="M453" s="8"/>
      <c r="N453" s="8"/>
      <c r="O453" s="2"/>
      <c r="P453" s="2"/>
      <c r="Q453" s="20" t="s">
        <v>453</v>
      </c>
      <c r="R453" s="3"/>
    </row>
    <row r="454" spans="1:18">
      <c r="A454" s="14"/>
      <c r="B454" s="9"/>
      <c r="C454" s="10" t="str">
        <f t="shared" si="76"/>
        <v/>
      </c>
      <c r="D454" s="9"/>
      <c r="E454" s="9" t="str">
        <f t="shared" si="77"/>
        <v>NAYEON LEE</v>
      </c>
      <c r="F454" s="9"/>
      <c r="G454" s="3"/>
      <c r="H454" s="20"/>
      <c r="I454" s="52"/>
      <c r="J454" s="50"/>
      <c r="K454" s="22" t="s">
        <v>452</v>
      </c>
      <c r="L454" s="3"/>
      <c r="M454" s="8"/>
      <c r="N454" s="8"/>
      <c r="O454" s="2"/>
      <c r="P454" s="2"/>
      <c r="Q454" s="3" t="s">
        <v>903</v>
      </c>
      <c r="R454" s="3"/>
    </row>
    <row r="455" spans="1:18">
      <c r="A455" s="14"/>
      <c r="B455" s="9"/>
      <c r="C455" s="10" t="str">
        <f t="shared" si="76"/>
        <v/>
      </c>
      <c r="D455" s="9"/>
      <c r="E455" s="9" t="str">
        <f t="shared" si="77"/>
        <v>BUMPIZ</v>
      </c>
      <c r="F455" s="9"/>
      <c r="G455" s="3"/>
      <c r="H455" s="20"/>
      <c r="I455" s="52"/>
      <c r="J455" s="50"/>
      <c r="K455" s="22" t="s">
        <v>456</v>
      </c>
      <c r="L455" s="3"/>
      <c r="M455" s="8"/>
      <c r="N455" s="8"/>
      <c r="O455" s="2"/>
      <c r="P455" s="2"/>
      <c r="Q455" s="3" t="s">
        <v>456</v>
      </c>
      <c r="R455" s="3"/>
    </row>
    <row r="456" spans="1:18">
      <c r="A456" s="14"/>
      <c r="B456" s="9"/>
      <c r="C456" s="10" t="str">
        <f t="shared" si="76"/>
        <v/>
      </c>
      <c r="D456" s="9"/>
      <c r="E456" s="9" t="str">
        <f t="shared" si="77"/>
        <v>SOYOUNG KWON</v>
      </c>
      <c r="F456" s="9"/>
      <c r="G456" s="3"/>
      <c r="H456" s="20"/>
      <c r="I456" s="52"/>
      <c r="J456" s="50"/>
      <c r="K456" s="22" t="s">
        <v>455</v>
      </c>
      <c r="L456" s="3"/>
      <c r="M456" s="8"/>
      <c r="N456" s="8"/>
      <c r="O456" s="36"/>
      <c r="P456" s="2"/>
      <c r="Q456" s="2" t="s">
        <v>905</v>
      </c>
      <c r="R456" s="3"/>
    </row>
    <row r="457" spans="1:18">
      <c r="A457" s="14"/>
      <c r="B457" s="9"/>
      <c r="C457" s="10" t="str">
        <f t="shared" si="76"/>
        <v/>
      </c>
      <c r="D457" s="9"/>
      <c r="E457" s="9" t="str">
        <f t="shared" si="77"/>
        <v/>
      </c>
      <c r="F457" s="9"/>
      <c r="G457" s="3"/>
      <c r="H457" s="20"/>
      <c r="I457" s="52"/>
      <c r="J457" s="50"/>
      <c r="K457" s="22"/>
      <c r="L457" s="3"/>
      <c r="M457" s="8"/>
      <c r="N457" s="8"/>
      <c r="O457" s="36"/>
      <c r="P457" s="2"/>
      <c r="Q457" s="2"/>
      <c r="R457" s="3"/>
    </row>
    <row r="458" spans="1:18">
      <c r="A458" s="14"/>
      <c r="B458" s="9"/>
      <c r="C458" s="10" t="str">
        <f t="shared" si="76"/>
        <v>RECORDING STUDIO</v>
      </c>
      <c r="D458" s="9"/>
      <c r="E458" s="9" t="str">
        <f t="shared" si="77"/>
        <v>DOONG SOUND</v>
      </c>
      <c r="F458" s="9"/>
      <c r="G458" s="3"/>
      <c r="H458" s="20"/>
      <c r="I458" s="49" t="s">
        <v>465</v>
      </c>
      <c r="J458" s="50"/>
      <c r="K458" s="22" t="s">
        <v>437</v>
      </c>
      <c r="L458" s="3"/>
      <c r="M458" s="8"/>
      <c r="N458" s="8"/>
      <c r="O458" s="36" t="s">
        <v>882</v>
      </c>
      <c r="P458" s="2"/>
      <c r="Q458" s="2" t="s">
        <v>883</v>
      </c>
      <c r="R458" s="3"/>
    </row>
    <row r="459" spans="1:18">
      <c r="A459" s="14"/>
      <c r="B459" s="9"/>
      <c r="C459" s="10" t="str">
        <f t="shared" si="76"/>
        <v/>
      </c>
      <c r="D459" s="9"/>
      <c r="E459" s="9" t="str">
        <f t="shared" si="77"/>
        <v/>
      </c>
      <c r="F459" s="9"/>
      <c r="G459" s="3"/>
      <c r="H459" s="20"/>
      <c r="I459" s="49"/>
      <c r="J459" s="50"/>
      <c r="K459" s="22"/>
      <c r="L459" s="3"/>
      <c r="M459" s="8"/>
      <c r="N459" s="8"/>
      <c r="O459" s="36"/>
      <c r="P459" s="2"/>
      <c r="Q459" s="2"/>
      <c r="R459" s="3"/>
    </row>
    <row r="460" spans="1:18">
      <c r="A460" s="14"/>
      <c r="B460" s="9"/>
      <c r="C460" s="10" t="str">
        <f t="shared" si="76"/>
        <v>RECORDING ENGINEER</v>
      </c>
      <c r="D460" s="9"/>
      <c r="E460" s="9" t="str">
        <f t="shared" si="77"/>
        <v>HYEJEONG HWANG</v>
      </c>
      <c r="F460" s="9"/>
      <c r="G460" s="3"/>
      <c r="H460" s="20"/>
      <c r="I460" s="49" t="s">
        <v>427</v>
      </c>
      <c r="J460" s="50"/>
      <c r="K460" s="22" t="s">
        <v>441</v>
      </c>
      <c r="L460" s="3"/>
      <c r="M460" s="8"/>
      <c r="N460" s="8"/>
      <c r="O460" s="36" t="s">
        <v>886</v>
      </c>
      <c r="P460" s="2"/>
      <c r="Q460" s="2" t="s">
        <v>885</v>
      </c>
      <c r="R460" s="3"/>
    </row>
    <row r="461" spans="1:18">
      <c r="A461" s="14"/>
      <c r="B461" s="9"/>
      <c r="C461" s="10" t="str">
        <f t="shared" si="76"/>
        <v/>
      </c>
      <c r="D461" s="9"/>
      <c r="E461" s="9" t="str">
        <f t="shared" si="77"/>
        <v>Q6</v>
      </c>
      <c r="F461" s="9"/>
      <c r="G461" s="3"/>
      <c r="H461" s="20"/>
      <c r="I461" s="52"/>
      <c r="J461" s="50"/>
      <c r="K461" s="22" t="s">
        <v>466</v>
      </c>
      <c r="L461" s="3"/>
      <c r="M461" s="8"/>
      <c r="N461" s="8"/>
      <c r="O461" s="2"/>
      <c r="P461" s="2"/>
      <c r="Q461" s="2" t="s">
        <v>466</v>
      </c>
      <c r="R461" s="3"/>
    </row>
    <row r="462" spans="1:18">
      <c r="A462" s="14"/>
      <c r="B462" s="9"/>
      <c r="C462" s="10" t="str">
        <f t="shared" si="76"/>
        <v/>
      </c>
      <c r="D462" s="9"/>
      <c r="E462" s="9" t="str">
        <f t="shared" si="77"/>
        <v>BUMPIZ</v>
      </c>
      <c r="F462" s="9"/>
      <c r="G462" s="3"/>
      <c r="H462" s="20"/>
      <c r="I462" s="52"/>
      <c r="J462" s="50"/>
      <c r="K462" s="22" t="s">
        <v>456</v>
      </c>
      <c r="L462" s="3"/>
      <c r="M462" s="8"/>
      <c r="N462" s="8"/>
      <c r="O462" s="2"/>
      <c r="P462" s="2"/>
      <c r="Q462" s="2" t="s">
        <v>456</v>
      </c>
      <c r="R462" s="3"/>
    </row>
    <row r="463" spans="1:18">
      <c r="A463" s="14"/>
      <c r="B463" s="9"/>
      <c r="C463" s="10" t="str">
        <f t="shared" si="76"/>
        <v/>
      </c>
      <c r="D463" s="9"/>
      <c r="E463" s="9" t="str">
        <f t="shared" si="77"/>
        <v/>
      </c>
      <c r="F463" s="9"/>
      <c r="G463" s="3"/>
      <c r="H463" s="20"/>
      <c r="I463" s="52"/>
      <c r="J463" s="50"/>
      <c r="K463" s="14"/>
      <c r="L463" s="3"/>
      <c r="M463" s="8"/>
      <c r="N463" s="8"/>
      <c r="O463" s="21"/>
      <c r="P463" s="3"/>
      <c r="Q463" s="3"/>
      <c r="R463" s="3"/>
    </row>
    <row r="464" spans="1:18">
      <c r="A464" s="14"/>
      <c r="B464" s="11"/>
      <c r="C464" s="11"/>
      <c r="D464" s="11"/>
      <c r="E464" s="11"/>
      <c r="F464" s="11"/>
      <c r="G464" s="3"/>
      <c r="H464" s="20"/>
      <c r="I464" s="21"/>
      <c r="J464" s="20"/>
      <c r="K464" s="3"/>
      <c r="L464" s="3"/>
      <c r="M464" s="8"/>
      <c r="N464" s="8"/>
      <c r="O464" s="21"/>
      <c r="P464" s="3"/>
      <c r="Q464" s="3"/>
      <c r="R464" s="3"/>
    </row>
    <row r="465" spans="1:18">
      <c r="A465" s="14"/>
      <c r="B465" s="6"/>
      <c r="C465" s="6"/>
      <c r="D465" s="6"/>
      <c r="E465" s="6"/>
      <c r="F465" s="6"/>
      <c r="G465" s="3"/>
      <c r="H465" s="48"/>
      <c r="I465" s="15"/>
      <c r="J465" s="15"/>
      <c r="K465" s="5"/>
      <c r="L465" s="48"/>
      <c r="M465" s="8"/>
      <c r="N465" s="8"/>
      <c r="O465" s="21"/>
      <c r="P465" s="3"/>
      <c r="Q465" s="3"/>
      <c r="R465" s="3"/>
    </row>
    <row r="466" spans="1:18">
      <c r="A466" s="14"/>
      <c r="B466" s="150" t="str">
        <f t="shared" ref="B466:B468" si="78">UPPER(H466)</f>
        <v>POST PRODUCTION / ORIGINAL SCORES &amp; SONGS</v>
      </c>
      <c r="C466" s="141"/>
      <c r="D466" s="141"/>
      <c r="E466" s="141"/>
      <c r="F466" s="141"/>
      <c r="G466" s="28"/>
      <c r="H466" s="148" t="s">
        <v>435</v>
      </c>
      <c r="I466" s="141"/>
      <c r="J466" s="141"/>
      <c r="K466" s="141"/>
      <c r="L466" s="141"/>
      <c r="M466" s="29"/>
      <c r="N466" s="161" t="s">
        <v>888</v>
      </c>
      <c r="O466" s="141"/>
      <c r="P466" s="141"/>
      <c r="Q466" s="141"/>
      <c r="R466" s="141"/>
    </row>
    <row r="467" spans="1:18">
      <c r="A467" s="14"/>
      <c r="B467" s="146" t="str">
        <f t="shared" si="78"/>
        <v>WE R THE HEROES</v>
      </c>
      <c r="C467" s="141"/>
      <c r="D467" s="141"/>
      <c r="E467" s="141"/>
      <c r="F467" s="141"/>
      <c r="G467" s="3"/>
      <c r="H467" s="142" t="s">
        <v>467</v>
      </c>
      <c r="I467" s="141"/>
      <c r="J467" s="141"/>
      <c r="K467" s="141"/>
      <c r="L467" s="141"/>
      <c r="M467" s="8"/>
      <c r="N467" s="159" t="s">
        <v>467</v>
      </c>
      <c r="O467" s="141"/>
      <c r="P467" s="141"/>
      <c r="Q467" s="141"/>
      <c r="R467" s="141"/>
    </row>
    <row r="468" spans="1:18">
      <c r="A468" s="14"/>
      <c r="B468" s="158" t="str">
        <f t="shared" si="78"/>
        <v>OPENING SONG</v>
      </c>
      <c r="C468" s="141"/>
      <c r="D468" s="141"/>
      <c r="E468" s="141"/>
      <c r="F468" s="141"/>
      <c r="G468" s="3"/>
      <c r="H468" s="163" t="s">
        <v>468</v>
      </c>
      <c r="I468" s="141"/>
      <c r="J468" s="141"/>
      <c r="K468" s="141"/>
      <c r="L468" s="141"/>
      <c r="M468" s="8"/>
      <c r="N468" s="160" t="s">
        <v>914</v>
      </c>
      <c r="O468" s="141"/>
      <c r="P468" s="141"/>
      <c r="Q468" s="141"/>
      <c r="R468" s="141"/>
    </row>
    <row r="469" spans="1:18">
      <c r="A469" s="14"/>
      <c r="B469" s="9"/>
      <c r="C469" s="10" t="str">
        <f t="shared" ref="C469:C477" si="79">UPPER(I469)</f>
        <v>COMPOSER &amp; ARRANGER</v>
      </c>
      <c r="D469" s="9"/>
      <c r="E469" s="9" t="str">
        <f t="shared" ref="E469:E477" si="80">UPPER(K469)</f>
        <v>DOLLY HWANG</v>
      </c>
      <c r="F469" s="9"/>
      <c r="G469" s="3"/>
      <c r="H469" s="21"/>
      <c r="I469" s="21" t="s">
        <v>469</v>
      </c>
      <c r="J469" s="20"/>
      <c r="K469" s="3" t="s">
        <v>453</v>
      </c>
      <c r="L469" s="3"/>
      <c r="M469" s="8"/>
      <c r="N469" s="2"/>
      <c r="O469" s="36" t="s">
        <v>915</v>
      </c>
      <c r="P469" s="2"/>
      <c r="Q469" s="2" t="s">
        <v>453</v>
      </c>
      <c r="R469" s="2"/>
    </row>
    <row r="470" spans="1:18">
      <c r="A470" s="14"/>
      <c r="B470" s="9"/>
      <c r="C470" s="10" t="str">
        <f t="shared" si="79"/>
        <v>LYRICS</v>
      </c>
      <c r="D470" s="9"/>
      <c r="E470" s="9" t="str">
        <f t="shared" si="80"/>
        <v>DOLLY HWANG</v>
      </c>
      <c r="F470" s="9"/>
      <c r="G470" s="3"/>
      <c r="H470" s="21"/>
      <c r="I470" s="21" t="s">
        <v>470</v>
      </c>
      <c r="J470" s="20"/>
      <c r="K470" s="3" t="s">
        <v>453</v>
      </c>
      <c r="L470" s="3"/>
      <c r="M470" s="8"/>
      <c r="N470" s="2"/>
      <c r="O470" s="36" t="s">
        <v>916</v>
      </c>
      <c r="P470" s="2"/>
      <c r="Q470" s="2" t="s">
        <v>453</v>
      </c>
      <c r="R470" s="2"/>
    </row>
    <row r="471" spans="1:18">
      <c r="A471" s="14"/>
      <c r="B471" s="9"/>
      <c r="C471" s="10" t="str">
        <f t="shared" si="79"/>
        <v/>
      </c>
      <c r="D471" s="9"/>
      <c r="E471" s="9" t="str">
        <f t="shared" si="80"/>
        <v/>
      </c>
      <c r="F471" s="9"/>
      <c r="G471" s="3"/>
      <c r="H471" s="157"/>
      <c r="I471" s="141"/>
      <c r="J471" s="141"/>
      <c r="K471" s="141"/>
      <c r="L471" s="141"/>
      <c r="M471" s="8"/>
      <c r="N471" s="2"/>
      <c r="O471" s="2"/>
      <c r="P471" s="2"/>
      <c r="Q471" s="2"/>
      <c r="R471" s="2"/>
    </row>
    <row r="472" spans="1:18">
      <c r="A472" s="14"/>
      <c r="B472" s="9"/>
      <c r="C472" s="10" t="str">
        <f t="shared" si="79"/>
        <v>VOCAL</v>
      </c>
      <c r="D472" s="9"/>
      <c r="E472" s="9" t="str">
        <f t="shared" si="80"/>
        <v>DOLLY HWANG</v>
      </c>
      <c r="F472" s="9"/>
      <c r="G472" s="3"/>
      <c r="H472" s="21"/>
      <c r="I472" s="21" t="s">
        <v>471</v>
      </c>
      <c r="J472" s="20"/>
      <c r="K472" s="3" t="s">
        <v>453</v>
      </c>
      <c r="L472" s="3"/>
      <c r="M472" s="8"/>
      <c r="N472" s="2"/>
      <c r="O472" s="36" t="s">
        <v>917</v>
      </c>
      <c r="P472" s="2"/>
      <c r="Q472" s="2" t="s">
        <v>453</v>
      </c>
      <c r="R472" s="2"/>
    </row>
    <row r="473" spans="1:18">
      <c r="A473" s="14"/>
      <c r="B473" s="9"/>
      <c r="C473" s="10" t="str">
        <f t="shared" si="79"/>
        <v>GUITAR</v>
      </c>
      <c r="D473" s="9"/>
      <c r="E473" s="9" t="str">
        <f t="shared" si="80"/>
        <v>DOLLY HWANG</v>
      </c>
      <c r="F473" s="9"/>
      <c r="G473" s="3"/>
      <c r="H473" s="21"/>
      <c r="I473" s="21" t="s">
        <v>460</v>
      </c>
      <c r="J473" s="20"/>
      <c r="K473" s="3" t="s">
        <v>453</v>
      </c>
      <c r="L473" s="3"/>
      <c r="M473" s="8"/>
      <c r="N473" s="2"/>
      <c r="O473" s="36" t="s">
        <v>909</v>
      </c>
      <c r="P473" s="2"/>
      <c r="Q473" s="2" t="s">
        <v>453</v>
      </c>
      <c r="R473" s="2"/>
    </row>
    <row r="474" spans="1:18">
      <c r="A474" s="14"/>
      <c r="B474" s="9"/>
      <c r="C474" s="10" t="str">
        <f t="shared" si="79"/>
        <v>BASS</v>
      </c>
      <c r="D474" s="9"/>
      <c r="E474" s="9" t="str">
        <f t="shared" si="80"/>
        <v>DOLLY HWANG</v>
      </c>
      <c r="F474" s="9"/>
      <c r="G474" s="3"/>
      <c r="H474" s="21"/>
      <c r="I474" s="21" t="s">
        <v>461</v>
      </c>
      <c r="J474" s="20"/>
      <c r="K474" s="3" t="s">
        <v>453</v>
      </c>
      <c r="L474" s="3"/>
      <c r="M474" s="8"/>
      <c r="N474" s="2"/>
      <c r="O474" s="36" t="s">
        <v>910</v>
      </c>
      <c r="P474" s="2"/>
      <c r="Q474" s="2" t="s">
        <v>453</v>
      </c>
      <c r="R474" s="2"/>
    </row>
    <row r="475" spans="1:18">
      <c r="A475" s="14"/>
      <c r="B475" s="9"/>
      <c r="C475" s="10" t="str">
        <f t="shared" si="79"/>
        <v>RECORDING STUDIO</v>
      </c>
      <c r="D475" s="9"/>
      <c r="E475" s="9" t="str">
        <f t="shared" si="80"/>
        <v>PURPLE MOON</v>
      </c>
      <c r="F475" s="9"/>
      <c r="G475" s="3"/>
      <c r="H475" s="21"/>
      <c r="I475" s="21" t="s">
        <v>465</v>
      </c>
      <c r="J475" s="20"/>
      <c r="K475" s="3" t="s">
        <v>472</v>
      </c>
      <c r="L475" s="3"/>
      <c r="M475" s="8"/>
      <c r="N475" s="2"/>
      <c r="O475" s="36" t="s">
        <v>882</v>
      </c>
      <c r="P475" s="2"/>
      <c r="Q475" s="2" t="s">
        <v>472</v>
      </c>
      <c r="R475" s="2"/>
    </row>
    <row r="476" spans="1:18">
      <c r="A476" s="14"/>
      <c r="B476" s="9"/>
      <c r="C476" s="10" t="str">
        <f t="shared" si="79"/>
        <v>RECORDING ENGINEER</v>
      </c>
      <c r="D476" s="9"/>
      <c r="E476" s="9" t="str">
        <f t="shared" si="80"/>
        <v>DOLLY HWANG</v>
      </c>
      <c r="F476" s="9"/>
      <c r="G476" s="3"/>
      <c r="H476" s="21"/>
      <c r="I476" s="21" t="s">
        <v>427</v>
      </c>
      <c r="J476" s="20"/>
      <c r="K476" s="3" t="s">
        <v>453</v>
      </c>
      <c r="L476" s="3"/>
      <c r="M476" s="8"/>
      <c r="N476" s="2"/>
      <c r="O476" s="36" t="s">
        <v>886</v>
      </c>
      <c r="P476" s="2"/>
      <c r="Q476" s="2" t="s">
        <v>453</v>
      </c>
      <c r="R476" s="2"/>
    </row>
    <row r="477" spans="1:18">
      <c r="A477" s="14"/>
      <c r="B477" s="9"/>
      <c r="C477" s="9" t="str">
        <f t="shared" si="79"/>
        <v/>
      </c>
      <c r="D477" s="9"/>
      <c r="E477" s="9" t="str">
        <f t="shared" si="80"/>
        <v/>
      </c>
      <c r="F477" s="9"/>
      <c r="G477" s="3"/>
      <c r="H477" s="21"/>
      <c r="I477" s="21"/>
      <c r="J477" s="20"/>
      <c r="K477" s="3"/>
      <c r="L477" s="3"/>
      <c r="M477" s="8"/>
      <c r="N477" s="2"/>
      <c r="O477" s="2"/>
      <c r="P477" s="2"/>
      <c r="Q477" s="2"/>
      <c r="R477" s="2"/>
    </row>
    <row r="478" spans="1:18">
      <c r="A478" s="14"/>
      <c r="B478" s="146" t="str">
        <f t="shared" ref="B478:B479" si="81">UPPER(H478)</f>
        <v>TEENAGE DREAMING</v>
      </c>
      <c r="C478" s="141"/>
      <c r="D478" s="141"/>
      <c r="E478" s="141"/>
      <c r="F478" s="141"/>
      <c r="G478" s="3"/>
      <c r="H478" s="164" t="s">
        <v>473</v>
      </c>
      <c r="I478" s="141"/>
      <c r="J478" s="141"/>
      <c r="K478" s="141"/>
      <c r="L478" s="141"/>
      <c r="M478" s="8"/>
      <c r="N478" s="161" t="s">
        <v>473</v>
      </c>
      <c r="O478" s="141"/>
      <c r="P478" s="141"/>
      <c r="Q478" s="141"/>
      <c r="R478" s="141"/>
    </row>
    <row r="479" spans="1:18">
      <c r="A479" s="14"/>
      <c r="B479" s="158" t="str">
        <f t="shared" si="81"/>
        <v>ENDING SONG</v>
      </c>
      <c r="C479" s="141"/>
      <c r="D479" s="141"/>
      <c r="E479" s="141"/>
      <c r="F479" s="141"/>
      <c r="G479" s="3"/>
      <c r="H479" s="156" t="s">
        <v>474</v>
      </c>
      <c r="I479" s="141"/>
      <c r="J479" s="141"/>
      <c r="K479" s="141"/>
      <c r="L479" s="141"/>
      <c r="M479" s="8"/>
      <c r="N479" s="162" t="s">
        <v>918</v>
      </c>
      <c r="O479" s="141"/>
      <c r="P479" s="141"/>
      <c r="Q479" s="141"/>
      <c r="R479" s="141"/>
    </row>
    <row r="480" spans="1:18">
      <c r="A480" s="14"/>
      <c r="B480" s="9"/>
      <c r="C480" s="10" t="str">
        <f t="shared" ref="C480:C487" si="82">UPPER(I480)</f>
        <v>COMPOSER &amp; ARRANGER</v>
      </c>
      <c r="D480" s="9"/>
      <c r="E480" s="9" t="str">
        <f t="shared" ref="E480:E487" si="83">UPPER(K480)</f>
        <v>DOLLY HWANG</v>
      </c>
      <c r="F480" s="9"/>
      <c r="G480" s="3"/>
      <c r="H480" s="53"/>
      <c r="I480" s="54" t="s">
        <v>469</v>
      </c>
      <c r="J480" s="53"/>
      <c r="K480" s="2" t="s">
        <v>453</v>
      </c>
      <c r="L480" s="55"/>
      <c r="M480" s="8"/>
      <c r="N480" s="2"/>
      <c r="O480" s="36" t="s">
        <v>915</v>
      </c>
      <c r="P480" s="2"/>
      <c r="Q480" s="2" t="s">
        <v>453</v>
      </c>
      <c r="R480" s="2"/>
    </row>
    <row r="481" spans="1:18">
      <c r="A481" s="14"/>
      <c r="B481" s="9"/>
      <c r="C481" s="10" t="str">
        <f t="shared" si="82"/>
        <v>LYRICS</v>
      </c>
      <c r="D481" s="9"/>
      <c r="E481" s="9" t="str">
        <f t="shared" si="83"/>
        <v>PAUL Y. KIM</v>
      </c>
      <c r="F481" s="9"/>
      <c r="G481" s="3"/>
      <c r="H481" s="53"/>
      <c r="I481" s="54" t="s">
        <v>470</v>
      </c>
      <c r="J481" s="53"/>
      <c r="K481" s="2" t="s">
        <v>475</v>
      </c>
      <c r="L481" s="55"/>
      <c r="M481" s="8"/>
      <c r="N481" s="2"/>
      <c r="O481" s="36" t="s">
        <v>916</v>
      </c>
      <c r="P481" s="2"/>
      <c r="Q481" s="2" t="s">
        <v>475</v>
      </c>
      <c r="R481" s="2"/>
    </row>
    <row r="482" spans="1:18">
      <c r="A482" s="14"/>
      <c r="B482" s="9"/>
      <c r="C482" s="10" t="str">
        <f t="shared" si="82"/>
        <v/>
      </c>
      <c r="D482" s="9"/>
      <c r="E482" s="9" t="str">
        <f t="shared" si="83"/>
        <v/>
      </c>
      <c r="F482" s="9"/>
      <c r="G482" s="3"/>
      <c r="H482" s="157"/>
      <c r="I482" s="141"/>
      <c r="J482" s="141"/>
      <c r="K482" s="141"/>
      <c r="L482" s="141"/>
      <c r="M482" s="8"/>
      <c r="N482" s="2"/>
      <c r="O482" s="2"/>
      <c r="P482" s="2"/>
      <c r="Q482" s="2"/>
      <c r="R482" s="2"/>
    </row>
    <row r="483" spans="1:18">
      <c r="A483" s="14"/>
      <c r="B483" s="9"/>
      <c r="C483" s="10" t="str">
        <f t="shared" si="82"/>
        <v>VOCAL</v>
      </c>
      <c r="D483" s="9"/>
      <c r="E483" s="9" t="str">
        <f t="shared" si="83"/>
        <v>DOLLY HWANG</v>
      </c>
      <c r="F483" s="9"/>
      <c r="G483" s="3"/>
      <c r="H483" s="53"/>
      <c r="I483" s="54" t="s">
        <v>471</v>
      </c>
      <c r="J483" s="53"/>
      <c r="K483" s="2" t="s">
        <v>453</v>
      </c>
      <c r="L483" s="55"/>
      <c r="M483" s="8"/>
      <c r="N483" s="2"/>
      <c r="O483" s="36" t="s">
        <v>917</v>
      </c>
      <c r="P483" s="2"/>
      <c r="Q483" s="2" t="s">
        <v>453</v>
      </c>
      <c r="R483" s="2"/>
    </row>
    <row r="484" spans="1:18">
      <c r="A484" s="14"/>
      <c r="B484" s="9"/>
      <c r="C484" s="10" t="str">
        <f t="shared" si="82"/>
        <v>GUITAR</v>
      </c>
      <c r="D484" s="9"/>
      <c r="E484" s="9" t="str">
        <f t="shared" si="83"/>
        <v>DOLLY HWANG</v>
      </c>
      <c r="F484" s="9"/>
      <c r="G484" s="3"/>
      <c r="H484" s="53"/>
      <c r="I484" s="54" t="s">
        <v>460</v>
      </c>
      <c r="J484" s="53"/>
      <c r="K484" s="2" t="s">
        <v>453</v>
      </c>
      <c r="L484" s="55"/>
      <c r="M484" s="8"/>
      <c r="N484" s="2"/>
      <c r="O484" s="36" t="s">
        <v>909</v>
      </c>
      <c r="P484" s="2"/>
      <c r="Q484" s="2" t="s">
        <v>453</v>
      </c>
      <c r="R484" s="2"/>
    </row>
    <row r="485" spans="1:18">
      <c r="A485" s="14"/>
      <c r="B485" s="9"/>
      <c r="C485" s="10" t="str">
        <f t="shared" si="82"/>
        <v>BASS</v>
      </c>
      <c r="D485" s="9"/>
      <c r="E485" s="9" t="str">
        <f t="shared" si="83"/>
        <v>DOLLY HWANG</v>
      </c>
      <c r="F485" s="9"/>
      <c r="G485" s="3"/>
      <c r="H485" s="53"/>
      <c r="I485" s="54" t="s">
        <v>461</v>
      </c>
      <c r="J485" s="53"/>
      <c r="K485" s="2" t="s">
        <v>453</v>
      </c>
      <c r="L485" s="55"/>
      <c r="M485" s="8"/>
      <c r="N485" s="2"/>
      <c r="O485" s="36" t="s">
        <v>910</v>
      </c>
      <c r="P485" s="2"/>
      <c r="Q485" s="2" t="s">
        <v>453</v>
      </c>
      <c r="R485" s="2"/>
    </row>
    <row r="486" spans="1:18">
      <c r="A486" s="14"/>
      <c r="B486" s="9"/>
      <c r="C486" s="10" t="str">
        <f t="shared" si="82"/>
        <v>RECORDING STUDIO</v>
      </c>
      <c r="D486" s="9"/>
      <c r="E486" s="9" t="str">
        <f t="shared" si="83"/>
        <v>PURPLE MOON</v>
      </c>
      <c r="F486" s="9"/>
      <c r="G486" s="3"/>
      <c r="H486" s="53"/>
      <c r="I486" s="54" t="s">
        <v>465</v>
      </c>
      <c r="J486" s="53"/>
      <c r="K486" s="2" t="s">
        <v>472</v>
      </c>
      <c r="L486" s="55"/>
      <c r="M486" s="8"/>
      <c r="N486" s="2"/>
      <c r="O486" s="36" t="s">
        <v>882</v>
      </c>
      <c r="P486" s="2"/>
      <c r="Q486" s="2" t="s">
        <v>472</v>
      </c>
      <c r="R486" s="2"/>
    </row>
    <row r="487" spans="1:18">
      <c r="A487" s="14"/>
      <c r="B487" s="9"/>
      <c r="C487" s="10" t="str">
        <f t="shared" si="82"/>
        <v>RECORDING ENGINEER</v>
      </c>
      <c r="D487" s="9"/>
      <c r="E487" s="9" t="str">
        <f t="shared" si="83"/>
        <v>DOLLY HWANG</v>
      </c>
      <c r="F487" s="9"/>
      <c r="G487" s="3"/>
      <c r="H487" s="53"/>
      <c r="I487" s="54" t="s">
        <v>427</v>
      </c>
      <c r="J487" s="53"/>
      <c r="K487" s="2" t="s">
        <v>453</v>
      </c>
      <c r="L487" s="55"/>
      <c r="M487" s="8"/>
      <c r="N487" s="2"/>
      <c r="O487" s="36" t="s">
        <v>886</v>
      </c>
      <c r="P487" s="2"/>
      <c r="Q487" s="2" t="s">
        <v>453</v>
      </c>
      <c r="R487" s="2"/>
    </row>
    <row r="488" spans="1:18">
      <c r="A488" s="14"/>
      <c r="B488" s="9"/>
      <c r="C488" s="10"/>
      <c r="D488" s="9"/>
      <c r="E488" s="9"/>
      <c r="F488" s="9"/>
      <c r="G488" s="3"/>
      <c r="H488" s="53"/>
      <c r="I488" s="54"/>
      <c r="J488" s="53"/>
      <c r="K488" s="2"/>
      <c r="L488" s="55"/>
      <c r="M488" s="8"/>
      <c r="N488" s="8"/>
      <c r="O488" s="21"/>
      <c r="P488" s="3"/>
      <c r="Q488" s="20"/>
      <c r="R488" s="3"/>
    </row>
    <row r="489" spans="1:18">
      <c r="A489" s="14"/>
      <c r="B489" s="11"/>
      <c r="C489" s="11"/>
      <c r="D489" s="11"/>
      <c r="E489" s="11"/>
      <c r="F489" s="11"/>
      <c r="G489" s="3"/>
      <c r="H489" s="20"/>
      <c r="I489" s="21"/>
      <c r="J489" s="20"/>
      <c r="K489" s="3"/>
      <c r="L489" s="3"/>
      <c r="M489" s="8"/>
      <c r="N489" s="8"/>
      <c r="O489" s="21"/>
      <c r="P489" s="3"/>
      <c r="Q489" s="3"/>
      <c r="R489" s="3"/>
    </row>
    <row r="490" spans="1:18">
      <c r="A490" s="14"/>
      <c r="B490" s="6"/>
      <c r="C490" s="6"/>
      <c r="D490" s="6"/>
      <c r="E490" s="6"/>
      <c r="F490" s="6"/>
      <c r="G490" s="3"/>
      <c r="H490" s="15"/>
      <c r="I490" s="15"/>
      <c r="J490" s="15"/>
      <c r="K490" s="5"/>
      <c r="L490" s="15"/>
      <c r="M490" s="8"/>
      <c r="N490" s="8"/>
      <c r="O490" s="21"/>
      <c r="P490" s="3"/>
      <c r="Q490" s="3"/>
      <c r="R490" s="3"/>
    </row>
    <row r="491" spans="1:18">
      <c r="A491" s="14"/>
      <c r="B491" s="150" t="str">
        <f t="shared" ref="B491:B492" si="84">UPPER(H491)</f>
        <v>POST PRODUCTION / ORIGINAL SCORES &amp; SONGS</v>
      </c>
      <c r="C491" s="141"/>
      <c r="D491" s="141"/>
      <c r="E491" s="141"/>
      <c r="F491" s="141"/>
      <c r="G491" s="28"/>
      <c r="H491" s="148" t="s">
        <v>435</v>
      </c>
      <c r="I491" s="141"/>
      <c r="J491" s="141"/>
      <c r="K491" s="141"/>
      <c r="L491" s="141"/>
      <c r="M491" s="29"/>
      <c r="N491" s="149" t="s">
        <v>888</v>
      </c>
      <c r="O491" s="141"/>
      <c r="P491" s="141"/>
      <c r="Q491" s="141"/>
      <c r="R491" s="141"/>
    </row>
    <row r="492" spans="1:18">
      <c r="A492" s="14"/>
      <c r="B492" s="146" t="str">
        <f t="shared" si="84"/>
        <v>MUSIC BY EPISODE</v>
      </c>
      <c r="C492" s="141"/>
      <c r="D492" s="141"/>
      <c r="E492" s="141"/>
      <c r="F492" s="141"/>
      <c r="G492" s="3"/>
      <c r="H492" s="147" t="s">
        <v>476</v>
      </c>
      <c r="I492" s="141"/>
      <c r="J492" s="141"/>
      <c r="K492" s="141"/>
      <c r="L492" s="141"/>
      <c r="M492" s="8"/>
      <c r="N492" s="149" t="s">
        <v>919</v>
      </c>
      <c r="O492" s="141"/>
      <c r="P492" s="141"/>
      <c r="Q492" s="141"/>
      <c r="R492" s="141"/>
    </row>
    <row r="493" spans="1:18">
      <c r="A493" s="14"/>
      <c r="B493" s="42"/>
      <c r="C493" s="10" t="str">
        <f t="shared" ref="C493:C504" si="85">UPPER(I493)</f>
        <v/>
      </c>
      <c r="D493" s="42"/>
      <c r="E493" s="57" t="str">
        <f t="shared" ref="E493:E504" si="86">UPPER(K493)</f>
        <v/>
      </c>
      <c r="F493" s="42"/>
      <c r="G493" s="3"/>
      <c r="H493" s="20"/>
      <c r="I493" s="49"/>
      <c r="J493" s="51"/>
      <c r="K493" s="22"/>
      <c r="L493" s="3"/>
      <c r="M493" s="8"/>
      <c r="N493" s="149"/>
      <c r="O493" s="141"/>
      <c r="P493" s="141"/>
      <c r="Q493" s="141"/>
      <c r="R493" s="141"/>
    </row>
    <row r="494" spans="1:18">
      <c r="A494" s="14"/>
      <c r="B494" s="42"/>
      <c r="C494" s="10" t="str">
        <f t="shared" si="85"/>
        <v>MUSIC SUPERVISOR</v>
      </c>
      <c r="D494" s="42"/>
      <c r="E494" s="57" t="str">
        <f t="shared" si="86"/>
        <v>YOONHO KIM</v>
      </c>
      <c r="F494" s="42"/>
      <c r="G494" s="3"/>
      <c r="H494" s="20"/>
      <c r="I494" s="49" t="s">
        <v>447</v>
      </c>
      <c r="J494" s="51"/>
      <c r="K494" s="22" t="s">
        <v>448</v>
      </c>
      <c r="L494" s="3"/>
      <c r="M494" s="8"/>
      <c r="N494" s="3"/>
      <c r="O494" s="8" t="s">
        <v>898</v>
      </c>
      <c r="P494" s="3"/>
      <c r="Q494" s="3" t="s">
        <v>899</v>
      </c>
      <c r="R494" s="3"/>
    </row>
    <row r="495" spans="1:18">
      <c r="A495" s="14"/>
      <c r="B495" s="42"/>
      <c r="C495" s="10" t="str">
        <f t="shared" si="85"/>
        <v/>
      </c>
      <c r="D495" s="42"/>
      <c r="E495" s="57" t="str">
        <f t="shared" si="86"/>
        <v/>
      </c>
      <c r="F495" s="42"/>
      <c r="G495" s="3"/>
      <c r="H495" s="20"/>
      <c r="I495" s="49"/>
      <c r="J495" s="50"/>
      <c r="K495" s="22"/>
      <c r="L495" s="3"/>
      <c r="M495" s="8"/>
      <c r="N495" s="3"/>
      <c r="O495" s="8"/>
      <c r="P495" s="3"/>
      <c r="Q495" s="3"/>
      <c r="R495" s="3"/>
    </row>
    <row r="496" spans="1:18">
      <c r="A496" s="14"/>
      <c r="B496" s="42"/>
      <c r="C496" s="10" t="str">
        <f t="shared" si="85"/>
        <v>LEAD COMPOSER</v>
      </c>
      <c r="D496" s="42"/>
      <c r="E496" s="57" t="str">
        <f t="shared" si="86"/>
        <v>YOONHO KIM</v>
      </c>
      <c r="F496" s="42"/>
      <c r="G496" s="3"/>
      <c r="H496" s="15"/>
      <c r="I496" s="49" t="s">
        <v>449</v>
      </c>
      <c r="J496" s="51"/>
      <c r="K496" s="22" t="s">
        <v>477</v>
      </c>
      <c r="L496" s="15"/>
      <c r="M496" s="8"/>
      <c r="N496" s="3"/>
      <c r="O496" s="8" t="s">
        <v>900</v>
      </c>
      <c r="P496" s="3"/>
      <c r="Q496" s="3" t="s">
        <v>899</v>
      </c>
      <c r="R496" s="3"/>
    </row>
    <row r="497" spans="1:18">
      <c r="A497" s="14"/>
      <c r="B497" s="42"/>
      <c r="C497" s="10" t="str">
        <f t="shared" si="85"/>
        <v/>
      </c>
      <c r="D497" s="42"/>
      <c r="E497" s="57" t="str">
        <f t="shared" si="86"/>
        <v/>
      </c>
      <c r="F497" s="42"/>
      <c r="G497" s="3"/>
      <c r="H497" s="20"/>
      <c r="I497" s="49"/>
      <c r="J497" s="46"/>
      <c r="K497" s="22"/>
      <c r="L497" s="3"/>
      <c r="M497" s="8"/>
      <c r="N497" s="3"/>
      <c r="O497" s="8"/>
      <c r="P497" s="3"/>
      <c r="Q497" s="3"/>
      <c r="R497" s="3"/>
    </row>
    <row r="498" spans="1:18">
      <c r="A498" s="14"/>
      <c r="B498" s="42"/>
      <c r="C498" s="10" t="str">
        <f t="shared" si="85"/>
        <v>ADDITIONAL COMPOSER</v>
      </c>
      <c r="D498" s="42"/>
      <c r="E498" s="57" t="str">
        <f t="shared" si="86"/>
        <v>BUMPIZ</v>
      </c>
      <c r="F498" s="42"/>
      <c r="G498" s="3"/>
      <c r="H498" s="20"/>
      <c r="I498" s="49" t="s">
        <v>451</v>
      </c>
      <c r="J498" s="51"/>
      <c r="K498" s="22" t="s">
        <v>456</v>
      </c>
      <c r="L498" s="3"/>
      <c r="M498" s="8"/>
      <c r="N498" s="3"/>
      <c r="O498" s="8" t="s">
        <v>902</v>
      </c>
      <c r="P498" s="3"/>
      <c r="Q498" s="3" t="s">
        <v>456</v>
      </c>
      <c r="R498" s="3"/>
    </row>
    <row r="499" spans="1:18">
      <c r="A499" s="14"/>
      <c r="B499" s="42"/>
      <c r="C499" s="10" t="str">
        <f t="shared" si="85"/>
        <v/>
      </c>
      <c r="D499" s="42"/>
      <c r="E499" s="57" t="str">
        <f t="shared" si="86"/>
        <v>DOLLY HWANG</v>
      </c>
      <c r="F499" s="42"/>
      <c r="G499" s="3"/>
      <c r="H499" s="20"/>
      <c r="I499" s="49"/>
      <c r="J499" s="51"/>
      <c r="K499" s="22" t="s">
        <v>453</v>
      </c>
      <c r="L499" s="3"/>
      <c r="M499" s="8"/>
      <c r="N499" s="3"/>
      <c r="O499" s="8"/>
      <c r="P499" s="3"/>
      <c r="Q499" s="20" t="s">
        <v>453</v>
      </c>
      <c r="R499" s="3"/>
    </row>
    <row r="500" spans="1:18">
      <c r="A500" s="14"/>
      <c r="B500" s="42"/>
      <c r="C500" s="10" t="str">
        <f t="shared" si="85"/>
        <v/>
      </c>
      <c r="D500" s="42"/>
      <c r="E500" s="57" t="str">
        <f t="shared" si="86"/>
        <v/>
      </c>
      <c r="F500" s="42"/>
      <c r="G500" s="3"/>
      <c r="H500" s="20"/>
      <c r="I500" s="52"/>
      <c r="J500" s="50"/>
      <c r="K500" s="14"/>
      <c r="L500" s="3"/>
      <c r="M500" s="8"/>
      <c r="N500" s="3"/>
      <c r="O500" s="8"/>
      <c r="P500" s="3"/>
      <c r="Q500" s="3"/>
      <c r="R500" s="3"/>
    </row>
    <row r="501" spans="1:18">
      <c r="A501" s="14"/>
      <c r="B501" s="42"/>
      <c r="C501" s="10" t="str">
        <f t="shared" si="85"/>
        <v>LEAD SOUND DESIGNER</v>
      </c>
      <c r="D501" s="42"/>
      <c r="E501" s="57" t="str">
        <f t="shared" si="86"/>
        <v>HYEJEONG HWANG</v>
      </c>
      <c r="F501" s="42"/>
      <c r="G501" s="3"/>
      <c r="H501" s="20"/>
      <c r="I501" s="49" t="s">
        <v>478</v>
      </c>
      <c r="J501" s="51"/>
      <c r="K501" s="22" t="s">
        <v>441</v>
      </c>
      <c r="L501" s="3"/>
      <c r="M501" s="8"/>
      <c r="N501" s="3"/>
      <c r="O501" s="8" t="s">
        <v>920</v>
      </c>
      <c r="P501" s="3"/>
      <c r="Q501" s="3" t="s">
        <v>885</v>
      </c>
      <c r="R501" s="3"/>
    </row>
    <row r="502" spans="1:18">
      <c r="A502" s="14"/>
      <c r="B502" s="42"/>
      <c r="C502" s="10" t="str">
        <f t="shared" si="85"/>
        <v/>
      </c>
      <c r="D502" s="42"/>
      <c r="E502" s="57" t="str">
        <f t="shared" si="86"/>
        <v/>
      </c>
      <c r="F502" s="42"/>
      <c r="G502" s="3"/>
      <c r="H502" s="20"/>
      <c r="I502" s="49"/>
      <c r="J502" s="51"/>
      <c r="K502" s="22"/>
      <c r="L502" s="3"/>
      <c r="M502" s="8"/>
      <c r="N502" s="3"/>
      <c r="O502" s="8"/>
      <c r="P502" s="3"/>
      <c r="Q502" s="3"/>
      <c r="R502" s="3"/>
    </row>
    <row r="503" spans="1:18">
      <c r="A503" s="14"/>
      <c r="B503" s="42"/>
      <c r="C503" s="10" t="str">
        <f t="shared" si="85"/>
        <v>FOLEY DESIGNER</v>
      </c>
      <c r="D503" s="42"/>
      <c r="E503" s="57" t="str">
        <f t="shared" si="86"/>
        <v>TAEHUN KIM</v>
      </c>
      <c r="F503" s="42"/>
      <c r="G503" s="3"/>
      <c r="H503" s="20"/>
      <c r="I503" s="49" t="s">
        <v>479</v>
      </c>
      <c r="J503" s="51"/>
      <c r="K503" s="22" t="s">
        <v>480</v>
      </c>
      <c r="L503" s="3"/>
      <c r="M503" s="8"/>
      <c r="N503" s="3"/>
      <c r="O503" s="8" t="s">
        <v>921</v>
      </c>
      <c r="P503" s="3"/>
      <c r="Q503" s="3" t="s">
        <v>922</v>
      </c>
      <c r="R503" s="3"/>
    </row>
    <row r="504" spans="1:18">
      <c r="A504" s="14"/>
      <c r="B504" s="42"/>
      <c r="C504" s="10" t="str">
        <f t="shared" si="85"/>
        <v/>
      </c>
      <c r="D504" s="42"/>
      <c r="E504" s="57" t="str">
        <f t="shared" si="86"/>
        <v/>
      </c>
      <c r="F504" s="42"/>
      <c r="G504" s="3"/>
      <c r="H504" s="20"/>
      <c r="I504" s="52"/>
      <c r="J504" s="50"/>
      <c r="K504" s="14"/>
      <c r="L504" s="3"/>
      <c r="M504" s="8"/>
      <c r="N504" s="3"/>
      <c r="O504" s="8"/>
      <c r="P504" s="3"/>
      <c r="Q504" s="3"/>
      <c r="R504" s="3"/>
    </row>
    <row r="505" spans="1:18">
      <c r="A505" s="14"/>
      <c r="B505" s="11"/>
      <c r="C505" s="11"/>
      <c r="D505" s="11"/>
      <c r="E505" s="11"/>
      <c r="F505" s="11"/>
      <c r="G505" s="3"/>
      <c r="H505" s="20"/>
      <c r="I505" s="21"/>
      <c r="J505" s="20"/>
      <c r="K505" s="3"/>
      <c r="L505" s="3"/>
      <c r="M505" s="8"/>
      <c r="N505" s="3"/>
      <c r="O505" s="3"/>
      <c r="P505" s="3"/>
      <c r="Q505" s="3"/>
      <c r="R505" s="3"/>
    </row>
    <row r="506" spans="1:18">
      <c r="A506" s="14"/>
      <c r="B506" s="58"/>
      <c r="C506" s="58"/>
      <c r="D506" s="58"/>
      <c r="E506" s="58"/>
      <c r="F506" s="58"/>
      <c r="G506" s="3"/>
      <c r="H506" s="15"/>
      <c r="I506" s="15"/>
      <c r="J506" s="15"/>
      <c r="K506" s="5"/>
      <c r="L506" s="15"/>
      <c r="M506" s="8"/>
      <c r="N506" s="3"/>
      <c r="O506" s="8"/>
      <c r="P506" s="3"/>
      <c r="Q506" s="3"/>
      <c r="R506" s="3"/>
    </row>
    <row r="507" spans="1:18">
      <c r="A507" s="14"/>
      <c r="B507" s="153" t="str">
        <f>UPPER(H507)</f>
        <v>MASTERING</v>
      </c>
      <c r="C507" s="141"/>
      <c r="D507" s="141"/>
      <c r="E507" s="141"/>
      <c r="F507" s="141"/>
      <c r="G507" s="28"/>
      <c r="H507" s="148" t="s">
        <v>481</v>
      </c>
      <c r="I507" s="141"/>
      <c r="J507" s="141"/>
      <c r="K507" s="141"/>
      <c r="L507" s="141"/>
      <c r="M507" s="29"/>
      <c r="N507" s="149" t="s">
        <v>923</v>
      </c>
      <c r="O507" s="141"/>
      <c r="P507" s="141"/>
      <c r="Q507" s="141"/>
      <c r="R507" s="141"/>
    </row>
    <row r="508" spans="1:18">
      <c r="A508" s="14"/>
      <c r="B508" s="42"/>
      <c r="C508" s="10"/>
      <c r="D508" s="42"/>
      <c r="E508" s="57"/>
      <c r="F508" s="59"/>
      <c r="G508" s="3"/>
      <c r="H508" s="20"/>
      <c r="I508" s="21"/>
      <c r="J508" s="20"/>
      <c r="K508" s="3"/>
      <c r="L508" s="3"/>
      <c r="M508" s="8"/>
      <c r="N508" s="3"/>
      <c r="O508" s="8"/>
      <c r="P508" s="3"/>
      <c r="Q508" s="3"/>
      <c r="R508" s="3"/>
    </row>
    <row r="509" spans="1:18">
      <c r="A509" s="14"/>
      <c r="B509" s="42" t="str">
        <f t="shared" ref="B509:C509" si="87">UPPER(H509)</f>
        <v/>
      </c>
      <c r="C509" s="10" t="str">
        <f t="shared" si="87"/>
        <v>STUDIO</v>
      </c>
      <c r="D509" s="42"/>
      <c r="E509" s="57" t="str">
        <f>UPPER(K509)</f>
        <v>SBA</v>
      </c>
      <c r="F509" s="59"/>
      <c r="G509" s="3"/>
      <c r="H509" s="20"/>
      <c r="I509" s="21" t="s">
        <v>482</v>
      </c>
      <c r="J509" s="20"/>
      <c r="K509" s="3" t="s">
        <v>483</v>
      </c>
      <c r="L509" s="3"/>
      <c r="M509" s="8"/>
      <c r="N509" s="3"/>
      <c r="O509" s="8" t="s">
        <v>924</v>
      </c>
      <c r="P509" s="3"/>
      <c r="Q509" s="3" t="s">
        <v>483</v>
      </c>
      <c r="R509" s="3"/>
    </row>
    <row r="510" spans="1:18">
      <c r="A510" s="14"/>
      <c r="B510" s="42"/>
      <c r="C510" s="10"/>
      <c r="D510" s="42"/>
      <c r="E510" s="57"/>
      <c r="F510" s="59"/>
      <c r="G510" s="3"/>
      <c r="H510" s="20"/>
      <c r="I510" s="21"/>
      <c r="J510" s="20"/>
      <c r="K510" s="3"/>
      <c r="L510" s="3"/>
      <c r="M510" s="8"/>
      <c r="N510" s="3"/>
      <c r="O510" s="3"/>
      <c r="P510" s="3"/>
      <c r="Q510" s="3"/>
      <c r="R510" s="3"/>
    </row>
    <row r="511" spans="1:18">
      <c r="A511" s="14"/>
      <c r="B511" s="42"/>
      <c r="C511" s="10" t="str">
        <f>UPPER(I511)</f>
        <v>STUDIO DEPT. DIRECTOR</v>
      </c>
      <c r="D511" s="42"/>
      <c r="E511" s="57" t="str">
        <f>UPPER(K511)</f>
        <v>JONGMIN HAHM</v>
      </c>
      <c r="F511" s="59"/>
      <c r="G511" s="3"/>
      <c r="H511" s="20"/>
      <c r="I511" s="21" t="s">
        <v>484</v>
      </c>
      <c r="J511" s="20"/>
      <c r="K511" s="3" t="s">
        <v>485</v>
      </c>
      <c r="L511" s="3"/>
      <c r="M511" s="8"/>
      <c r="N511" s="3"/>
      <c r="O511" s="8" t="s">
        <v>925</v>
      </c>
      <c r="P511" s="3"/>
      <c r="Q511" s="3" t="s">
        <v>926</v>
      </c>
      <c r="R511" s="3"/>
    </row>
    <row r="512" spans="1:18">
      <c r="A512" s="14"/>
      <c r="B512" s="42"/>
      <c r="C512" s="10"/>
      <c r="D512" s="42"/>
      <c r="E512" s="57"/>
      <c r="F512" s="59"/>
      <c r="G512" s="3"/>
      <c r="H512" s="20"/>
      <c r="I512" s="21"/>
      <c r="J512" s="20"/>
      <c r="K512" s="3"/>
      <c r="L512" s="3"/>
      <c r="M512" s="8"/>
      <c r="N512" s="3"/>
      <c r="O512" s="3"/>
      <c r="P512" s="3"/>
      <c r="Q512" s="3"/>
      <c r="R512" s="3"/>
    </row>
    <row r="513" spans="1:18">
      <c r="A513" s="14"/>
      <c r="B513" s="42" t="str">
        <f t="shared" ref="B513:C513" si="88">UPPER(H513)</f>
        <v/>
      </c>
      <c r="C513" s="10" t="str">
        <f t="shared" si="88"/>
        <v>STUDIO MANAGER</v>
      </c>
      <c r="D513" s="42"/>
      <c r="E513" s="57" t="str">
        <f t="shared" ref="E513:E514" si="89">UPPER(K513)</f>
        <v>MYUNGHOON LEE</v>
      </c>
      <c r="F513" s="59"/>
      <c r="G513" s="3"/>
      <c r="H513" s="20"/>
      <c r="I513" s="21" t="s">
        <v>486</v>
      </c>
      <c r="J513" s="20"/>
      <c r="K513" s="3" t="s">
        <v>487</v>
      </c>
      <c r="L513" s="3"/>
      <c r="M513" s="8"/>
      <c r="N513" s="3"/>
      <c r="O513" s="8" t="s">
        <v>927</v>
      </c>
      <c r="P513" s="3"/>
      <c r="Q513" s="3" t="s">
        <v>928</v>
      </c>
      <c r="R513" s="3"/>
    </row>
    <row r="514" spans="1:18">
      <c r="A514" s="14"/>
      <c r="B514" s="42" t="str">
        <f t="shared" ref="B514:C514" si="90">UPPER(H514)</f>
        <v/>
      </c>
      <c r="C514" s="10" t="str">
        <f t="shared" si="90"/>
        <v/>
      </c>
      <c r="D514" s="42"/>
      <c r="E514" s="57" t="str">
        <f t="shared" si="89"/>
        <v>HAESU JEON</v>
      </c>
      <c r="F514" s="59"/>
      <c r="G514" s="3"/>
      <c r="H514" s="20"/>
      <c r="I514" s="21"/>
      <c r="J514" s="20"/>
      <c r="K514" s="3" t="s">
        <v>488</v>
      </c>
      <c r="L514" s="3"/>
      <c r="M514" s="8"/>
      <c r="N514" s="8"/>
      <c r="O514" s="3"/>
      <c r="P514" s="3"/>
      <c r="Q514" s="3" t="s">
        <v>929</v>
      </c>
      <c r="R514" s="3"/>
    </row>
    <row r="515" spans="1:18">
      <c r="A515" s="14"/>
      <c r="B515" s="42"/>
      <c r="C515" s="10"/>
      <c r="D515" s="42"/>
      <c r="E515" s="57"/>
      <c r="F515" s="59"/>
      <c r="G515" s="3"/>
      <c r="H515" s="20"/>
      <c r="I515" s="21"/>
      <c r="J515" s="20"/>
      <c r="K515" s="3"/>
      <c r="L515" s="3"/>
      <c r="M515" s="8"/>
      <c r="N515" s="8"/>
      <c r="O515" s="21"/>
      <c r="P515" s="3"/>
      <c r="Q515" s="3"/>
      <c r="R515" s="3"/>
    </row>
    <row r="516" spans="1:18">
      <c r="A516" s="14"/>
      <c r="B516" s="11"/>
      <c r="C516" s="12" t="str">
        <f>UPPER(I516)</f>
        <v/>
      </c>
      <c r="D516" s="11"/>
      <c r="E516" s="11" t="str">
        <f>UPPER(K516)</f>
        <v/>
      </c>
      <c r="F516" s="11"/>
      <c r="G516" s="3"/>
      <c r="H516" s="20"/>
      <c r="I516" s="21"/>
      <c r="J516" s="20"/>
      <c r="K516" s="13"/>
      <c r="L516" s="3"/>
      <c r="M516" s="8"/>
      <c r="N516" s="8"/>
      <c r="O516" s="21"/>
      <c r="P516" s="3"/>
      <c r="Q516" s="3"/>
      <c r="R516" s="3"/>
    </row>
    <row r="517" spans="1:18">
      <c r="A517" s="14"/>
      <c r="B517" s="58"/>
      <c r="C517" s="58"/>
      <c r="D517" s="58"/>
      <c r="E517" s="58"/>
      <c r="F517" s="58"/>
      <c r="G517" s="3"/>
      <c r="H517" s="15"/>
      <c r="I517" s="15"/>
      <c r="J517" s="15"/>
      <c r="K517" s="5"/>
      <c r="L517" s="15"/>
      <c r="M517" s="8"/>
      <c r="N517" s="8"/>
      <c r="O517" s="21"/>
      <c r="P517" s="3"/>
      <c r="Q517" s="3"/>
      <c r="R517" s="3"/>
    </row>
    <row r="518" spans="1:18">
      <c r="A518" s="14"/>
      <c r="B518" s="153" t="str">
        <f t="shared" ref="B518:B520" si="91">UPPER(H518)</f>
        <v>MASTERING</v>
      </c>
      <c r="C518" s="141"/>
      <c r="D518" s="141"/>
      <c r="E518" s="141"/>
      <c r="F518" s="141"/>
      <c r="G518" s="28"/>
      <c r="H518" s="148" t="s">
        <v>481</v>
      </c>
      <c r="I518" s="141"/>
      <c r="J518" s="141"/>
      <c r="K518" s="141"/>
      <c r="L518" s="141"/>
      <c r="M518" s="8"/>
      <c r="N518" s="149" t="s">
        <v>923</v>
      </c>
      <c r="O518" s="141"/>
      <c r="P518" s="141"/>
      <c r="Q518" s="141"/>
      <c r="R518" s="141"/>
    </row>
    <row r="519" spans="1:18">
      <c r="A519" s="14"/>
      <c r="B519" s="146" t="str">
        <f t="shared" si="91"/>
        <v>IYUNO</v>
      </c>
      <c r="C519" s="141"/>
      <c r="D519" s="141"/>
      <c r="E519" s="141"/>
      <c r="F519" s="141"/>
      <c r="G519" s="3"/>
      <c r="H519" s="154" t="s">
        <v>489</v>
      </c>
      <c r="I519" s="141"/>
      <c r="J519" s="141"/>
      <c r="K519" s="141"/>
      <c r="L519" s="141"/>
      <c r="M519" s="8"/>
      <c r="N519" s="155" t="s">
        <v>489</v>
      </c>
      <c r="O519" s="141"/>
      <c r="P519" s="141"/>
      <c r="Q519" s="141"/>
      <c r="R519" s="141"/>
    </row>
    <row r="520" spans="1:18">
      <c r="A520" s="14"/>
      <c r="B520" s="42" t="str">
        <f t="shared" si="91"/>
        <v/>
      </c>
      <c r="C520" s="10" t="str">
        <f t="shared" ref="C520:C523" si="92">UPPER(I520)</f>
        <v/>
      </c>
      <c r="D520" s="42"/>
      <c r="E520" s="57" t="str">
        <f t="shared" ref="E520:E529" si="93">UPPER(K520)</f>
        <v/>
      </c>
      <c r="F520" s="59"/>
      <c r="G520" s="3"/>
      <c r="H520" s="20"/>
      <c r="I520" s="21"/>
      <c r="J520" s="20"/>
      <c r="K520" s="3"/>
      <c r="L520" s="3"/>
      <c r="M520" s="8"/>
      <c r="N520" s="8"/>
      <c r="O520" s="21"/>
      <c r="P520" s="3"/>
      <c r="Q520" s="3"/>
      <c r="R520" s="3"/>
    </row>
    <row r="521" spans="1:18">
      <c r="A521" s="14"/>
      <c r="B521" s="42"/>
      <c r="C521" s="10" t="str">
        <f t="shared" si="92"/>
        <v>MEDIA OPERATIONS SUPERVISOR</v>
      </c>
      <c r="D521" s="42"/>
      <c r="E521" s="57" t="str">
        <f t="shared" si="93"/>
        <v>JINWOO YANG</v>
      </c>
      <c r="F521" s="59"/>
      <c r="G521" s="3"/>
      <c r="H521" s="20"/>
      <c r="I521" s="21" t="s">
        <v>490</v>
      </c>
      <c r="J521" s="20"/>
      <c r="K521" s="3" t="s">
        <v>491</v>
      </c>
      <c r="L521" s="3"/>
      <c r="M521" s="8"/>
      <c r="N521" s="8"/>
      <c r="O521" s="21" t="s">
        <v>930</v>
      </c>
      <c r="P521" s="3"/>
      <c r="Q521" s="3" t="s">
        <v>931</v>
      </c>
      <c r="R521" s="3"/>
    </row>
    <row r="522" spans="1:18">
      <c r="A522" s="14"/>
      <c r="B522" s="42"/>
      <c r="C522" s="10" t="str">
        <f t="shared" si="92"/>
        <v/>
      </c>
      <c r="D522" s="42"/>
      <c r="E522" s="57" t="str">
        <f t="shared" si="93"/>
        <v/>
      </c>
      <c r="F522" s="59"/>
      <c r="G522" s="3"/>
      <c r="H522" s="20"/>
      <c r="I522" s="21"/>
      <c r="J522" s="20"/>
      <c r="K522" s="3"/>
      <c r="L522" s="3"/>
      <c r="M522" s="8"/>
      <c r="N522" s="8"/>
      <c r="O522" s="21"/>
      <c r="P522" s="3"/>
      <c r="Q522" s="3"/>
      <c r="R522" s="3"/>
    </row>
    <row r="523" spans="1:18">
      <c r="A523" s="14"/>
      <c r="B523" s="42"/>
      <c r="C523" s="10" t="str">
        <f t="shared" si="92"/>
        <v>PROJECT MANAGER</v>
      </c>
      <c r="D523" s="42"/>
      <c r="E523" s="57" t="str">
        <f t="shared" si="93"/>
        <v>WONJEONG SONG</v>
      </c>
      <c r="F523" s="59"/>
      <c r="G523" s="3"/>
      <c r="H523" s="20"/>
      <c r="I523" s="21" t="s">
        <v>492</v>
      </c>
      <c r="J523" s="20"/>
      <c r="K523" s="3" t="s">
        <v>493</v>
      </c>
      <c r="L523" s="3"/>
      <c r="M523" s="8"/>
      <c r="N523" s="8"/>
      <c r="O523" s="21" t="s">
        <v>932</v>
      </c>
      <c r="P523" s="3"/>
      <c r="Q523" s="3" t="s">
        <v>933</v>
      </c>
      <c r="R523" s="3"/>
    </row>
    <row r="524" spans="1:18">
      <c r="A524" s="14"/>
      <c r="B524" s="42" t="str">
        <f t="shared" ref="B524:C524" si="94">UPPER(H524)</f>
        <v/>
      </c>
      <c r="C524" s="10" t="str">
        <f t="shared" si="94"/>
        <v/>
      </c>
      <c r="D524" s="42"/>
      <c r="E524" s="57" t="str">
        <f t="shared" si="93"/>
        <v/>
      </c>
      <c r="F524" s="59"/>
      <c r="G524" s="3"/>
      <c r="H524" s="20"/>
      <c r="I524" s="21"/>
      <c r="J524" s="20"/>
      <c r="K524" s="3"/>
      <c r="L524" s="3"/>
      <c r="M524" s="8"/>
      <c r="N524" s="8"/>
      <c r="O524" s="21"/>
      <c r="P524" s="3"/>
      <c r="Q524" s="3"/>
      <c r="R524" s="3"/>
    </row>
    <row r="525" spans="1:18">
      <c r="A525" s="14"/>
      <c r="B525" s="42" t="str">
        <f t="shared" ref="B525:C525" si="95">UPPER(H525)</f>
        <v/>
      </c>
      <c r="C525" s="10" t="str">
        <f t="shared" si="95"/>
        <v>VIDEO EDITOR</v>
      </c>
      <c r="D525" s="42"/>
      <c r="E525" s="57" t="str">
        <f t="shared" si="93"/>
        <v>SANGYOUNG CHO</v>
      </c>
      <c r="F525" s="59"/>
      <c r="G525" s="3"/>
      <c r="H525" s="20"/>
      <c r="I525" s="21" t="s">
        <v>494</v>
      </c>
      <c r="J525" s="20"/>
      <c r="K525" s="3" t="s">
        <v>495</v>
      </c>
      <c r="L525" s="3"/>
      <c r="M525" s="8"/>
      <c r="N525" s="8"/>
      <c r="O525" s="21" t="s">
        <v>934</v>
      </c>
      <c r="P525" s="3"/>
      <c r="Q525" s="3" t="s">
        <v>935</v>
      </c>
      <c r="R525" s="3"/>
    </row>
    <row r="526" spans="1:18">
      <c r="A526" s="14"/>
      <c r="B526" s="42"/>
      <c r="C526" s="10" t="str">
        <f t="shared" ref="C526:C529" si="96">UPPER(I526)</f>
        <v/>
      </c>
      <c r="D526" s="42"/>
      <c r="E526" s="57" t="str">
        <f t="shared" si="93"/>
        <v>JINAH JEONG</v>
      </c>
      <c r="F526" s="59"/>
      <c r="G526" s="3"/>
      <c r="H526" s="20"/>
      <c r="I526" s="21"/>
      <c r="J526" s="20"/>
      <c r="K526" s="3" t="s">
        <v>496</v>
      </c>
      <c r="L526" s="3"/>
      <c r="M526" s="8"/>
      <c r="N526" s="8"/>
      <c r="O526" s="21"/>
      <c r="P526" s="3"/>
      <c r="Q526" s="3" t="s">
        <v>936</v>
      </c>
      <c r="R526" s="3"/>
    </row>
    <row r="527" spans="1:18">
      <c r="A527" s="14"/>
      <c r="B527" s="42"/>
      <c r="C527" s="10" t="str">
        <f t="shared" si="96"/>
        <v/>
      </c>
      <c r="D527" s="42"/>
      <c r="E527" s="57" t="str">
        <f t="shared" si="93"/>
        <v>SONGI YOON</v>
      </c>
      <c r="F527" s="59"/>
      <c r="G527" s="3"/>
      <c r="H527" s="20"/>
      <c r="I527" s="21"/>
      <c r="J527" s="20"/>
      <c r="K527" s="3" t="s">
        <v>497</v>
      </c>
      <c r="L527" s="3"/>
      <c r="M527" s="8"/>
      <c r="N527" s="8"/>
      <c r="O527" s="21"/>
      <c r="P527" s="3"/>
      <c r="Q527" s="3" t="s">
        <v>937</v>
      </c>
      <c r="R527" s="3"/>
    </row>
    <row r="528" spans="1:18">
      <c r="A528" s="14"/>
      <c r="B528" s="42"/>
      <c r="C528" s="10" t="str">
        <f t="shared" si="96"/>
        <v/>
      </c>
      <c r="D528" s="42"/>
      <c r="E528" s="57" t="str">
        <f t="shared" si="93"/>
        <v/>
      </c>
      <c r="F528" s="59"/>
      <c r="G528" s="3"/>
      <c r="H528" s="20"/>
      <c r="I528" s="21"/>
      <c r="J528" s="20"/>
      <c r="K528" s="3"/>
      <c r="L528" s="3"/>
      <c r="M528" s="8"/>
      <c r="N528" s="8"/>
      <c r="O528" s="21"/>
      <c r="P528" s="3"/>
      <c r="Q528" s="3"/>
      <c r="R528" s="3"/>
    </row>
    <row r="529" spans="1:18">
      <c r="A529" s="14"/>
      <c r="B529" s="42"/>
      <c r="C529" s="10" t="str">
        <f t="shared" si="96"/>
        <v>ASSET MANAGER</v>
      </c>
      <c r="D529" s="42"/>
      <c r="E529" s="57" t="str">
        <f t="shared" si="93"/>
        <v>SANGMIN PARK</v>
      </c>
      <c r="F529" s="59"/>
      <c r="G529" s="3"/>
      <c r="H529" s="20"/>
      <c r="I529" s="21" t="s">
        <v>498</v>
      </c>
      <c r="J529" s="20"/>
      <c r="K529" s="3" t="s">
        <v>499</v>
      </c>
      <c r="L529" s="3"/>
      <c r="M529" s="8"/>
      <c r="N529" s="8"/>
      <c r="O529" s="21" t="s">
        <v>938</v>
      </c>
      <c r="P529" s="3"/>
      <c r="Q529" s="3" t="s">
        <v>939</v>
      </c>
      <c r="R529" s="3"/>
    </row>
    <row r="530" spans="1:18">
      <c r="A530" s="14"/>
      <c r="B530" s="42"/>
      <c r="C530" s="10"/>
      <c r="D530" s="42"/>
      <c r="E530" s="57"/>
      <c r="F530" s="59"/>
      <c r="G530" s="3"/>
      <c r="H530" s="20"/>
      <c r="I530" s="21"/>
      <c r="J530" s="20"/>
      <c r="K530" s="3"/>
      <c r="L530" s="3"/>
      <c r="M530" s="8"/>
      <c r="N530" s="8"/>
      <c r="O530" s="21"/>
      <c r="P530" s="3"/>
      <c r="Q530" s="3"/>
      <c r="R530" s="3"/>
    </row>
    <row r="531" spans="1:18">
      <c r="A531" s="14"/>
      <c r="B531" s="11"/>
      <c r="C531" s="12"/>
      <c r="D531" s="11"/>
      <c r="E531" s="11"/>
      <c r="F531" s="11"/>
      <c r="G531" s="3"/>
      <c r="H531" s="20"/>
      <c r="I531" s="21"/>
      <c r="J531" s="20"/>
      <c r="K531" s="13"/>
      <c r="L531" s="3"/>
      <c r="M531" s="8"/>
      <c r="N531" s="8"/>
      <c r="O531" s="21"/>
      <c r="P531" s="3"/>
      <c r="Q531" s="3"/>
      <c r="R531" s="3"/>
    </row>
    <row r="532" spans="1:18">
      <c r="A532" s="14"/>
      <c r="B532" s="6"/>
      <c r="C532" s="6"/>
      <c r="D532" s="6"/>
      <c r="E532" s="6"/>
      <c r="F532" s="6"/>
      <c r="G532" s="3"/>
      <c r="H532" s="15"/>
      <c r="I532" s="15"/>
      <c r="J532" s="15"/>
      <c r="K532" s="5"/>
      <c r="L532" s="15"/>
      <c r="M532" s="8"/>
      <c r="N532" s="8"/>
      <c r="O532" s="21"/>
      <c r="P532" s="3"/>
      <c r="Q532" s="3"/>
      <c r="R532" s="3"/>
    </row>
    <row r="533" spans="1:18">
      <c r="A533" s="14"/>
      <c r="B533" s="150" t="str">
        <f>UPPER(H533)</f>
        <v>TENCENT VIDEO</v>
      </c>
      <c r="C533" s="141"/>
      <c r="D533" s="141"/>
      <c r="E533" s="141"/>
      <c r="F533" s="141"/>
      <c r="G533" s="28"/>
      <c r="H533" s="148" t="s">
        <v>500</v>
      </c>
      <c r="I533" s="141"/>
      <c r="J533" s="141"/>
      <c r="K533" s="141"/>
      <c r="L533" s="141"/>
      <c r="M533" s="29"/>
      <c r="N533" s="149" t="s">
        <v>500</v>
      </c>
      <c r="O533" s="141"/>
      <c r="P533" s="141"/>
      <c r="Q533" s="141"/>
      <c r="R533" s="141"/>
    </row>
    <row r="534" spans="1:18">
      <c r="A534" s="14"/>
      <c r="B534" s="9"/>
      <c r="C534" s="10" t="str">
        <f t="shared" ref="C534:C554" si="97">UPPER(I534)</f>
        <v>BUSINESS DIRECTOR</v>
      </c>
      <c r="D534" s="9"/>
      <c r="E534" s="9" t="str">
        <f t="shared" ref="E534:E556" si="98">UPPER(K534)</f>
        <v>VERN WANG</v>
      </c>
      <c r="F534" s="9"/>
      <c r="G534" s="3"/>
      <c r="H534" s="20"/>
      <c r="I534" s="21" t="s">
        <v>501</v>
      </c>
      <c r="J534" s="20"/>
      <c r="K534" s="2" t="s">
        <v>502</v>
      </c>
      <c r="L534" s="3"/>
      <c r="M534" s="8"/>
      <c r="N534" s="8"/>
      <c r="O534" s="21" t="s">
        <v>501</v>
      </c>
      <c r="P534" s="20"/>
      <c r="Q534" s="2" t="s">
        <v>502</v>
      </c>
      <c r="R534" s="3"/>
    </row>
    <row r="535" spans="1:18">
      <c r="A535" s="14"/>
      <c r="B535" s="9"/>
      <c r="C535" s="10" t="str">
        <f t="shared" si="97"/>
        <v/>
      </c>
      <c r="D535" s="9"/>
      <c r="E535" s="9" t="str">
        <f t="shared" si="98"/>
        <v>ANN WANG</v>
      </c>
      <c r="F535" s="9"/>
      <c r="G535" s="3"/>
      <c r="H535" s="20"/>
      <c r="I535" s="21"/>
      <c r="J535" s="20"/>
      <c r="K535" s="2" t="s">
        <v>503</v>
      </c>
      <c r="L535" s="7"/>
      <c r="M535" s="7"/>
      <c r="N535" s="7"/>
      <c r="O535" s="21"/>
      <c r="P535" s="20"/>
      <c r="Q535" s="2" t="s">
        <v>503</v>
      </c>
      <c r="R535" s="3"/>
    </row>
    <row r="536" spans="1:18">
      <c r="A536" s="14"/>
      <c r="B536" s="9"/>
      <c r="C536" s="10" t="str">
        <f t="shared" si="97"/>
        <v>PRODUCER</v>
      </c>
      <c r="D536" s="9"/>
      <c r="E536" s="9" t="str">
        <f t="shared" si="98"/>
        <v>LEEGER LIU</v>
      </c>
      <c r="F536" s="9"/>
      <c r="G536" s="3"/>
      <c r="H536" s="20"/>
      <c r="I536" s="36" t="s">
        <v>504</v>
      </c>
      <c r="J536" s="20"/>
      <c r="K536" s="2" t="s">
        <v>505</v>
      </c>
      <c r="L536" s="7"/>
      <c r="M536" s="7"/>
      <c r="N536" s="7"/>
      <c r="O536" s="36" t="s">
        <v>504</v>
      </c>
      <c r="P536" s="20"/>
      <c r="Q536" s="2" t="s">
        <v>505</v>
      </c>
      <c r="R536" s="3"/>
    </row>
    <row r="537" spans="1:18">
      <c r="A537" s="14"/>
      <c r="B537" s="9"/>
      <c r="C537" s="10" t="str">
        <f t="shared" si="97"/>
        <v/>
      </c>
      <c r="D537" s="9"/>
      <c r="E537" s="9" t="str">
        <f t="shared" si="98"/>
        <v>ANGEL GENG</v>
      </c>
      <c r="F537" s="9"/>
      <c r="G537" s="3"/>
      <c r="H537" s="20"/>
      <c r="I537" s="21"/>
      <c r="J537" s="20"/>
      <c r="K537" s="2" t="s">
        <v>506</v>
      </c>
      <c r="L537" s="7"/>
      <c r="M537" s="7"/>
      <c r="N537" s="7"/>
      <c r="O537" s="21"/>
      <c r="P537" s="20"/>
      <c r="Q537" s="2" t="s">
        <v>506</v>
      </c>
      <c r="R537" s="3"/>
    </row>
    <row r="538" spans="1:18">
      <c r="A538" s="14"/>
      <c r="B538" s="9"/>
      <c r="C538" s="10" t="str">
        <f t="shared" si="97"/>
        <v/>
      </c>
      <c r="D538" s="9"/>
      <c r="E538" s="9" t="str">
        <f t="shared" si="98"/>
        <v>LILLIANS LI</v>
      </c>
      <c r="F538" s="9"/>
      <c r="G538" s="3"/>
      <c r="H538" s="20"/>
      <c r="I538" s="21"/>
      <c r="J538" s="20"/>
      <c r="K538" s="2" t="s">
        <v>507</v>
      </c>
      <c r="L538" s="60"/>
      <c r="M538" s="60"/>
      <c r="N538" s="60"/>
      <c r="O538" s="21"/>
      <c r="P538" s="20"/>
      <c r="Q538" s="2" t="s">
        <v>507</v>
      </c>
      <c r="R538" s="3"/>
    </row>
    <row r="539" spans="1:18">
      <c r="A539" s="14"/>
      <c r="B539" s="9"/>
      <c r="C539" s="10" t="str">
        <f t="shared" si="97"/>
        <v>PROGRAMMING EDITOR</v>
      </c>
      <c r="D539" s="9"/>
      <c r="E539" s="9" t="str">
        <f t="shared" si="98"/>
        <v>XINCI CHANG</v>
      </c>
      <c r="F539" s="9"/>
      <c r="G539" s="3"/>
      <c r="H539" s="20"/>
      <c r="I539" s="36" t="s">
        <v>508</v>
      </c>
      <c r="J539" s="20"/>
      <c r="K539" s="2" t="s">
        <v>509</v>
      </c>
      <c r="L539" s="7"/>
      <c r="M539" s="7"/>
      <c r="N539" s="7"/>
      <c r="O539" s="36" t="s">
        <v>508</v>
      </c>
      <c r="P539" s="20"/>
      <c r="Q539" s="2" t="s">
        <v>509</v>
      </c>
      <c r="R539" s="3"/>
    </row>
    <row r="540" spans="1:18">
      <c r="A540" s="14"/>
      <c r="B540" s="9"/>
      <c r="C540" s="10" t="str">
        <f t="shared" si="97"/>
        <v/>
      </c>
      <c r="D540" s="9"/>
      <c r="E540" s="9" t="str">
        <f t="shared" si="98"/>
        <v>NAIYUE HU</v>
      </c>
      <c r="F540" s="9"/>
      <c r="G540" s="3"/>
      <c r="H540" s="20"/>
      <c r="I540" s="21"/>
      <c r="J540" s="20"/>
      <c r="K540" s="2" t="s">
        <v>510</v>
      </c>
      <c r="L540" s="7"/>
      <c r="M540" s="7"/>
      <c r="N540" s="7"/>
      <c r="O540" s="21"/>
      <c r="P540" s="20"/>
      <c r="Q540" s="2" t="s">
        <v>510</v>
      </c>
      <c r="R540" s="3"/>
    </row>
    <row r="541" spans="1:18">
      <c r="A541" s="14"/>
      <c r="B541" s="9"/>
      <c r="C541" s="10" t="str">
        <f t="shared" si="97"/>
        <v/>
      </c>
      <c r="D541" s="9"/>
      <c r="E541" s="9" t="str">
        <f t="shared" si="98"/>
        <v>JING LIN</v>
      </c>
      <c r="F541" s="9"/>
      <c r="G541" s="3"/>
      <c r="H541" s="20"/>
      <c r="I541" s="21"/>
      <c r="J541" s="20"/>
      <c r="K541" s="2" t="s">
        <v>511</v>
      </c>
      <c r="L541" s="7"/>
      <c r="M541" s="7"/>
      <c r="N541" s="7"/>
      <c r="O541" s="21"/>
      <c r="P541" s="20"/>
      <c r="Q541" s="2" t="s">
        <v>511</v>
      </c>
      <c r="R541" s="3"/>
    </row>
    <row r="542" spans="1:18">
      <c r="A542" s="14"/>
      <c r="B542" s="9"/>
      <c r="C542" s="10" t="str">
        <f t="shared" si="97"/>
        <v/>
      </c>
      <c r="D542" s="9"/>
      <c r="E542" s="9" t="str">
        <f t="shared" si="98"/>
        <v>YOYO GAO</v>
      </c>
      <c r="F542" s="9"/>
      <c r="G542" s="3"/>
      <c r="H542" s="20"/>
      <c r="I542" s="21"/>
      <c r="J542" s="20"/>
      <c r="K542" s="2" t="s">
        <v>512</v>
      </c>
      <c r="L542" s="7"/>
      <c r="M542" s="7"/>
      <c r="N542" s="7"/>
      <c r="O542" s="21"/>
      <c r="P542" s="20"/>
      <c r="Q542" s="2" t="s">
        <v>512</v>
      </c>
      <c r="R542" s="3"/>
    </row>
    <row r="543" spans="1:18">
      <c r="A543" s="14"/>
      <c r="B543" s="9"/>
      <c r="C543" s="10" t="str">
        <f t="shared" si="97"/>
        <v/>
      </c>
      <c r="D543" s="9"/>
      <c r="E543" s="9" t="str">
        <f t="shared" si="98"/>
        <v>KRYSTAL YANG</v>
      </c>
      <c r="F543" s="9"/>
      <c r="G543" s="3"/>
      <c r="H543" s="20"/>
      <c r="I543" s="21"/>
      <c r="J543" s="20"/>
      <c r="K543" s="2" t="s">
        <v>513</v>
      </c>
      <c r="L543" s="7"/>
      <c r="M543" s="7"/>
      <c r="N543" s="7"/>
      <c r="O543" s="21"/>
      <c r="P543" s="20"/>
      <c r="Q543" s="2" t="s">
        <v>513</v>
      </c>
      <c r="R543" s="3"/>
    </row>
    <row r="544" spans="1:18">
      <c r="A544" s="14"/>
      <c r="B544" s="9"/>
      <c r="C544" s="10" t="str">
        <f t="shared" si="97"/>
        <v/>
      </c>
      <c r="D544" s="9"/>
      <c r="E544" s="9" t="str">
        <f t="shared" si="98"/>
        <v>BETTY MEI</v>
      </c>
      <c r="F544" s="9"/>
      <c r="G544" s="3"/>
      <c r="H544" s="20"/>
      <c r="I544" s="21"/>
      <c r="J544" s="20"/>
      <c r="K544" s="2" t="s">
        <v>514</v>
      </c>
      <c r="L544" s="7"/>
      <c r="M544" s="7"/>
      <c r="N544" s="7"/>
      <c r="O544" s="21"/>
      <c r="P544" s="20"/>
      <c r="Q544" s="2" t="s">
        <v>514</v>
      </c>
      <c r="R544" s="3"/>
    </row>
    <row r="545" spans="1:18">
      <c r="A545" s="14"/>
      <c r="B545" s="9"/>
      <c r="C545" s="10" t="str">
        <f t="shared" si="97"/>
        <v/>
      </c>
      <c r="D545" s="9"/>
      <c r="E545" s="9" t="str">
        <f t="shared" si="98"/>
        <v>RHEA LIU</v>
      </c>
      <c r="F545" s="9"/>
      <c r="G545" s="3"/>
      <c r="H545" s="20"/>
      <c r="I545" s="21"/>
      <c r="J545" s="20"/>
      <c r="K545" s="2" t="s">
        <v>515</v>
      </c>
      <c r="L545" s="7"/>
      <c r="M545" s="7"/>
      <c r="N545" s="7"/>
      <c r="O545" s="21"/>
      <c r="P545" s="20"/>
      <c r="Q545" s="2" t="s">
        <v>515</v>
      </c>
      <c r="R545" s="3"/>
    </row>
    <row r="546" spans="1:18">
      <c r="A546" s="14"/>
      <c r="B546" s="9"/>
      <c r="C546" s="10" t="str">
        <f t="shared" si="97"/>
        <v/>
      </c>
      <c r="D546" s="9"/>
      <c r="E546" s="9" t="str">
        <f t="shared" si="98"/>
        <v>ZHENGDAO CHEN</v>
      </c>
      <c r="F546" s="9"/>
      <c r="G546" s="3"/>
      <c r="H546" s="20"/>
      <c r="I546" s="21"/>
      <c r="J546" s="20"/>
      <c r="K546" s="2" t="s">
        <v>516</v>
      </c>
      <c r="L546" s="3"/>
      <c r="M546" s="8"/>
      <c r="N546" s="8"/>
      <c r="O546" s="21"/>
      <c r="P546" s="20"/>
      <c r="Q546" s="2" t="s">
        <v>516</v>
      </c>
      <c r="R546" s="3"/>
    </row>
    <row r="547" spans="1:18">
      <c r="A547" s="14"/>
      <c r="B547" s="9"/>
      <c r="C547" s="10" t="str">
        <f t="shared" si="97"/>
        <v>BUSINESS EDITOR</v>
      </c>
      <c r="D547" s="9"/>
      <c r="E547" s="9" t="str">
        <f t="shared" si="98"/>
        <v>LAINEY LIU</v>
      </c>
      <c r="F547" s="9"/>
      <c r="G547" s="3"/>
      <c r="H547" s="20"/>
      <c r="I547" s="36" t="s">
        <v>517</v>
      </c>
      <c r="J547" s="20"/>
      <c r="K547" s="2" t="s">
        <v>518</v>
      </c>
      <c r="L547" s="3"/>
      <c r="M547" s="8"/>
      <c r="N547" s="8"/>
      <c r="O547" s="36" t="s">
        <v>517</v>
      </c>
      <c r="P547" s="20"/>
      <c r="Q547" s="2" t="s">
        <v>518</v>
      </c>
      <c r="R547" s="3"/>
    </row>
    <row r="548" spans="1:18">
      <c r="A548" s="14"/>
      <c r="B548" s="9"/>
      <c r="C548" s="10" t="str">
        <f t="shared" si="97"/>
        <v/>
      </c>
      <c r="D548" s="9"/>
      <c r="E548" s="9" t="str">
        <f t="shared" si="98"/>
        <v>DEE ZHANG</v>
      </c>
      <c r="F548" s="9"/>
      <c r="G548" s="3"/>
      <c r="H548" s="20"/>
      <c r="I548" s="21"/>
      <c r="J548" s="20"/>
      <c r="K548" s="2" t="s">
        <v>519</v>
      </c>
      <c r="L548" s="3"/>
      <c r="M548" s="8"/>
      <c r="N548" s="8"/>
      <c r="O548" s="21"/>
      <c r="P548" s="20"/>
      <c r="Q548" s="2" t="s">
        <v>519</v>
      </c>
      <c r="R548" s="3"/>
    </row>
    <row r="549" spans="1:18">
      <c r="A549" s="14"/>
      <c r="B549" s="9"/>
      <c r="C549" s="10" t="str">
        <f t="shared" si="97"/>
        <v>LEGAL</v>
      </c>
      <c r="D549" s="9"/>
      <c r="E549" s="9" t="str">
        <f t="shared" si="98"/>
        <v>KAN ZHANG</v>
      </c>
      <c r="F549" s="9"/>
      <c r="G549" s="3"/>
      <c r="H549" s="20"/>
      <c r="I549" s="36" t="s">
        <v>520</v>
      </c>
      <c r="J549" s="20"/>
      <c r="K549" s="2" t="s">
        <v>521</v>
      </c>
      <c r="L549" s="3"/>
      <c r="M549" s="8"/>
      <c r="N549" s="8"/>
      <c r="O549" s="36" t="s">
        <v>520</v>
      </c>
      <c r="P549" s="20"/>
      <c r="Q549" s="2" t="s">
        <v>521</v>
      </c>
      <c r="R549" s="3"/>
    </row>
    <row r="550" spans="1:18">
      <c r="A550" s="14"/>
      <c r="B550" s="9"/>
      <c r="C550" s="10" t="str">
        <f t="shared" si="97"/>
        <v>FINANCE &amp; TAX</v>
      </c>
      <c r="D550" s="9"/>
      <c r="E550" s="9" t="str">
        <f t="shared" si="98"/>
        <v xml:space="preserve">XIAOCHEN ZHANG </v>
      </c>
      <c r="F550" s="9"/>
      <c r="G550" s="3"/>
      <c r="H550" s="20"/>
      <c r="I550" s="36" t="s">
        <v>522</v>
      </c>
      <c r="J550" s="20"/>
      <c r="K550" s="2" t="s">
        <v>523</v>
      </c>
      <c r="L550" s="3"/>
      <c r="M550" s="8"/>
      <c r="N550" s="8"/>
      <c r="O550" s="36" t="s">
        <v>522</v>
      </c>
      <c r="P550" s="20"/>
      <c r="Q550" s="2" t="s">
        <v>523</v>
      </c>
      <c r="R550" s="3"/>
    </row>
    <row r="551" spans="1:18">
      <c r="A551" s="14"/>
      <c r="B551" s="9"/>
      <c r="C551" s="10" t="str">
        <f t="shared" si="97"/>
        <v/>
      </c>
      <c r="D551" s="9"/>
      <c r="E551" s="9" t="str">
        <f t="shared" si="98"/>
        <v>YING CHEN</v>
      </c>
      <c r="F551" s="9"/>
      <c r="G551" s="3"/>
      <c r="H551" s="20"/>
      <c r="I551" s="2"/>
      <c r="J551" s="20"/>
      <c r="K551" s="2" t="s">
        <v>524</v>
      </c>
      <c r="L551" s="3"/>
      <c r="M551" s="8"/>
      <c r="N551" s="8"/>
      <c r="O551" s="36"/>
      <c r="P551" s="20"/>
      <c r="Q551" s="2" t="s">
        <v>524</v>
      </c>
      <c r="R551" s="3"/>
    </row>
    <row r="552" spans="1:18">
      <c r="A552" s="14"/>
      <c r="B552" s="9"/>
      <c r="C552" s="10" t="str">
        <f t="shared" si="97"/>
        <v>MARKETING</v>
      </c>
      <c r="D552" s="9"/>
      <c r="E552" s="9" t="str">
        <f t="shared" si="98"/>
        <v>TRACY CUI</v>
      </c>
      <c r="F552" s="9"/>
      <c r="G552" s="3"/>
      <c r="H552" s="20"/>
      <c r="I552" s="36" t="s">
        <v>525</v>
      </c>
      <c r="J552" s="20"/>
      <c r="K552" s="2" t="s">
        <v>526</v>
      </c>
      <c r="L552" s="3"/>
      <c r="M552" s="8"/>
      <c r="N552" s="8"/>
      <c r="O552" s="36" t="s">
        <v>525</v>
      </c>
      <c r="P552" s="20"/>
      <c r="Q552" s="2" t="s">
        <v>526</v>
      </c>
      <c r="R552" s="3"/>
    </row>
    <row r="553" spans="1:18">
      <c r="A553" s="14"/>
      <c r="B553" s="9"/>
      <c r="C553" s="10" t="str">
        <f t="shared" si="97"/>
        <v/>
      </c>
      <c r="D553" s="9"/>
      <c r="E553" s="9" t="str">
        <f t="shared" si="98"/>
        <v>MENGJIE HE</v>
      </c>
      <c r="F553" s="9"/>
      <c r="G553" s="3"/>
      <c r="H553" s="20"/>
      <c r="I553" s="21"/>
      <c r="J553" s="20"/>
      <c r="K553" s="2" t="s">
        <v>527</v>
      </c>
      <c r="L553" s="3"/>
      <c r="M553" s="8"/>
      <c r="N553" s="8"/>
      <c r="O553" s="21"/>
      <c r="P553" s="20"/>
      <c r="Q553" s="2" t="s">
        <v>527</v>
      </c>
      <c r="R553" s="3"/>
    </row>
    <row r="554" spans="1:18">
      <c r="A554" s="14"/>
      <c r="B554" s="9"/>
      <c r="C554" s="10" t="str">
        <f t="shared" si="97"/>
        <v/>
      </c>
      <c r="D554" s="9"/>
      <c r="E554" s="9" t="str">
        <f t="shared" si="98"/>
        <v>IRIS ZHANG</v>
      </c>
      <c r="F554" s="9"/>
      <c r="G554" s="3"/>
      <c r="H554" s="20"/>
      <c r="I554" s="21"/>
      <c r="J554" s="20"/>
      <c r="K554" s="2" t="s">
        <v>528</v>
      </c>
      <c r="L554" s="3"/>
      <c r="M554" s="8"/>
      <c r="N554" s="8"/>
      <c r="O554" s="21"/>
      <c r="P554" s="20"/>
      <c r="Q554" s="2" t="s">
        <v>528</v>
      </c>
      <c r="R554" s="3"/>
    </row>
    <row r="555" spans="1:18">
      <c r="A555" s="14"/>
      <c r="B555" s="9"/>
      <c r="C555" s="10"/>
      <c r="D555" s="9"/>
      <c r="E555" s="9" t="str">
        <f t="shared" si="98"/>
        <v>AARON YU</v>
      </c>
      <c r="F555" s="9"/>
      <c r="G555" s="3"/>
      <c r="H555" s="20"/>
      <c r="I555" s="21"/>
      <c r="J555" s="20"/>
      <c r="K555" s="2" t="s">
        <v>529</v>
      </c>
      <c r="L555" s="3"/>
      <c r="M555" s="8"/>
      <c r="N555" s="8"/>
      <c r="O555" s="21"/>
      <c r="P555" s="20"/>
      <c r="Q555" s="2" t="s">
        <v>529</v>
      </c>
      <c r="R555" s="3"/>
    </row>
    <row r="556" spans="1:18">
      <c r="A556" s="14"/>
      <c r="B556" s="9"/>
      <c r="C556" s="10"/>
      <c r="D556" s="9"/>
      <c r="E556" s="9" t="str">
        <f t="shared" si="98"/>
        <v/>
      </c>
      <c r="F556" s="9"/>
      <c r="G556" s="3"/>
      <c r="H556" s="20"/>
      <c r="I556" s="21"/>
      <c r="J556" s="20"/>
      <c r="K556" s="2"/>
      <c r="L556" s="3"/>
      <c r="M556" s="8"/>
      <c r="N556" s="8"/>
      <c r="O556" s="21"/>
      <c r="P556" s="20"/>
      <c r="Q556" s="20"/>
      <c r="R556" s="3"/>
    </row>
    <row r="557" spans="1:18">
      <c r="A557" s="14"/>
      <c r="B557" s="11"/>
      <c r="C557" s="12"/>
      <c r="D557" s="11"/>
      <c r="E557" s="11"/>
      <c r="F557" s="11"/>
      <c r="G557" s="3"/>
      <c r="H557" s="20"/>
      <c r="I557" s="21"/>
      <c r="J557" s="20"/>
      <c r="K557" s="13"/>
      <c r="L557" s="3"/>
      <c r="M557" s="8"/>
      <c r="N557" s="8"/>
      <c r="O557" s="21"/>
      <c r="P557" s="3"/>
      <c r="Q557" s="3"/>
      <c r="R557" s="3"/>
    </row>
    <row r="558" spans="1:18">
      <c r="A558" s="14"/>
      <c r="B558" s="61"/>
      <c r="C558" s="61"/>
      <c r="D558" s="61"/>
      <c r="E558" s="61"/>
      <c r="F558" s="61"/>
      <c r="G558" s="3"/>
      <c r="H558" s="27"/>
      <c r="I558" s="27"/>
      <c r="J558" s="27"/>
      <c r="K558" s="7"/>
      <c r="L558" s="27"/>
      <c r="M558" s="8"/>
      <c r="N558" s="8"/>
      <c r="O558" s="21"/>
      <c r="P558" s="3"/>
      <c r="Q558" s="3"/>
      <c r="R558" s="3"/>
    </row>
    <row r="559" spans="1:18">
      <c r="A559" s="14"/>
      <c r="B559" s="143" t="str">
        <f t="shared" ref="B559:B562" si="99">UPPER(H559)</f>
        <v>PRODUCTION SERVICES PROVIDED BY</v>
      </c>
      <c r="C559" s="141"/>
      <c r="D559" s="141"/>
      <c r="E559" s="141"/>
      <c r="F559" s="141"/>
      <c r="G559" s="3"/>
      <c r="H559" s="144" t="s">
        <v>530</v>
      </c>
      <c r="I559" s="141"/>
      <c r="J559" s="141"/>
      <c r="K559" s="141"/>
      <c r="L559" s="141"/>
      <c r="M559" s="8"/>
      <c r="N559" s="145" t="s">
        <v>940</v>
      </c>
      <c r="O559" s="141"/>
      <c r="P559" s="141"/>
      <c r="Q559" s="141"/>
      <c r="R559" s="141"/>
    </row>
    <row r="560" spans="1:18">
      <c r="A560" s="14"/>
      <c r="B560" s="146" t="str">
        <f t="shared" si="99"/>
        <v>THE MONK STUDIOS</v>
      </c>
      <c r="C560" s="141"/>
      <c r="D560" s="141"/>
      <c r="E560" s="141"/>
      <c r="F560" s="141"/>
      <c r="G560" s="8"/>
      <c r="H560" s="147" t="s">
        <v>202</v>
      </c>
      <c r="I560" s="141"/>
      <c r="J560" s="141"/>
      <c r="K560" s="141"/>
      <c r="L560" s="141"/>
      <c r="M560" s="8"/>
      <c r="N560" s="147" t="s">
        <v>202</v>
      </c>
      <c r="O560" s="141"/>
      <c r="P560" s="141"/>
      <c r="Q560" s="141"/>
      <c r="R560" s="141"/>
    </row>
    <row r="561" spans="1:18">
      <c r="A561" s="14"/>
      <c r="B561" s="9" t="str">
        <f t="shared" si="99"/>
        <v/>
      </c>
      <c r="C561" s="10" t="str">
        <f>UPPER(I561)</f>
        <v/>
      </c>
      <c r="D561" s="9"/>
      <c r="E561" s="9" t="str">
        <f>UPPER(K561)</f>
        <v/>
      </c>
      <c r="F561" s="9"/>
      <c r="G561" s="3"/>
      <c r="H561" s="62"/>
      <c r="I561" s="21"/>
      <c r="J561" s="20"/>
      <c r="K561" s="13"/>
      <c r="L561" s="3"/>
      <c r="M561" s="8"/>
      <c r="N561" s="62"/>
      <c r="O561" s="21"/>
      <c r="P561" s="20"/>
      <c r="Q561" s="13"/>
      <c r="R561" s="3"/>
    </row>
    <row r="562" spans="1:18">
      <c r="A562" s="14"/>
      <c r="B562" s="146" t="str">
        <f t="shared" si="99"/>
        <v>MANAGEMENT</v>
      </c>
      <c r="C562" s="141"/>
      <c r="D562" s="141"/>
      <c r="E562" s="141"/>
      <c r="F562" s="141"/>
      <c r="G562" s="3"/>
      <c r="H562" s="142" t="s">
        <v>392</v>
      </c>
      <c r="I562" s="141"/>
      <c r="J562" s="141"/>
      <c r="K562" s="141"/>
      <c r="L562" s="141"/>
      <c r="M562" s="8"/>
      <c r="N562" s="142" t="s">
        <v>392</v>
      </c>
      <c r="O562" s="141"/>
      <c r="P562" s="141"/>
      <c r="Q562" s="141"/>
      <c r="R562" s="141"/>
    </row>
    <row r="563" spans="1:18">
      <c r="A563" s="14"/>
      <c r="B563" s="9"/>
      <c r="C563" s="10" t="str">
        <f t="shared" ref="C563:C584" si="100">UPPER(I563)</f>
        <v>PRODUCTION EXECUTIVE</v>
      </c>
      <c r="D563" s="9"/>
      <c r="E563" s="9" t="str">
        <f t="shared" ref="E563:E584" si="101">UPPER(K563)</f>
        <v>JUCK SOMSAMAN</v>
      </c>
      <c r="F563" s="9"/>
      <c r="G563" s="3"/>
      <c r="H563" s="47"/>
      <c r="I563" s="36" t="s">
        <v>531</v>
      </c>
      <c r="J563" s="20"/>
      <c r="K563" s="31" t="s">
        <v>532</v>
      </c>
      <c r="L563" s="3"/>
      <c r="M563" s="63"/>
      <c r="N563" s="47"/>
      <c r="O563" s="8" t="s">
        <v>531</v>
      </c>
      <c r="P563" s="20"/>
      <c r="Q563" s="13" t="s">
        <v>532</v>
      </c>
      <c r="R563" s="3"/>
    </row>
    <row r="564" spans="1:18">
      <c r="A564" s="14"/>
      <c r="B564" s="9"/>
      <c r="C564" s="10" t="str">
        <f t="shared" si="100"/>
        <v/>
      </c>
      <c r="D564" s="9"/>
      <c r="E564" s="9" t="str">
        <f t="shared" si="101"/>
        <v/>
      </c>
      <c r="F564" s="9"/>
      <c r="G564" s="3"/>
      <c r="H564" s="47"/>
      <c r="I564" s="36"/>
      <c r="J564" s="20"/>
      <c r="K564" s="31"/>
      <c r="L564" s="3"/>
      <c r="M564" s="8"/>
      <c r="N564" s="47"/>
      <c r="O564" s="8"/>
      <c r="P564" s="20"/>
      <c r="Q564" s="13"/>
      <c r="R564" s="3"/>
    </row>
    <row r="565" spans="1:18">
      <c r="A565" s="14"/>
      <c r="B565" s="9"/>
      <c r="C565" s="10" t="str">
        <f t="shared" si="100"/>
        <v>PRODUCTION MANAGER</v>
      </c>
      <c r="D565" s="9"/>
      <c r="E565" s="9" t="str">
        <f t="shared" si="101"/>
        <v>NAPASSARA CHAISUKDAMRONG</v>
      </c>
      <c r="F565" s="9"/>
      <c r="G565" s="3"/>
      <c r="H565" s="47"/>
      <c r="I565" s="36" t="s">
        <v>152</v>
      </c>
      <c r="J565" s="20"/>
      <c r="K565" s="31" t="s">
        <v>533</v>
      </c>
      <c r="L565" s="3"/>
      <c r="M565" s="8"/>
      <c r="N565" s="47"/>
      <c r="O565" s="8" t="s">
        <v>152</v>
      </c>
      <c r="P565" s="20"/>
      <c r="Q565" s="13" t="s">
        <v>533</v>
      </c>
      <c r="R565" s="3"/>
    </row>
    <row r="566" spans="1:18">
      <c r="A566" s="14"/>
      <c r="B566" s="9"/>
      <c r="C566" s="10" t="str">
        <f t="shared" si="100"/>
        <v/>
      </c>
      <c r="D566" s="9"/>
      <c r="E566" s="9" t="str">
        <f t="shared" si="101"/>
        <v>RUJIRA POKSOMBOONKIJ</v>
      </c>
      <c r="F566" s="9"/>
      <c r="G566" s="3"/>
      <c r="H566" s="47"/>
      <c r="I566" s="36"/>
      <c r="J566" s="20"/>
      <c r="K566" s="31" t="s">
        <v>534</v>
      </c>
      <c r="L566" s="3"/>
      <c r="M566" s="8"/>
      <c r="N566" s="47"/>
      <c r="O566" s="8"/>
      <c r="P566" s="20"/>
      <c r="Q566" s="13" t="s">
        <v>534</v>
      </c>
      <c r="R566" s="3"/>
    </row>
    <row r="567" spans="1:18">
      <c r="A567" s="14"/>
      <c r="B567" s="9"/>
      <c r="C567" s="10" t="str">
        <f t="shared" si="100"/>
        <v/>
      </c>
      <c r="D567" s="9"/>
      <c r="E567" s="9" t="str">
        <f t="shared" si="101"/>
        <v/>
      </c>
      <c r="F567" s="9"/>
      <c r="G567" s="3"/>
      <c r="H567" s="47"/>
      <c r="I567" s="36"/>
      <c r="J567" s="20"/>
      <c r="K567" s="65"/>
      <c r="L567" s="3"/>
      <c r="M567" s="8"/>
      <c r="N567" s="47"/>
      <c r="O567" s="21"/>
      <c r="P567" s="20"/>
      <c r="Q567" s="47"/>
      <c r="R567" s="3"/>
    </row>
    <row r="568" spans="1:18">
      <c r="A568" s="14"/>
      <c r="B568" s="9"/>
      <c r="C568" s="10" t="str">
        <f t="shared" si="100"/>
        <v>CG SUPEVISOR</v>
      </c>
      <c r="D568" s="9"/>
      <c r="E568" s="9" t="str">
        <f t="shared" si="101"/>
        <v>KATHA NA BADALUNG</v>
      </c>
      <c r="F568" s="9"/>
      <c r="G568" s="3"/>
      <c r="H568" s="47"/>
      <c r="I568" s="36" t="s">
        <v>535</v>
      </c>
      <c r="J568" s="20"/>
      <c r="K568" s="65" t="s">
        <v>536</v>
      </c>
      <c r="L568" s="3"/>
      <c r="M568" s="8"/>
      <c r="N568" s="47"/>
      <c r="O568" s="8" t="s">
        <v>535</v>
      </c>
      <c r="P568" s="20"/>
      <c r="Q568" s="13" t="s">
        <v>536</v>
      </c>
      <c r="R568" s="3"/>
    </row>
    <row r="569" spans="1:18">
      <c r="A569" s="14"/>
      <c r="B569" s="9"/>
      <c r="C569" s="10" t="str">
        <f t="shared" si="100"/>
        <v/>
      </c>
      <c r="D569" s="9"/>
      <c r="E569" s="9" t="str">
        <f t="shared" si="101"/>
        <v/>
      </c>
      <c r="F569" s="9"/>
      <c r="G569" s="3"/>
      <c r="H569" s="47"/>
      <c r="I569" s="36"/>
      <c r="J569" s="20"/>
      <c r="K569" s="31"/>
      <c r="L569" s="3"/>
      <c r="M569" s="8"/>
      <c r="N569" s="47"/>
      <c r="O569" s="21"/>
      <c r="P569" s="20"/>
      <c r="Q569" s="47"/>
      <c r="R569" s="3"/>
    </row>
    <row r="570" spans="1:18">
      <c r="A570" s="14"/>
      <c r="B570" s="9"/>
      <c r="C570" s="10" t="str">
        <f t="shared" si="100"/>
        <v>PRODUCER</v>
      </c>
      <c r="D570" s="9"/>
      <c r="E570" s="9" t="str">
        <f t="shared" si="101"/>
        <v>BUDSARIN PANOMMA</v>
      </c>
      <c r="F570" s="9"/>
      <c r="G570" s="3"/>
      <c r="H570" s="47"/>
      <c r="I570" s="36" t="s">
        <v>504</v>
      </c>
      <c r="J570" s="20"/>
      <c r="K570" s="31" t="s">
        <v>537</v>
      </c>
      <c r="L570" s="3"/>
      <c r="M570" s="8"/>
      <c r="N570" s="47"/>
      <c r="O570" s="8" t="s">
        <v>504</v>
      </c>
      <c r="P570" s="20"/>
      <c r="Q570" s="13" t="s">
        <v>537</v>
      </c>
      <c r="R570" s="3"/>
    </row>
    <row r="571" spans="1:18">
      <c r="A571" s="14"/>
      <c r="B571" s="9"/>
      <c r="C571" s="10" t="str">
        <f t="shared" si="100"/>
        <v/>
      </c>
      <c r="D571" s="9"/>
      <c r="E571" s="9" t="str">
        <f t="shared" si="101"/>
        <v/>
      </c>
      <c r="F571" s="9"/>
      <c r="G571" s="3"/>
      <c r="H571" s="47"/>
      <c r="I571" s="36"/>
      <c r="J571" s="20"/>
      <c r="K571" s="65"/>
      <c r="L571" s="3"/>
      <c r="M571" s="63"/>
      <c r="N571" s="47"/>
      <c r="O571" s="8"/>
      <c r="P571" s="20"/>
      <c r="Q571" s="13"/>
      <c r="R571" s="3"/>
    </row>
    <row r="572" spans="1:18">
      <c r="A572" s="14"/>
      <c r="B572" s="9"/>
      <c r="C572" s="10" t="str">
        <f t="shared" si="100"/>
        <v>ASSET MANAGER</v>
      </c>
      <c r="D572" s="9"/>
      <c r="E572" s="9" t="str">
        <f t="shared" si="101"/>
        <v>PALAPAS NIMAWAN</v>
      </c>
      <c r="F572" s="9"/>
      <c r="G572" s="3"/>
      <c r="H572" s="47"/>
      <c r="I572" s="36" t="s">
        <v>498</v>
      </c>
      <c r="J572" s="20"/>
      <c r="K572" s="65" t="s">
        <v>538</v>
      </c>
      <c r="L572" s="3"/>
      <c r="M572" s="63"/>
      <c r="N572" s="47"/>
      <c r="O572" s="8" t="s">
        <v>498</v>
      </c>
      <c r="P572" s="20"/>
      <c r="Q572" s="13" t="s">
        <v>538</v>
      </c>
      <c r="R572" s="3"/>
    </row>
    <row r="573" spans="1:18">
      <c r="A573" s="14"/>
      <c r="B573" s="9"/>
      <c r="C573" s="10" t="str">
        <f t="shared" si="100"/>
        <v>ANIMATION MANAGER</v>
      </c>
      <c r="D573" s="9"/>
      <c r="E573" s="9" t="str">
        <f t="shared" si="101"/>
        <v>PARINYA PONGSANGIAM</v>
      </c>
      <c r="F573" s="9"/>
      <c r="G573" s="3"/>
      <c r="H573" s="47"/>
      <c r="I573" s="36" t="s">
        <v>539</v>
      </c>
      <c r="J573" s="20"/>
      <c r="K573" s="65" t="s">
        <v>540</v>
      </c>
      <c r="L573" s="3"/>
      <c r="M573" s="8"/>
      <c r="N573" s="47"/>
      <c r="O573" s="8" t="s">
        <v>539</v>
      </c>
      <c r="P573" s="20"/>
      <c r="Q573" s="13" t="s">
        <v>540</v>
      </c>
      <c r="R573" s="3"/>
    </row>
    <row r="574" spans="1:18">
      <c r="A574" s="14"/>
      <c r="B574" s="9"/>
      <c r="C574" s="10" t="str">
        <f t="shared" si="100"/>
        <v>CG MANAGER</v>
      </c>
      <c r="D574" s="9"/>
      <c r="E574" s="9" t="str">
        <f t="shared" si="101"/>
        <v>SASIPORN PANOMMA</v>
      </c>
      <c r="F574" s="9"/>
      <c r="G574" s="3"/>
      <c r="H574" s="47"/>
      <c r="I574" s="36" t="s">
        <v>541</v>
      </c>
      <c r="J574" s="20"/>
      <c r="K574" s="31" t="s">
        <v>542</v>
      </c>
      <c r="L574" s="3"/>
      <c r="M574" s="63"/>
      <c r="N574" s="47"/>
      <c r="O574" s="8" t="s">
        <v>541</v>
      </c>
      <c r="P574" s="20"/>
      <c r="Q574" s="13" t="s">
        <v>542</v>
      </c>
      <c r="R574" s="3"/>
    </row>
    <row r="575" spans="1:18">
      <c r="A575" s="14"/>
      <c r="B575" s="9"/>
      <c r="C575" s="10" t="str">
        <f t="shared" si="100"/>
        <v/>
      </c>
      <c r="D575" s="9"/>
      <c r="E575" s="9" t="str">
        <f t="shared" si="101"/>
        <v/>
      </c>
      <c r="F575" s="9"/>
      <c r="G575" s="3"/>
      <c r="H575" s="47"/>
      <c r="I575" s="36"/>
      <c r="J575" s="20"/>
      <c r="K575" s="31"/>
      <c r="L575" s="3"/>
      <c r="M575" s="8"/>
      <c r="N575" s="47"/>
      <c r="O575" s="8"/>
      <c r="P575" s="20"/>
      <c r="Q575" s="13"/>
      <c r="R575" s="3"/>
    </row>
    <row r="576" spans="1:18">
      <c r="A576" s="14"/>
      <c r="B576" s="9"/>
      <c r="C576" s="10" t="str">
        <f t="shared" si="100"/>
        <v>ASSET COORDINATOR</v>
      </c>
      <c r="D576" s="9"/>
      <c r="E576" s="9" t="str">
        <f t="shared" si="101"/>
        <v>CHUTCHAPHOL KHANTASOPHON</v>
      </c>
      <c r="F576" s="9"/>
      <c r="G576" s="3"/>
      <c r="H576" s="47"/>
      <c r="I576" s="36" t="s">
        <v>543</v>
      </c>
      <c r="J576" s="20"/>
      <c r="K576" s="31" t="s">
        <v>544</v>
      </c>
      <c r="L576" s="3"/>
      <c r="M576" s="8"/>
      <c r="N576" s="47"/>
      <c r="O576" s="8" t="s">
        <v>543</v>
      </c>
      <c r="P576" s="20"/>
      <c r="Q576" s="13" t="s">
        <v>544</v>
      </c>
      <c r="R576" s="3"/>
    </row>
    <row r="577" spans="1:18">
      <c r="A577" s="14"/>
      <c r="B577" s="9"/>
      <c r="C577" s="10" t="str">
        <f t="shared" si="100"/>
        <v/>
      </c>
      <c r="D577" s="9"/>
      <c r="E577" s="9" t="str">
        <f t="shared" si="101"/>
        <v>WARISSARA PETSAKUL</v>
      </c>
      <c r="F577" s="9"/>
      <c r="G577" s="3"/>
      <c r="H577" s="47"/>
      <c r="I577" s="36"/>
      <c r="J577" s="20"/>
      <c r="K577" s="31" t="s">
        <v>545</v>
      </c>
      <c r="L577" s="3"/>
      <c r="M577" s="63"/>
      <c r="N577" s="47"/>
      <c r="O577" s="8"/>
      <c r="P577" s="20"/>
      <c r="Q577" s="13" t="s">
        <v>545</v>
      </c>
      <c r="R577" s="3"/>
    </row>
    <row r="578" spans="1:18">
      <c r="A578" s="14"/>
      <c r="B578" s="9"/>
      <c r="C578" s="10" t="str">
        <f t="shared" si="100"/>
        <v>LAYOUT COORDINATOR</v>
      </c>
      <c r="D578" s="9"/>
      <c r="E578" s="9" t="str">
        <f t="shared" si="101"/>
        <v>PATSAWAN CHUASRITRAKUL</v>
      </c>
      <c r="F578" s="9"/>
      <c r="G578" s="3"/>
      <c r="H578" s="47"/>
      <c r="I578" s="36" t="s">
        <v>546</v>
      </c>
      <c r="J578" s="20"/>
      <c r="K578" s="31" t="s">
        <v>547</v>
      </c>
      <c r="L578" s="3"/>
      <c r="M578" s="8"/>
      <c r="N578" s="47"/>
      <c r="O578" s="8" t="s">
        <v>546</v>
      </c>
      <c r="P578" s="20"/>
      <c r="Q578" s="13" t="s">
        <v>547</v>
      </c>
      <c r="R578" s="3"/>
    </row>
    <row r="579" spans="1:18">
      <c r="A579" s="14"/>
      <c r="B579" s="9"/>
      <c r="C579" s="10" t="str">
        <f t="shared" si="100"/>
        <v>ANIMATION COORDINATOR</v>
      </c>
      <c r="D579" s="9"/>
      <c r="E579" s="9" t="str">
        <f t="shared" si="101"/>
        <v>SAWITA STARPITCHAYANANT</v>
      </c>
      <c r="F579" s="9"/>
      <c r="G579" s="3"/>
      <c r="H579" s="47"/>
      <c r="I579" s="36" t="s">
        <v>548</v>
      </c>
      <c r="J579" s="20"/>
      <c r="K579" s="31" t="s">
        <v>549</v>
      </c>
      <c r="L579" s="3"/>
      <c r="M579" s="8"/>
      <c r="N579" s="47"/>
      <c r="O579" s="8" t="s">
        <v>548</v>
      </c>
      <c r="P579" s="20"/>
      <c r="Q579" s="13" t="s">
        <v>549</v>
      </c>
      <c r="R579" s="3"/>
    </row>
    <row r="580" spans="1:18">
      <c r="A580" s="14"/>
      <c r="B580" s="9"/>
      <c r="C580" s="10" t="str">
        <f t="shared" si="100"/>
        <v/>
      </c>
      <c r="D580" s="9"/>
      <c r="E580" s="9" t="str">
        <f t="shared" si="101"/>
        <v>KUNLAPHAT JEERAMANEEMAI</v>
      </c>
      <c r="F580" s="9"/>
      <c r="G580" s="3"/>
      <c r="H580" s="47"/>
      <c r="I580" s="36"/>
      <c r="J580" s="20"/>
      <c r="K580" s="31" t="s">
        <v>550</v>
      </c>
      <c r="L580" s="3"/>
      <c r="M580" s="8"/>
      <c r="N580" s="47"/>
      <c r="O580" s="8"/>
      <c r="P580" s="20"/>
      <c r="Q580" s="13" t="s">
        <v>550</v>
      </c>
      <c r="R580" s="3"/>
    </row>
    <row r="581" spans="1:18">
      <c r="A581" s="14"/>
      <c r="B581" s="9"/>
      <c r="C581" s="10" t="str">
        <f t="shared" si="100"/>
        <v/>
      </c>
      <c r="D581" s="9"/>
      <c r="E581" s="9" t="str">
        <f t="shared" si="101"/>
        <v>PUNYAWEE TUNGJAISUE</v>
      </c>
      <c r="F581" s="9"/>
      <c r="G581" s="3"/>
      <c r="H581" s="47"/>
      <c r="I581" s="36"/>
      <c r="J581" s="20"/>
      <c r="K581" s="31" t="s">
        <v>551</v>
      </c>
      <c r="L581" s="3"/>
      <c r="M581" s="8"/>
      <c r="N581" s="47"/>
      <c r="O581" s="8"/>
      <c r="P581" s="20"/>
      <c r="Q581" s="13" t="s">
        <v>551</v>
      </c>
      <c r="R581" s="3"/>
    </row>
    <row r="582" spans="1:18">
      <c r="A582" s="14"/>
      <c r="B582" s="9"/>
      <c r="C582" s="10" t="str">
        <f t="shared" si="100"/>
        <v>FX COORDINATOR</v>
      </c>
      <c r="D582" s="9"/>
      <c r="E582" s="9" t="str">
        <f t="shared" si="101"/>
        <v>NAVIPAS SUTTICHONSAKUL</v>
      </c>
      <c r="F582" s="9"/>
      <c r="G582" s="3"/>
      <c r="H582" s="47"/>
      <c r="I582" s="36" t="s">
        <v>552</v>
      </c>
      <c r="J582" s="20"/>
      <c r="K582" s="31" t="s">
        <v>553</v>
      </c>
      <c r="L582" s="3"/>
      <c r="M582" s="8"/>
      <c r="N582" s="47"/>
      <c r="O582" s="8" t="s">
        <v>552</v>
      </c>
      <c r="P582" s="20"/>
      <c r="Q582" s="13" t="s">
        <v>553</v>
      </c>
      <c r="R582" s="3"/>
    </row>
    <row r="583" spans="1:18">
      <c r="A583" s="14"/>
      <c r="B583" s="9"/>
      <c r="C583" s="10" t="str">
        <f t="shared" si="100"/>
        <v>LRC COORDINATOR</v>
      </c>
      <c r="D583" s="9"/>
      <c r="E583" s="9" t="str">
        <f t="shared" si="101"/>
        <v>SUNIDA DANGTHONGKUM</v>
      </c>
      <c r="F583" s="9"/>
      <c r="G583" s="3"/>
      <c r="H583" s="47"/>
      <c r="I583" s="36" t="s">
        <v>554</v>
      </c>
      <c r="J583" s="20"/>
      <c r="K583" s="31" t="s">
        <v>555</v>
      </c>
      <c r="L583" s="3"/>
      <c r="M583" s="8"/>
      <c r="N583" s="47"/>
      <c r="O583" s="8" t="s">
        <v>554</v>
      </c>
      <c r="P583" s="20"/>
      <c r="Q583" s="13" t="s">
        <v>555</v>
      </c>
      <c r="R583" s="3"/>
    </row>
    <row r="584" spans="1:18">
      <c r="A584" s="14"/>
      <c r="B584" s="9"/>
      <c r="C584" s="10" t="str">
        <f t="shared" si="100"/>
        <v>PIPELINE&amp;TD COORDINATOR</v>
      </c>
      <c r="D584" s="9"/>
      <c r="E584" s="9" t="str">
        <f t="shared" si="101"/>
        <v>DANUPHOL JONGARIYAKUL</v>
      </c>
      <c r="F584" s="9"/>
      <c r="G584" s="3"/>
      <c r="H584" s="47"/>
      <c r="I584" s="66" t="s">
        <v>556</v>
      </c>
      <c r="J584" s="20"/>
      <c r="K584" s="31" t="s">
        <v>557</v>
      </c>
      <c r="L584" s="3"/>
      <c r="M584" s="8"/>
      <c r="N584" s="47"/>
      <c r="O584" s="138" t="s">
        <v>556</v>
      </c>
      <c r="P584" s="20"/>
      <c r="Q584" s="13" t="s">
        <v>557</v>
      </c>
      <c r="R584" s="3"/>
    </row>
    <row r="585" spans="1:18">
      <c r="A585" s="14"/>
      <c r="B585" s="9"/>
      <c r="C585" s="10"/>
      <c r="D585" s="9"/>
      <c r="E585" s="9"/>
      <c r="F585" s="9"/>
      <c r="G585" s="3"/>
      <c r="H585" s="47"/>
      <c r="I585" s="66"/>
      <c r="J585" s="20"/>
      <c r="K585" s="31"/>
      <c r="L585" s="3"/>
      <c r="M585" s="8"/>
      <c r="N585" s="47"/>
      <c r="O585" s="21"/>
      <c r="P585" s="20"/>
      <c r="Q585" s="47"/>
      <c r="R585" s="3"/>
    </row>
    <row r="586" spans="1:18">
      <c r="A586" s="14"/>
      <c r="B586" s="11"/>
      <c r="C586" s="12" t="str">
        <f>UPPER(I586)</f>
        <v/>
      </c>
      <c r="D586" s="11"/>
      <c r="E586" s="11" t="str">
        <f>UPPER(K586)</f>
        <v/>
      </c>
      <c r="F586" s="11"/>
      <c r="G586" s="3"/>
      <c r="H586" s="47"/>
      <c r="I586" s="21"/>
      <c r="J586" s="20"/>
      <c r="K586" s="13"/>
      <c r="L586" s="3"/>
      <c r="M586" s="8"/>
      <c r="N586" s="8"/>
      <c r="O586" s="21"/>
      <c r="P586" s="3"/>
      <c r="Q586" s="3"/>
      <c r="R586" s="3"/>
    </row>
    <row r="587" spans="1:18">
      <c r="A587" s="14"/>
      <c r="B587" s="6"/>
      <c r="C587" s="6"/>
      <c r="D587" s="6"/>
      <c r="E587" s="6"/>
      <c r="F587" s="6"/>
      <c r="G587" s="3"/>
      <c r="H587" s="48"/>
      <c r="I587" s="15"/>
      <c r="J587" s="15"/>
      <c r="K587" s="5"/>
      <c r="L587" s="48"/>
      <c r="M587" s="8"/>
      <c r="N587" s="8"/>
      <c r="O587" s="21"/>
      <c r="P587" s="3"/>
      <c r="Q587" s="3"/>
      <c r="R587" s="3"/>
    </row>
    <row r="588" spans="1:18">
      <c r="A588" s="14"/>
      <c r="B588" s="143" t="str">
        <f t="shared" ref="B588:B589" si="102">UPPER(H588)</f>
        <v>PRODUCTION SERVICES PROVIDED BY</v>
      </c>
      <c r="C588" s="141"/>
      <c r="D588" s="141"/>
      <c r="E588" s="141"/>
      <c r="F588" s="141"/>
      <c r="G588" s="3"/>
      <c r="H588" s="144" t="s">
        <v>530</v>
      </c>
      <c r="I588" s="141"/>
      <c r="J588" s="141"/>
      <c r="K588" s="141"/>
      <c r="L588" s="141"/>
      <c r="M588" s="8"/>
      <c r="N588" s="145" t="s">
        <v>940</v>
      </c>
      <c r="O588" s="141"/>
      <c r="P588" s="141"/>
      <c r="Q588" s="141"/>
      <c r="R588" s="141"/>
    </row>
    <row r="589" spans="1:18">
      <c r="A589" s="14"/>
      <c r="B589" s="146" t="str">
        <f t="shared" si="102"/>
        <v>THE MONK STUDIOS</v>
      </c>
      <c r="C589" s="141"/>
      <c r="D589" s="141"/>
      <c r="E589" s="141"/>
      <c r="F589" s="141"/>
      <c r="G589" s="8"/>
      <c r="H589" s="147" t="s">
        <v>202</v>
      </c>
      <c r="I589" s="141"/>
      <c r="J589" s="141"/>
      <c r="K589" s="141"/>
      <c r="L589" s="141"/>
      <c r="M589" s="8"/>
      <c r="N589" s="147" t="s">
        <v>202</v>
      </c>
      <c r="O589" s="141"/>
      <c r="P589" s="141"/>
      <c r="Q589" s="141"/>
      <c r="R589" s="141"/>
    </row>
    <row r="590" spans="1:18">
      <c r="A590" s="14"/>
      <c r="B590" s="6"/>
      <c r="C590" s="6"/>
      <c r="D590" s="6"/>
      <c r="E590" s="6"/>
      <c r="F590" s="6"/>
      <c r="G590" s="3"/>
      <c r="H590" s="48"/>
      <c r="I590" s="15"/>
      <c r="J590" s="15"/>
      <c r="K590" s="5"/>
      <c r="L590" s="48"/>
      <c r="M590" s="8"/>
      <c r="N590" s="48"/>
      <c r="O590" s="15"/>
      <c r="P590" s="15"/>
      <c r="Q590" s="5"/>
      <c r="R590" s="48"/>
    </row>
    <row r="591" spans="1:18">
      <c r="A591" s="14"/>
      <c r="B591" s="146" t="str">
        <f>UPPER(H591)</f>
        <v>PIPELINE &amp; TD</v>
      </c>
      <c r="C591" s="141"/>
      <c r="D591" s="141"/>
      <c r="E591" s="141"/>
      <c r="F591" s="141"/>
      <c r="G591" s="3"/>
      <c r="H591" s="142" t="s">
        <v>558</v>
      </c>
      <c r="I591" s="141"/>
      <c r="J591" s="141"/>
      <c r="K591" s="141"/>
      <c r="L591" s="141"/>
      <c r="M591" s="8"/>
      <c r="N591" s="142" t="s">
        <v>558</v>
      </c>
      <c r="O591" s="141"/>
      <c r="P591" s="141"/>
      <c r="Q591" s="141"/>
      <c r="R591" s="141"/>
    </row>
    <row r="592" spans="1:18">
      <c r="A592" s="14"/>
      <c r="B592" s="9"/>
      <c r="C592" s="10" t="str">
        <f>UPPER(I592)</f>
        <v>HEAD OF DEVELOPMENT</v>
      </c>
      <c r="D592" s="9"/>
      <c r="E592" s="9" t="str">
        <f>UPPER(K592)</f>
        <v>NAPAPORN METAAPHANON</v>
      </c>
      <c r="F592" s="9"/>
      <c r="G592" s="3"/>
      <c r="H592" s="47"/>
      <c r="I592" s="66" t="s">
        <v>559</v>
      </c>
      <c r="J592" s="20"/>
      <c r="K592" s="31" t="s">
        <v>560</v>
      </c>
      <c r="L592" s="3"/>
      <c r="M592" s="8"/>
      <c r="N592" s="47"/>
      <c r="O592" s="138" t="s">
        <v>559</v>
      </c>
      <c r="P592" s="20"/>
      <c r="Q592" s="13" t="s">
        <v>560</v>
      </c>
      <c r="R592" s="3"/>
    </row>
    <row r="593" spans="1:18">
      <c r="A593" s="14"/>
      <c r="B593" s="9"/>
      <c r="C593" s="10"/>
      <c r="D593" s="9"/>
      <c r="E593" s="9"/>
      <c r="F593" s="9"/>
      <c r="G593" s="3"/>
      <c r="H593" s="47"/>
      <c r="I593" s="66"/>
      <c r="J593" s="20"/>
      <c r="K593" s="31"/>
      <c r="L593" s="3"/>
      <c r="M593" s="8"/>
      <c r="N593" s="47"/>
      <c r="O593" s="138"/>
      <c r="P593" s="20"/>
      <c r="Q593" s="13"/>
      <c r="R593" s="3"/>
    </row>
    <row r="594" spans="1:18">
      <c r="A594" s="14"/>
      <c r="B594" s="9"/>
      <c r="C594" s="10" t="str">
        <f>UPPER(I594)</f>
        <v>HEAD OF PIPELINE</v>
      </c>
      <c r="D594" s="9"/>
      <c r="E594" s="9" t="str">
        <f>UPPER(K594)</f>
        <v>MICHAEL ISARASAK KHANTHAROD</v>
      </c>
      <c r="F594" s="9"/>
      <c r="G594" s="3"/>
      <c r="H594" s="47"/>
      <c r="I594" s="66" t="s">
        <v>561</v>
      </c>
      <c r="J594" s="20"/>
      <c r="K594" s="31" t="s">
        <v>562</v>
      </c>
      <c r="L594" s="3"/>
      <c r="M594" s="8"/>
      <c r="N594" s="47"/>
      <c r="O594" s="138" t="s">
        <v>561</v>
      </c>
      <c r="P594" s="20"/>
      <c r="Q594" s="13" t="s">
        <v>562</v>
      </c>
      <c r="R594" s="3"/>
    </row>
    <row r="595" spans="1:18">
      <c r="A595" s="14"/>
      <c r="B595" s="9"/>
      <c r="C595" s="10"/>
      <c r="D595" s="9"/>
      <c r="E595" s="9"/>
      <c r="F595" s="9"/>
      <c r="G595" s="3"/>
      <c r="H595" s="47"/>
      <c r="I595" s="66"/>
      <c r="J595" s="20"/>
      <c r="K595" s="31"/>
      <c r="L595" s="3"/>
      <c r="M595" s="8"/>
      <c r="N595" s="47"/>
      <c r="O595" s="138"/>
      <c r="P595" s="20"/>
      <c r="Q595" s="13"/>
      <c r="R595" s="3"/>
    </row>
    <row r="596" spans="1:18">
      <c r="A596" s="14"/>
      <c r="B596" s="9"/>
      <c r="C596" s="10" t="str">
        <f>UPPER(I596)</f>
        <v>LEAD PIPELINE</v>
      </c>
      <c r="D596" s="9"/>
      <c r="E596" s="9" t="str">
        <f>UPPER(K596)</f>
        <v>SARINPORN PINTUSOPON</v>
      </c>
      <c r="F596" s="9"/>
      <c r="G596" s="3"/>
      <c r="H596" s="47"/>
      <c r="I596" s="66" t="s">
        <v>563</v>
      </c>
      <c r="J596" s="20"/>
      <c r="K596" s="31" t="s">
        <v>564</v>
      </c>
      <c r="L596" s="3"/>
      <c r="M596" s="8"/>
      <c r="N596" s="47"/>
      <c r="O596" s="138" t="s">
        <v>563</v>
      </c>
      <c r="P596" s="20"/>
      <c r="Q596" s="13" t="s">
        <v>564</v>
      </c>
      <c r="R596" s="3"/>
    </row>
    <row r="597" spans="1:18">
      <c r="A597" s="14"/>
      <c r="B597" s="9"/>
      <c r="C597" s="10"/>
      <c r="D597" s="9"/>
      <c r="E597" s="9"/>
      <c r="F597" s="9"/>
      <c r="G597" s="3"/>
      <c r="H597" s="47"/>
      <c r="I597" s="66"/>
      <c r="J597" s="20"/>
      <c r="K597" s="31"/>
      <c r="L597" s="3"/>
      <c r="M597" s="8"/>
      <c r="N597" s="47"/>
      <c r="O597" s="138"/>
      <c r="P597" s="20"/>
      <c r="Q597" s="13"/>
      <c r="R597" s="3"/>
    </row>
    <row r="598" spans="1:18">
      <c r="A598" s="14"/>
      <c r="B598" s="9"/>
      <c r="C598" s="10" t="str">
        <f t="shared" ref="C598:C601" si="103">UPPER(I598)</f>
        <v>PIPELINE DEVELOPER</v>
      </c>
      <c r="D598" s="9"/>
      <c r="E598" s="9" t="str">
        <f t="shared" ref="E598:E601" si="104">UPPER(K598)</f>
        <v>TANARAT LUANG-ON</v>
      </c>
      <c r="F598" s="9"/>
      <c r="G598" s="3"/>
      <c r="H598" s="47"/>
      <c r="I598" s="66" t="s">
        <v>565</v>
      </c>
      <c r="J598" s="20"/>
      <c r="K598" s="31" t="s">
        <v>566</v>
      </c>
      <c r="L598" s="3"/>
      <c r="M598" s="8"/>
      <c r="N598" s="47"/>
      <c r="O598" s="138" t="s">
        <v>565</v>
      </c>
      <c r="P598" s="20"/>
      <c r="Q598" s="13" t="s">
        <v>566</v>
      </c>
      <c r="R598" s="3"/>
    </row>
    <row r="599" spans="1:18">
      <c r="A599" s="14"/>
      <c r="B599" s="9"/>
      <c r="C599" s="10" t="str">
        <f t="shared" si="103"/>
        <v/>
      </c>
      <c r="D599" s="9"/>
      <c r="E599" s="9" t="str">
        <f t="shared" si="104"/>
        <v>THANYATHON TAYANGKHANON</v>
      </c>
      <c r="F599" s="9"/>
      <c r="G599" s="3"/>
      <c r="H599" s="47"/>
      <c r="I599" s="66"/>
      <c r="J599" s="20"/>
      <c r="K599" s="31" t="s">
        <v>567</v>
      </c>
      <c r="L599" s="3"/>
      <c r="M599" s="63"/>
      <c r="N599" s="47"/>
      <c r="O599" s="138"/>
      <c r="P599" s="20"/>
      <c r="Q599" s="13" t="s">
        <v>567</v>
      </c>
      <c r="R599" s="3"/>
    </row>
    <row r="600" spans="1:18">
      <c r="A600" s="14"/>
      <c r="B600" s="9"/>
      <c r="C600" s="10" t="str">
        <f t="shared" si="103"/>
        <v/>
      </c>
      <c r="D600" s="9"/>
      <c r="E600" s="9" t="str">
        <f t="shared" si="104"/>
        <v>NUTTAPON VANAKITTISTIEN</v>
      </c>
      <c r="F600" s="9"/>
      <c r="G600" s="3"/>
      <c r="H600" s="47"/>
      <c r="I600" s="66"/>
      <c r="J600" s="20"/>
      <c r="K600" s="31" t="s">
        <v>568</v>
      </c>
      <c r="L600" s="3"/>
      <c r="M600" s="8"/>
      <c r="N600" s="47"/>
      <c r="O600" s="138"/>
      <c r="P600" s="20"/>
      <c r="Q600" s="13" t="s">
        <v>568</v>
      </c>
      <c r="R600" s="3"/>
    </row>
    <row r="601" spans="1:18">
      <c r="A601" s="14"/>
      <c r="B601" s="9"/>
      <c r="C601" s="10" t="str">
        <f t="shared" si="103"/>
        <v/>
      </c>
      <c r="D601" s="9"/>
      <c r="E601" s="9" t="str">
        <f t="shared" si="104"/>
        <v>APISIT SENLUANG</v>
      </c>
      <c r="F601" s="9"/>
      <c r="G601" s="3"/>
      <c r="H601" s="47"/>
      <c r="I601" s="66"/>
      <c r="J601" s="20"/>
      <c r="K601" s="31" t="s">
        <v>569</v>
      </c>
      <c r="L601" s="3"/>
      <c r="M601" s="8"/>
      <c r="N601" s="47"/>
      <c r="O601" s="138"/>
      <c r="P601" s="20"/>
      <c r="Q601" s="13" t="s">
        <v>569</v>
      </c>
      <c r="R601" s="3"/>
    </row>
    <row r="602" spans="1:18">
      <c r="A602" s="14"/>
      <c r="B602" s="9"/>
      <c r="C602" s="10"/>
      <c r="D602" s="9"/>
      <c r="E602" s="9"/>
      <c r="F602" s="9"/>
      <c r="G602" s="3"/>
      <c r="H602" s="47"/>
      <c r="I602" s="66"/>
      <c r="J602" s="20"/>
      <c r="K602" s="31"/>
      <c r="L602" s="3"/>
      <c r="M602" s="8"/>
      <c r="N602" s="47"/>
      <c r="O602" s="138"/>
      <c r="P602" s="20"/>
      <c r="Q602" s="13"/>
      <c r="R602" s="3"/>
    </row>
    <row r="603" spans="1:18">
      <c r="A603" s="14"/>
      <c r="B603" s="9"/>
      <c r="C603" s="10" t="str">
        <f>UPPER(I603)</f>
        <v>LEAD TECHNICAL DIRECTOR</v>
      </c>
      <c r="D603" s="9"/>
      <c r="E603" s="9" t="str">
        <f>UPPER(K603)</f>
        <v>THANAPAT TUMMATI</v>
      </c>
      <c r="F603" s="9"/>
      <c r="G603" s="3"/>
      <c r="H603" s="47"/>
      <c r="I603" s="66" t="s">
        <v>570</v>
      </c>
      <c r="J603" s="20"/>
      <c r="K603" s="31" t="s">
        <v>571</v>
      </c>
      <c r="L603" s="3"/>
      <c r="M603" s="8"/>
      <c r="N603" s="47"/>
      <c r="O603" s="138" t="s">
        <v>570</v>
      </c>
      <c r="P603" s="20"/>
      <c r="Q603" s="13" t="s">
        <v>571</v>
      </c>
      <c r="R603" s="3"/>
    </row>
    <row r="604" spans="1:18">
      <c r="A604" s="14"/>
      <c r="B604" s="9"/>
      <c r="C604" s="10"/>
      <c r="D604" s="9"/>
      <c r="E604" s="9"/>
      <c r="F604" s="9"/>
      <c r="G604" s="3"/>
      <c r="H604" s="47"/>
      <c r="I604" s="66"/>
      <c r="J604" s="20"/>
      <c r="K604" s="31"/>
      <c r="L604" s="3"/>
      <c r="M604" s="8"/>
      <c r="N604" s="47"/>
      <c r="O604" s="138"/>
      <c r="P604" s="20"/>
      <c r="Q604" s="13"/>
      <c r="R604" s="3"/>
    </row>
    <row r="605" spans="1:18">
      <c r="A605" s="14"/>
      <c r="B605" s="9"/>
      <c r="C605" s="10" t="str">
        <f t="shared" ref="C605:C609" si="105">UPPER(I605)</f>
        <v>TECHNICAL DIRECTOR</v>
      </c>
      <c r="D605" s="9"/>
      <c r="E605" s="9" t="str">
        <f t="shared" ref="E605:E609" si="106">UPPER(K605)</f>
        <v>TANAWOOT SINGTHONGPRASERT</v>
      </c>
      <c r="F605" s="9"/>
      <c r="G605" s="3"/>
      <c r="H605" s="47"/>
      <c r="I605" s="66" t="s">
        <v>572</v>
      </c>
      <c r="J605" s="20"/>
      <c r="K605" s="31" t="s">
        <v>573</v>
      </c>
      <c r="L605" s="3"/>
      <c r="M605" s="8"/>
      <c r="N605" s="47"/>
      <c r="O605" s="138" t="s">
        <v>572</v>
      </c>
      <c r="P605" s="20"/>
      <c r="Q605" s="13" t="s">
        <v>573</v>
      </c>
      <c r="R605" s="3"/>
    </row>
    <row r="606" spans="1:18">
      <c r="A606" s="14"/>
      <c r="B606" s="9"/>
      <c r="C606" s="10" t="str">
        <f t="shared" si="105"/>
        <v/>
      </c>
      <c r="D606" s="9"/>
      <c r="E606" s="9" t="str">
        <f t="shared" si="106"/>
        <v>PEERAPAT SRIPENG</v>
      </c>
      <c r="F606" s="9"/>
      <c r="G606" s="3"/>
      <c r="H606" s="47"/>
      <c r="I606" s="66"/>
      <c r="J606" s="20"/>
      <c r="K606" s="31" t="s">
        <v>574</v>
      </c>
      <c r="L606" s="3"/>
      <c r="M606" s="8"/>
      <c r="N606" s="47"/>
      <c r="O606" s="138"/>
      <c r="P606" s="20"/>
      <c r="Q606" s="13" t="s">
        <v>574</v>
      </c>
      <c r="R606" s="3"/>
    </row>
    <row r="607" spans="1:18">
      <c r="A607" s="14"/>
      <c r="B607" s="9"/>
      <c r="C607" s="10" t="str">
        <f t="shared" si="105"/>
        <v/>
      </c>
      <c r="D607" s="9"/>
      <c r="E607" s="9" t="str">
        <f t="shared" si="106"/>
        <v>THIRADA THEETHUM</v>
      </c>
      <c r="F607" s="9"/>
      <c r="G607" s="3"/>
      <c r="H607" s="47"/>
      <c r="I607" s="66"/>
      <c r="J607" s="20"/>
      <c r="K607" s="31" t="s">
        <v>575</v>
      </c>
      <c r="L607" s="3"/>
      <c r="M607" s="8"/>
      <c r="N607" s="47"/>
      <c r="O607" s="138"/>
      <c r="P607" s="20"/>
      <c r="Q607" s="13" t="s">
        <v>575</v>
      </c>
      <c r="R607" s="3"/>
    </row>
    <row r="608" spans="1:18">
      <c r="A608" s="14"/>
      <c r="B608" s="9"/>
      <c r="C608" s="10" t="str">
        <f t="shared" si="105"/>
        <v/>
      </c>
      <c r="D608" s="9"/>
      <c r="E608" s="9" t="str">
        <f t="shared" si="106"/>
        <v>NICHAPAT KACHACHEEWA</v>
      </c>
      <c r="F608" s="9"/>
      <c r="G608" s="3"/>
      <c r="H608" s="47"/>
      <c r="I608" s="66"/>
      <c r="J608" s="20"/>
      <c r="K608" s="31" t="s">
        <v>576</v>
      </c>
      <c r="L608" s="3"/>
      <c r="M608" s="8"/>
      <c r="N608" s="47"/>
      <c r="O608" s="138"/>
      <c r="P608" s="20"/>
      <c r="Q608" s="13" t="s">
        <v>576</v>
      </c>
      <c r="R608" s="3"/>
    </row>
    <row r="609" spans="1:18">
      <c r="A609" s="14"/>
      <c r="B609" s="9"/>
      <c r="C609" s="10" t="str">
        <f t="shared" si="105"/>
        <v/>
      </c>
      <c r="D609" s="9"/>
      <c r="E609" s="9" t="str">
        <f t="shared" si="106"/>
        <v>SUCHADA  KHAMWAN</v>
      </c>
      <c r="F609" s="9"/>
      <c r="G609" s="3"/>
      <c r="H609" s="47"/>
      <c r="I609" s="66"/>
      <c r="J609" s="20"/>
      <c r="K609" s="31" t="s">
        <v>577</v>
      </c>
      <c r="L609" s="3"/>
      <c r="M609" s="8"/>
      <c r="N609" s="47"/>
      <c r="O609" s="138"/>
      <c r="P609" s="20"/>
      <c r="Q609" s="13" t="s">
        <v>577</v>
      </c>
      <c r="R609" s="3"/>
    </row>
    <row r="610" spans="1:18">
      <c r="A610" s="14"/>
      <c r="B610" s="9"/>
      <c r="C610" s="10"/>
      <c r="D610" s="9"/>
      <c r="E610" s="9"/>
      <c r="F610" s="9"/>
      <c r="G610" s="3"/>
      <c r="H610" s="47"/>
      <c r="I610" s="66"/>
      <c r="J610" s="20"/>
      <c r="K610" s="31"/>
      <c r="L610" s="3"/>
      <c r="M610" s="8"/>
      <c r="N610" s="47"/>
      <c r="O610" s="138"/>
      <c r="P610" s="20"/>
      <c r="Q610" s="13"/>
      <c r="R610" s="3"/>
    </row>
    <row r="611" spans="1:18">
      <c r="A611" s="14"/>
      <c r="B611" s="9"/>
      <c r="C611" s="10" t="str">
        <f t="shared" ref="C611:C612" si="107">UPPER(I611)</f>
        <v>RIG TECHNICAL DIRECTOR</v>
      </c>
      <c r="D611" s="9"/>
      <c r="E611" s="9" t="str">
        <f t="shared" ref="E611:E612" si="108">UPPER(K611)</f>
        <v>PONGSOPON SROYSOMWONG</v>
      </c>
      <c r="F611" s="9"/>
      <c r="G611" s="3"/>
      <c r="H611" s="47"/>
      <c r="I611" s="66" t="s">
        <v>578</v>
      </c>
      <c r="J611" s="20"/>
      <c r="K611" s="31" t="s">
        <v>579</v>
      </c>
      <c r="L611" s="3"/>
      <c r="M611" s="8"/>
      <c r="N611" s="47"/>
      <c r="O611" s="138" t="s">
        <v>578</v>
      </c>
      <c r="P611" s="20"/>
      <c r="Q611" s="13" t="s">
        <v>579</v>
      </c>
      <c r="R611" s="3"/>
    </row>
    <row r="612" spans="1:18">
      <c r="A612" s="14"/>
      <c r="B612" s="9"/>
      <c r="C612" s="10" t="str">
        <f t="shared" si="107"/>
        <v/>
      </c>
      <c r="D612" s="9"/>
      <c r="E612" s="9" t="str">
        <f t="shared" si="108"/>
        <v>SARAWUT SUWAN</v>
      </c>
      <c r="F612" s="9"/>
      <c r="G612" s="3"/>
      <c r="H612" s="47"/>
      <c r="I612" s="66"/>
      <c r="J612" s="20"/>
      <c r="K612" s="31" t="s">
        <v>580</v>
      </c>
      <c r="L612" s="3"/>
      <c r="M612" s="8"/>
      <c r="N612" s="47"/>
      <c r="O612" s="138"/>
      <c r="P612" s="20"/>
      <c r="Q612" s="13" t="s">
        <v>580</v>
      </c>
      <c r="R612" s="3"/>
    </row>
    <row r="613" spans="1:18">
      <c r="A613" s="14"/>
      <c r="B613" s="9"/>
      <c r="C613" s="10"/>
      <c r="D613" s="9"/>
      <c r="E613" s="9"/>
      <c r="F613" s="9"/>
      <c r="G613" s="3"/>
      <c r="H613" s="47"/>
      <c r="I613" s="66"/>
      <c r="J613" s="20"/>
      <c r="K613" s="31"/>
      <c r="L613" s="3"/>
      <c r="M613" s="8"/>
      <c r="N613" s="47"/>
      <c r="O613" s="21"/>
      <c r="P613" s="20"/>
      <c r="Q613" s="139"/>
      <c r="R613" s="3"/>
    </row>
    <row r="614" spans="1:18">
      <c r="A614" s="14"/>
      <c r="B614" s="26"/>
      <c r="C614" s="26"/>
      <c r="D614" s="26"/>
      <c r="E614" s="26"/>
      <c r="F614" s="26"/>
      <c r="G614" s="3"/>
      <c r="H614" s="48"/>
      <c r="I614" s="15"/>
      <c r="J614" s="15"/>
      <c r="K614" s="5"/>
      <c r="L614" s="48"/>
      <c r="M614" s="8"/>
      <c r="N614" s="47"/>
      <c r="O614" s="21"/>
      <c r="P614" s="20"/>
      <c r="Q614" s="47"/>
      <c r="R614" s="3"/>
    </row>
    <row r="615" spans="1:18">
      <c r="A615" s="14"/>
      <c r="B615" s="6"/>
      <c r="C615" s="6"/>
      <c r="D615" s="6"/>
      <c r="E615" s="6"/>
      <c r="F615" s="6"/>
      <c r="G615" s="3"/>
      <c r="H615" s="48"/>
      <c r="I615" s="15"/>
      <c r="J615" s="15"/>
      <c r="K615" s="5"/>
      <c r="L615" s="48"/>
      <c r="M615" s="8"/>
      <c r="N615" s="47"/>
      <c r="O615" s="21"/>
      <c r="P615" s="20"/>
      <c r="Q615" s="47"/>
      <c r="R615" s="3"/>
    </row>
    <row r="616" spans="1:18">
      <c r="A616" s="14"/>
      <c r="B616" s="143" t="str">
        <f t="shared" ref="B616:B617" si="109">UPPER(H616)</f>
        <v>PRODUCTION SERVICES PROVIDED BY</v>
      </c>
      <c r="C616" s="141"/>
      <c r="D616" s="141"/>
      <c r="E616" s="141"/>
      <c r="F616" s="141"/>
      <c r="G616" s="3"/>
      <c r="H616" s="144" t="s">
        <v>530</v>
      </c>
      <c r="I616" s="141"/>
      <c r="J616" s="141"/>
      <c r="K616" s="141"/>
      <c r="L616" s="141"/>
      <c r="M616" s="8"/>
      <c r="N616" s="145" t="s">
        <v>940</v>
      </c>
      <c r="O616" s="141"/>
      <c r="P616" s="141"/>
      <c r="Q616" s="141"/>
      <c r="R616" s="141"/>
    </row>
    <row r="617" spans="1:18">
      <c r="A617" s="14"/>
      <c r="B617" s="146" t="str">
        <f t="shared" si="109"/>
        <v>THE MONK STUDIOS</v>
      </c>
      <c r="C617" s="141"/>
      <c r="D617" s="141"/>
      <c r="E617" s="141"/>
      <c r="F617" s="141"/>
      <c r="G617" s="8"/>
      <c r="H617" s="147" t="s">
        <v>202</v>
      </c>
      <c r="I617" s="141"/>
      <c r="J617" s="141"/>
      <c r="K617" s="141"/>
      <c r="L617" s="141"/>
      <c r="M617" s="8"/>
      <c r="N617" s="147" t="s">
        <v>202</v>
      </c>
      <c r="O617" s="141"/>
      <c r="P617" s="141"/>
      <c r="Q617" s="141"/>
      <c r="R617" s="141"/>
    </row>
    <row r="618" spans="1:18">
      <c r="A618" s="14"/>
      <c r="B618" s="9"/>
      <c r="C618" s="10"/>
      <c r="D618" s="9"/>
      <c r="E618" s="9"/>
      <c r="F618" s="9"/>
      <c r="G618" s="3"/>
      <c r="H618" s="47"/>
      <c r="I618" s="21"/>
      <c r="J618" s="20"/>
      <c r="K618" s="13"/>
      <c r="L618" s="3"/>
      <c r="M618" s="8"/>
      <c r="N618" s="47"/>
      <c r="O618" s="21"/>
      <c r="P618" s="20"/>
      <c r="Q618" s="47"/>
      <c r="R618" s="3"/>
    </row>
    <row r="619" spans="1:18">
      <c r="A619" s="14"/>
      <c r="B619" s="146" t="str">
        <f>UPPER(H619)</f>
        <v>IT</v>
      </c>
      <c r="C619" s="141"/>
      <c r="D619" s="141"/>
      <c r="E619" s="141"/>
      <c r="F619" s="141"/>
      <c r="G619" s="3"/>
      <c r="H619" s="142" t="s">
        <v>581</v>
      </c>
      <c r="I619" s="141"/>
      <c r="J619" s="141"/>
      <c r="K619" s="141"/>
      <c r="L619" s="141"/>
      <c r="M619" s="8"/>
      <c r="N619" s="142" t="s">
        <v>581</v>
      </c>
      <c r="O619" s="141"/>
      <c r="P619" s="141"/>
      <c r="Q619" s="141"/>
      <c r="R619" s="141"/>
    </row>
    <row r="620" spans="1:18">
      <c r="A620" s="14"/>
      <c r="B620" s="9"/>
      <c r="C620" s="10" t="str">
        <f t="shared" ref="C620:C625" si="110">UPPER(I620)</f>
        <v>IT DIRECTOR</v>
      </c>
      <c r="D620" s="9"/>
      <c r="E620" s="9" t="str">
        <f t="shared" ref="E620:E625" si="111">UPPER(K620)</f>
        <v>PAKORN CHUTINIMITKUL</v>
      </c>
      <c r="F620" s="9"/>
      <c r="G620" s="3"/>
      <c r="H620" s="47"/>
      <c r="I620" s="67" t="s">
        <v>582</v>
      </c>
      <c r="J620" s="20"/>
      <c r="K620" s="22" t="s">
        <v>583</v>
      </c>
      <c r="L620" s="3"/>
      <c r="M620" s="8"/>
      <c r="N620" s="47"/>
      <c r="O620" s="67" t="s">
        <v>582</v>
      </c>
      <c r="P620" s="20"/>
      <c r="Q620" s="22" t="s">
        <v>583</v>
      </c>
      <c r="R620" s="3"/>
    </row>
    <row r="621" spans="1:18">
      <c r="A621" s="14"/>
      <c r="B621" s="9"/>
      <c r="C621" s="10" t="str">
        <f t="shared" si="110"/>
        <v/>
      </c>
      <c r="D621" s="9"/>
      <c r="E621" s="9" t="str">
        <f t="shared" si="111"/>
        <v/>
      </c>
      <c r="F621" s="9"/>
      <c r="G621" s="3"/>
      <c r="H621" s="47"/>
      <c r="I621" s="67"/>
      <c r="J621" s="20"/>
      <c r="K621" s="22"/>
      <c r="L621" s="3"/>
      <c r="M621" s="8"/>
      <c r="N621" s="47"/>
      <c r="O621" s="67"/>
      <c r="P621" s="20"/>
      <c r="Q621" s="22"/>
      <c r="R621" s="3"/>
    </row>
    <row r="622" spans="1:18">
      <c r="A622" s="14"/>
      <c r="B622" s="9"/>
      <c r="C622" s="10" t="str">
        <f t="shared" si="110"/>
        <v>SYSTEM ENGINEER</v>
      </c>
      <c r="D622" s="9"/>
      <c r="E622" s="9" t="str">
        <f t="shared" si="111"/>
        <v>NATEE KOONJATURAPAT</v>
      </c>
      <c r="F622" s="9"/>
      <c r="G622" s="3"/>
      <c r="H622" s="47"/>
      <c r="I622" s="67" t="s">
        <v>584</v>
      </c>
      <c r="J622" s="20"/>
      <c r="K622" s="22" t="s">
        <v>585</v>
      </c>
      <c r="L622" s="3"/>
      <c r="M622" s="8"/>
      <c r="N622" s="47"/>
      <c r="O622" s="67" t="s">
        <v>584</v>
      </c>
      <c r="P622" s="20"/>
      <c r="Q622" s="22" t="s">
        <v>585</v>
      </c>
      <c r="R622" s="3"/>
    </row>
    <row r="623" spans="1:18">
      <c r="A623" s="14"/>
      <c r="B623" s="9"/>
      <c r="C623" s="10" t="str">
        <f t="shared" si="110"/>
        <v/>
      </c>
      <c r="D623" s="9"/>
      <c r="E623" s="9" t="str">
        <f t="shared" si="111"/>
        <v/>
      </c>
      <c r="F623" s="9"/>
      <c r="G623" s="3"/>
      <c r="H623" s="47"/>
      <c r="I623" s="67"/>
      <c r="J623" s="20"/>
      <c r="K623" s="22"/>
      <c r="L623" s="3"/>
      <c r="M623" s="8"/>
      <c r="N623" s="47"/>
      <c r="O623" s="67"/>
      <c r="P623" s="20"/>
      <c r="Q623" s="22"/>
      <c r="R623" s="3"/>
    </row>
    <row r="624" spans="1:18">
      <c r="A624" s="14"/>
      <c r="B624" s="9"/>
      <c r="C624" s="10" t="str">
        <f t="shared" si="110"/>
        <v>IT SUPPORT</v>
      </c>
      <c r="D624" s="9"/>
      <c r="E624" s="9" t="str">
        <f t="shared" si="111"/>
        <v>CHATCHAI LOHSIRI</v>
      </c>
      <c r="F624" s="9"/>
      <c r="G624" s="3"/>
      <c r="H624" s="47"/>
      <c r="I624" s="67" t="s">
        <v>586</v>
      </c>
      <c r="J624" s="20"/>
      <c r="K624" s="22" t="s">
        <v>587</v>
      </c>
      <c r="L624" s="3"/>
      <c r="M624" s="8"/>
      <c r="N624" s="47"/>
      <c r="O624" s="67" t="s">
        <v>586</v>
      </c>
      <c r="P624" s="20"/>
      <c r="Q624" s="22" t="s">
        <v>587</v>
      </c>
      <c r="R624" s="3"/>
    </row>
    <row r="625" spans="1:18">
      <c r="A625" s="14"/>
      <c r="B625" s="9"/>
      <c r="C625" s="10" t="str">
        <f t="shared" si="110"/>
        <v/>
      </c>
      <c r="D625" s="9"/>
      <c r="E625" s="9" t="str">
        <f t="shared" si="111"/>
        <v>WIMONWAN LERTTHONGKAM</v>
      </c>
      <c r="F625" s="9"/>
      <c r="G625" s="3"/>
      <c r="H625" s="47"/>
      <c r="I625" s="67"/>
      <c r="J625" s="20"/>
      <c r="K625" s="22" t="s">
        <v>588</v>
      </c>
      <c r="L625" s="3"/>
      <c r="M625" s="8"/>
      <c r="N625" s="47"/>
      <c r="O625" s="67"/>
      <c r="P625" s="20"/>
      <c r="Q625" s="22" t="s">
        <v>588</v>
      </c>
      <c r="R625" s="3"/>
    </row>
    <row r="626" spans="1:18">
      <c r="A626" s="14"/>
      <c r="B626" s="9"/>
      <c r="C626" s="10"/>
      <c r="D626" s="9"/>
      <c r="E626" s="9"/>
      <c r="F626" s="9"/>
      <c r="G626" s="3"/>
      <c r="H626" s="47"/>
      <c r="I626" s="67"/>
      <c r="J626" s="20"/>
      <c r="K626" s="22"/>
      <c r="L626" s="3"/>
      <c r="M626" s="8"/>
      <c r="N626" s="47"/>
      <c r="O626" s="21"/>
      <c r="P626" s="20"/>
      <c r="Q626" s="62"/>
      <c r="R626" s="3"/>
    </row>
    <row r="627" spans="1:18">
      <c r="A627" s="14"/>
      <c r="B627" s="11"/>
      <c r="C627" s="12" t="str">
        <f>UPPER(I627)</f>
        <v/>
      </c>
      <c r="D627" s="11"/>
      <c r="E627" s="11" t="str">
        <f>UPPER(K627)</f>
        <v/>
      </c>
      <c r="F627" s="11"/>
      <c r="G627" s="3"/>
      <c r="H627" s="20"/>
      <c r="I627" s="21"/>
      <c r="J627" s="20"/>
      <c r="K627" s="13"/>
      <c r="L627" s="3"/>
      <c r="M627" s="8"/>
      <c r="N627" s="8"/>
      <c r="O627" s="21"/>
      <c r="P627" s="3"/>
      <c r="Q627" s="3"/>
      <c r="R627" s="3"/>
    </row>
    <row r="628" spans="1:18">
      <c r="A628" s="14"/>
      <c r="B628" s="61"/>
      <c r="C628" s="61"/>
      <c r="D628" s="61"/>
      <c r="E628" s="61"/>
      <c r="F628" s="61"/>
      <c r="G628" s="3"/>
      <c r="H628" s="27"/>
      <c r="I628" s="27"/>
      <c r="J628" s="27"/>
      <c r="K628" s="7"/>
      <c r="L628" s="27"/>
      <c r="M628" s="8"/>
      <c r="N628" s="8"/>
      <c r="O628" s="21"/>
      <c r="P628" s="3"/>
      <c r="Q628" s="3"/>
      <c r="R628" s="3"/>
    </row>
    <row r="629" spans="1:18">
      <c r="A629" s="14"/>
      <c r="B629" s="143" t="str">
        <f t="shared" ref="B629:B630" si="112">UPPER(H629)</f>
        <v>PRODUCTION SERVICES PROVIDED BY</v>
      </c>
      <c r="C629" s="141"/>
      <c r="D629" s="141"/>
      <c r="E629" s="141"/>
      <c r="F629" s="141"/>
      <c r="G629" s="3"/>
      <c r="H629" s="144" t="s">
        <v>530</v>
      </c>
      <c r="I629" s="141"/>
      <c r="J629" s="141"/>
      <c r="K629" s="141"/>
      <c r="L629" s="141"/>
      <c r="M629" s="8"/>
      <c r="N629" s="145" t="s">
        <v>940</v>
      </c>
      <c r="O629" s="141"/>
      <c r="P629" s="141"/>
      <c r="Q629" s="141"/>
      <c r="R629" s="141"/>
    </row>
    <row r="630" spans="1:18">
      <c r="A630" s="14"/>
      <c r="B630" s="146" t="str">
        <f t="shared" si="112"/>
        <v>STUDIO GOINDOL INC.</v>
      </c>
      <c r="C630" s="141"/>
      <c r="D630" s="141"/>
      <c r="E630" s="141"/>
      <c r="F630" s="141"/>
      <c r="G630" s="3"/>
      <c r="H630" s="147" t="s">
        <v>176</v>
      </c>
      <c r="I630" s="141"/>
      <c r="J630" s="141"/>
      <c r="K630" s="141"/>
      <c r="L630" s="141"/>
      <c r="M630" s="8"/>
      <c r="N630" s="149" t="s">
        <v>176</v>
      </c>
      <c r="O630" s="141"/>
      <c r="P630" s="141"/>
      <c r="Q630" s="141"/>
      <c r="R630" s="141"/>
    </row>
    <row r="631" spans="1:18">
      <c r="A631" s="14"/>
      <c r="B631" s="6"/>
      <c r="C631" s="6"/>
      <c r="D631" s="6"/>
      <c r="E631" s="6"/>
      <c r="F631" s="6"/>
      <c r="G631" s="3"/>
      <c r="H631" s="15"/>
      <c r="I631" s="15"/>
      <c r="J631" s="15"/>
      <c r="K631" s="5"/>
      <c r="L631" s="15"/>
      <c r="M631" s="8"/>
      <c r="N631" s="3"/>
      <c r="O631" s="3"/>
      <c r="P631" s="3"/>
      <c r="Q631" s="3"/>
      <c r="R631" s="3"/>
    </row>
    <row r="632" spans="1:18">
      <c r="A632" s="14"/>
      <c r="B632" s="146" t="str">
        <f>UPPER(H632)</f>
        <v>STORYBOARD &amp; DESIGN</v>
      </c>
      <c r="C632" s="141"/>
      <c r="D632" s="141"/>
      <c r="E632" s="141"/>
      <c r="F632" s="141"/>
      <c r="G632" s="3"/>
      <c r="H632" s="147" t="s">
        <v>589</v>
      </c>
      <c r="I632" s="141"/>
      <c r="J632" s="141"/>
      <c r="K632" s="141"/>
      <c r="L632" s="141"/>
      <c r="M632" s="8"/>
      <c r="N632" s="149" t="s">
        <v>941</v>
      </c>
      <c r="O632" s="141"/>
      <c r="P632" s="141"/>
      <c r="Q632" s="141"/>
      <c r="R632" s="141"/>
    </row>
    <row r="633" spans="1:18">
      <c r="A633" s="14"/>
      <c r="B633" s="9"/>
      <c r="C633" s="10" t="str">
        <f>UPPER(I633)</f>
        <v>CHIEF PRODUCER</v>
      </c>
      <c r="D633" s="9"/>
      <c r="E633" s="9" t="str">
        <f>UPPER(K633)</f>
        <v>JUNGSOO HUR</v>
      </c>
      <c r="F633" s="9"/>
      <c r="G633" s="3"/>
      <c r="H633" s="20"/>
      <c r="I633" s="21" t="s">
        <v>590</v>
      </c>
      <c r="J633" s="20"/>
      <c r="K633" s="3" t="s">
        <v>591</v>
      </c>
      <c r="L633" s="3"/>
      <c r="M633" s="8"/>
      <c r="N633" s="3"/>
      <c r="O633" s="63" t="s">
        <v>772</v>
      </c>
      <c r="P633" s="3"/>
      <c r="Q633" s="3" t="s">
        <v>942</v>
      </c>
      <c r="R633" s="3"/>
    </row>
    <row r="634" spans="1:18">
      <c r="A634" s="14"/>
      <c r="B634" s="9"/>
      <c r="C634" s="10"/>
      <c r="D634" s="9"/>
      <c r="E634" s="9"/>
      <c r="F634" s="9"/>
      <c r="G634" s="3"/>
      <c r="H634" s="20"/>
      <c r="I634" s="21"/>
      <c r="J634" s="20"/>
      <c r="K634" s="3"/>
      <c r="L634" s="3"/>
      <c r="M634" s="8"/>
      <c r="N634" s="3"/>
      <c r="O634" s="8"/>
      <c r="P634" s="3"/>
      <c r="Q634" s="3"/>
      <c r="R634" s="3"/>
    </row>
    <row r="635" spans="1:18">
      <c r="A635" s="14"/>
      <c r="B635" s="9"/>
      <c r="C635" s="10" t="str">
        <f>UPPER(I635)</f>
        <v>PRODUCER</v>
      </c>
      <c r="D635" s="9"/>
      <c r="E635" s="9" t="str">
        <f>UPPER(K635)</f>
        <v>GEUNJEONG KIM</v>
      </c>
      <c r="F635" s="9"/>
      <c r="G635" s="3"/>
      <c r="H635" s="20"/>
      <c r="I635" s="21" t="s">
        <v>504</v>
      </c>
      <c r="J635" s="20"/>
      <c r="K635" s="3" t="s">
        <v>592</v>
      </c>
      <c r="L635" s="3"/>
      <c r="M635" s="8"/>
      <c r="N635" s="3"/>
      <c r="O635" s="8" t="s">
        <v>773</v>
      </c>
      <c r="P635" s="3"/>
      <c r="Q635" s="3" t="s">
        <v>943</v>
      </c>
      <c r="R635" s="3"/>
    </row>
    <row r="636" spans="1:18">
      <c r="A636" s="14"/>
      <c r="B636" s="9"/>
      <c r="C636" s="10"/>
      <c r="D636" s="9"/>
      <c r="E636" s="9"/>
      <c r="F636" s="9"/>
      <c r="G636" s="3"/>
      <c r="H636" s="20"/>
      <c r="I636" s="21"/>
      <c r="J636" s="20"/>
      <c r="K636" s="3"/>
      <c r="L636" s="3"/>
      <c r="M636" s="8"/>
      <c r="N636" s="3"/>
      <c r="O636" s="8"/>
      <c r="P636" s="3"/>
      <c r="Q636" s="3"/>
      <c r="R636" s="3"/>
    </row>
    <row r="637" spans="1:18">
      <c r="A637" s="14"/>
      <c r="B637" s="9"/>
      <c r="C637" s="10" t="str">
        <f>UPPER(I637)</f>
        <v>COORDINATOR</v>
      </c>
      <c r="D637" s="9"/>
      <c r="E637" s="9" t="str">
        <f>UPPER(K637)</f>
        <v>JOWON JUNG</v>
      </c>
      <c r="F637" s="9"/>
      <c r="G637" s="3"/>
      <c r="H637" s="20"/>
      <c r="I637" s="21" t="s">
        <v>593</v>
      </c>
      <c r="J637" s="20"/>
      <c r="K637" s="3" t="s">
        <v>594</v>
      </c>
      <c r="L637" s="3"/>
      <c r="M637" s="8"/>
      <c r="N637" s="3"/>
      <c r="O637" s="8" t="s">
        <v>944</v>
      </c>
      <c r="P637" s="3"/>
      <c r="Q637" s="3" t="s">
        <v>945</v>
      </c>
      <c r="R637" s="3"/>
    </row>
    <row r="638" spans="1:18">
      <c r="A638" s="14"/>
      <c r="B638" s="9"/>
      <c r="C638" s="10"/>
      <c r="D638" s="9"/>
      <c r="E638" s="9"/>
      <c r="F638" s="9"/>
      <c r="G638" s="3"/>
      <c r="H638" s="20"/>
      <c r="I638" s="21"/>
      <c r="J638" s="20"/>
      <c r="K638" s="3"/>
      <c r="L638" s="3"/>
      <c r="M638" s="8"/>
      <c r="N638" s="3"/>
      <c r="O638" s="8"/>
      <c r="P638" s="3"/>
      <c r="Q638" s="3"/>
      <c r="R638" s="3"/>
    </row>
    <row r="639" spans="1:18">
      <c r="A639" s="14"/>
      <c r="B639" s="9"/>
      <c r="C639" s="10" t="str">
        <f t="shared" ref="C639:C645" si="113">UPPER(I639)</f>
        <v>LEAD DESIGNER</v>
      </c>
      <c r="D639" s="9"/>
      <c r="E639" s="9" t="str">
        <f t="shared" ref="E639:E645" si="114">UPPER(K639)</f>
        <v>WOOJIN SEOK</v>
      </c>
      <c r="F639" s="9"/>
      <c r="G639" s="3"/>
      <c r="H639" s="20"/>
      <c r="I639" s="21" t="s">
        <v>595</v>
      </c>
      <c r="J639" s="20"/>
      <c r="K639" s="3" t="s">
        <v>596</v>
      </c>
      <c r="L639" s="3"/>
      <c r="M639" s="8"/>
      <c r="N639" s="3"/>
      <c r="O639" s="8" t="s">
        <v>946</v>
      </c>
      <c r="P639" s="3"/>
      <c r="Q639" s="3" t="s">
        <v>947</v>
      </c>
      <c r="R639" s="3"/>
    </row>
    <row r="640" spans="1:18">
      <c r="A640" s="14"/>
      <c r="B640" s="9"/>
      <c r="C640" s="10" t="str">
        <f t="shared" si="113"/>
        <v/>
      </c>
      <c r="D640" s="9"/>
      <c r="E640" s="9" t="str">
        <f t="shared" si="114"/>
        <v/>
      </c>
      <c r="F640" s="9"/>
      <c r="G640" s="3"/>
      <c r="H640" s="20"/>
      <c r="I640" s="21"/>
      <c r="J640" s="20"/>
      <c r="K640" s="3"/>
      <c r="L640" s="3"/>
      <c r="M640" s="8"/>
      <c r="N640" s="3"/>
      <c r="O640" s="8"/>
      <c r="P640" s="3"/>
      <c r="Q640" s="3"/>
      <c r="R640" s="3"/>
    </row>
    <row r="641" spans="1:18">
      <c r="A641" s="14"/>
      <c r="B641" s="9"/>
      <c r="C641" s="10" t="str">
        <f t="shared" si="113"/>
        <v>DESIGNER</v>
      </c>
      <c r="D641" s="9"/>
      <c r="E641" s="9" t="str">
        <f t="shared" si="114"/>
        <v>JIHYUN KIM</v>
      </c>
      <c r="F641" s="9"/>
      <c r="G641" s="3"/>
      <c r="H641" s="20"/>
      <c r="I641" s="21" t="s">
        <v>597</v>
      </c>
      <c r="J641" s="20"/>
      <c r="K641" s="3" t="s">
        <v>598</v>
      </c>
      <c r="L641" s="3"/>
      <c r="M641" s="8"/>
      <c r="N641" s="3"/>
      <c r="O641" s="8" t="s">
        <v>948</v>
      </c>
      <c r="P641" s="3"/>
      <c r="Q641" s="3" t="s">
        <v>771</v>
      </c>
      <c r="R641" s="3"/>
    </row>
    <row r="642" spans="1:18">
      <c r="A642" s="14"/>
      <c r="B642" s="9"/>
      <c r="C642" s="10" t="str">
        <f t="shared" si="113"/>
        <v/>
      </c>
      <c r="D642" s="9"/>
      <c r="E642" s="9" t="str">
        <f t="shared" si="114"/>
        <v>MINCHANG KIM</v>
      </c>
      <c r="F642" s="9"/>
      <c r="G642" s="3"/>
      <c r="H642" s="20"/>
      <c r="I642" s="21"/>
      <c r="J642" s="20"/>
      <c r="K642" s="3" t="s">
        <v>599</v>
      </c>
      <c r="L642" s="3"/>
      <c r="M642" s="8"/>
      <c r="N642" s="3"/>
      <c r="O642" s="3"/>
      <c r="P642" s="3"/>
      <c r="Q642" s="3" t="s">
        <v>949</v>
      </c>
      <c r="R642" s="3"/>
    </row>
    <row r="643" spans="1:18">
      <c r="A643" s="14"/>
      <c r="B643" s="9"/>
      <c r="C643" s="10" t="str">
        <f t="shared" si="113"/>
        <v/>
      </c>
      <c r="D643" s="9"/>
      <c r="E643" s="9" t="str">
        <f t="shared" si="114"/>
        <v>JAEWOOK JOO</v>
      </c>
      <c r="F643" s="9"/>
      <c r="G643" s="3"/>
      <c r="H643" s="20"/>
      <c r="I643" s="21"/>
      <c r="J643" s="20"/>
      <c r="K643" s="3" t="s">
        <v>600</v>
      </c>
      <c r="L643" s="3"/>
      <c r="M643" s="8"/>
      <c r="N643" s="3"/>
      <c r="O643" s="3"/>
      <c r="P643" s="3"/>
      <c r="Q643" s="3" t="s">
        <v>950</v>
      </c>
      <c r="R643" s="3"/>
    </row>
    <row r="644" spans="1:18">
      <c r="A644" s="14"/>
      <c r="B644" s="9"/>
      <c r="C644" s="10" t="str">
        <f t="shared" si="113"/>
        <v/>
      </c>
      <c r="D644" s="9"/>
      <c r="E644" s="9" t="str">
        <f t="shared" si="114"/>
        <v>NAMOK EU</v>
      </c>
      <c r="F644" s="9"/>
      <c r="G644" s="3"/>
      <c r="H644" s="20"/>
      <c r="I644" s="21"/>
      <c r="J644" s="20"/>
      <c r="K644" s="3" t="s">
        <v>601</v>
      </c>
      <c r="L644" s="3"/>
      <c r="M644" s="8"/>
      <c r="N644" s="3"/>
      <c r="O644" s="3"/>
      <c r="P644" s="3"/>
      <c r="Q644" s="3" t="s">
        <v>951</v>
      </c>
      <c r="R644" s="3"/>
    </row>
    <row r="645" spans="1:18">
      <c r="A645" s="14"/>
      <c r="B645" s="9"/>
      <c r="C645" s="10" t="str">
        <f t="shared" si="113"/>
        <v/>
      </c>
      <c r="D645" s="9"/>
      <c r="E645" s="9" t="str">
        <f t="shared" si="114"/>
        <v>DAI JEONG</v>
      </c>
      <c r="F645" s="9"/>
      <c r="G645" s="3"/>
      <c r="H645" s="20"/>
      <c r="I645" s="21"/>
      <c r="J645" s="20"/>
      <c r="K645" s="3" t="s">
        <v>602</v>
      </c>
      <c r="L645" s="3"/>
      <c r="M645" s="8"/>
      <c r="N645" s="3"/>
      <c r="O645" s="3"/>
      <c r="P645" s="3"/>
      <c r="Q645" s="3" t="s">
        <v>952</v>
      </c>
      <c r="R645" s="3"/>
    </row>
    <row r="646" spans="1:18">
      <c r="A646" s="14"/>
      <c r="B646" s="9"/>
      <c r="C646" s="10"/>
      <c r="D646" s="9"/>
      <c r="E646" s="9"/>
      <c r="F646" s="9"/>
      <c r="G646" s="3"/>
      <c r="H646" s="20"/>
      <c r="I646" s="21"/>
      <c r="J646" s="20"/>
      <c r="K646" s="3"/>
      <c r="L646" s="3"/>
      <c r="M646" s="8"/>
      <c r="N646" s="20"/>
      <c r="O646" s="21"/>
      <c r="P646" s="20"/>
      <c r="Q646" s="20"/>
      <c r="R646" s="3"/>
    </row>
    <row r="647" spans="1:18">
      <c r="A647" s="14"/>
      <c r="B647" s="3"/>
      <c r="C647" s="12"/>
      <c r="D647" s="3"/>
      <c r="E647" s="11"/>
      <c r="F647" s="3"/>
      <c r="G647" s="3"/>
      <c r="H647" s="21"/>
      <c r="I647" s="21"/>
      <c r="J647" s="21"/>
      <c r="K647" s="13"/>
      <c r="L647" s="12"/>
      <c r="M647" s="12"/>
      <c r="N647" s="12"/>
      <c r="O647" s="21"/>
      <c r="P647" s="3"/>
      <c r="Q647" s="3"/>
      <c r="R647" s="3"/>
    </row>
    <row r="648" spans="1:18">
      <c r="A648" s="14"/>
      <c r="B648" s="3"/>
      <c r="C648" s="12" t="str">
        <f>UPPER(I648)</f>
        <v/>
      </c>
      <c r="D648" s="11"/>
      <c r="E648" s="11" t="str">
        <f>UPPER(K648)</f>
        <v/>
      </c>
      <c r="F648" s="3"/>
      <c r="G648" s="3"/>
      <c r="H648" s="21"/>
      <c r="I648" s="21"/>
      <c r="J648" s="21"/>
      <c r="K648" s="13"/>
      <c r="L648" s="12"/>
      <c r="M648" s="12"/>
      <c r="N648" s="12"/>
      <c r="O648" s="21"/>
      <c r="P648" s="3"/>
      <c r="Q648" s="3"/>
      <c r="R648" s="3"/>
    </row>
    <row r="649" spans="1:18">
      <c r="A649" s="14"/>
      <c r="B649" s="3"/>
      <c r="C649" s="3"/>
      <c r="D649" s="3"/>
      <c r="E649" s="3"/>
      <c r="F649" s="3"/>
      <c r="G649" s="3"/>
      <c r="H649" s="20"/>
      <c r="I649" s="21"/>
      <c r="J649" s="20"/>
      <c r="K649" s="3"/>
      <c r="L649" s="3"/>
      <c r="M649" s="3"/>
      <c r="N649" s="3"/>
      <c r="O649" s="21"/>
      <c r="P649" s="3"/>
      <c r="Q649" s="3"/>
      <c r="R649" s="3"/>
    </row>
    <row r="650" spans="1:18"/>
    <row r="651" spans="1:18"/>
    <row r="652" spans="1:18"/>
    <row r="653" spans="1:18"/>
    <row r="654" spans="1:18"/>
    <row r="655" spans="1:18"/>
    <row r="656" spans="1:18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</sheetData>
  <mergeCells count="201">
    <mergeCell ref="B343:F343"/>
    <mergeCell ref="H343:L343"/>
    <mergeCell ref="N343:R343"/>
    <mergeCell ref="B346:F346"/>
    <mergeCell ref="B360:F360"/>
    <mergeCell ref="N360:R360"/>
    <mergeCell ref="B361:F361"/>
    <mergeCell ref="N361:R361"/>
    <mergeCell ref="H360:L360"/>
    <mergeCell ref="H361:L361"/>
    <mergeCell ref="B385:F385"/>
    <mergeCell ref="H385:L385"/>
    <mergeCell ref="N385:R385"/>
    <mergeCell ref="B401:F401"/>
    <mergeCell ref="H401:L401"/>
    <mergeCell ref="N180:R180"/>
    <mergeCell ref="N181:R181"/>
    <mergeCell ref="B161:F161"/>
    <mergeCell ref="H161:L161"/>
    <mergeCell ref="N161:R161"/>
    <mergeCell ref="B180:F180"/>
    <mergeCell ref="H180:L180"/>
    <mergeCell ref="B181:F181"/>
    <mergeCell ref="H181:L181"/>
    <mergeCell ref="H209:L209"/>
    <mergeCell ref="N209:R209"/>
    <mergeCell ref="B193:F193"/>
    <mergeCell ref="H193:L193"/>
    <mergeCell ref="N193:R193"/>
    <mergeCell ref="B197:F197"/>
    <mergeCell ref="H197:L197"/>
    <mergeCell ref="N197:R197"/>
    <mergeCell ref="B209:F209"/>
    <mergeCell ref="H251:L251"/>
    <mergeCell ref="N251:R251"/>
    <mergeCell ref="B224:F224"/>
    <mergeCell ref="H224:L224"/>
    <mergeCell ref="N224:R224"/>
    <mergeCell ref="B225:F225"/>
    <mergeCell ref="H225:L225"/>
    <mergeCell ref="N225:R225"/>
    <mergeCell ref="B251:F251"/>
    <mergeCell ref="N466:R466"/>
    <mergeCell ref="B448:F448"/>
    <mergeCell ref="H448:L448"/>
    <mergeCell ref="N448:R448"/>
    <mergeCell ref="B466:F466"/>
    <mergeCell ref="H466:L466"/>
    <mergeCell ref="H279:L279"/>
    <mergeCell ref="N279:R279"/>
    <mergeCell ref="B252:F252"/>
    <mergeCell ref="H252:L252"/>
    <mergeCell ref="N252:R252"/>
    <mergeCell ref="B265:F265"/>
    <mergeCell ref="H265:L265"/>
    <mergeCell ref="N265:R265"/>
    <mergeCell ref="B279:F279"/>
    <mergeCell ref="N296:R296"/>
    <mergeCell ref="N467:R467"/>
    <mergeCell ref="H591:L591"/>
    <mergeCell ref="N591:R591"/>
    <mergeCell ref="B588:F588"/>
    <mergeCell ref="H588:L588"/>
    <mergeCell ref="N588:R588"/>
    <mergeCell ref="B589:F589"/>
    <mergeCell ref="H589:L589"/>
    <mergeCell ref="N589:R589"/>
    <mergeCell ref="B591:F591"/>
    <mergeCell ref="B467:F467"/>
    <mergeCell ref="B468:F468"/>
    <mergeCell ref="N468:R468"/>
    <mergeCell ref="N478:R478"/>
    <mergeCell ref="N479:R479"/>
    <mergeCell ref="N491:R491"/>
    <mergeCell ref="N492:R492"/>
    <mergeCell ref="N493:R493"/>
    <mergeCell ref="N507:R507"/>
    <mergeCell ref="H467:L467"/>
    <mergeCell ref="H468:L468"/>
    <mergeCell ref="H471:L471"/>
    <mergeCell ref="B478:F478"/>
    <mergeCell ref="H478:L478"/>
    <mergeCell ref="H619:L619"/>
    <mergeCell ref="N619:R619"/>
    <mergeCell ref="B616:F616"/>
    <mergeCell ref="H616:L616"/>
    <mergeCell ref="N616:R616"/>
    <mergeCell ref="B617:F617"/>
    <mergeCell ref="H617:L617"/>
    <mergeCell ref="N617:R617"/>
    <mergeCell ref="B619:F619"/>
    <mergeCell ref="H479:L479"/>
    <mergeCell ref="H482:L482"/>
    <mergeCell ref="B479:F479"/>
    <mergeCell ref="B491:F491"/>
    <mergeCell ref="H491:L491"/>
    <mergeCell ref="B492:F492"/>
    <mergeCell ref="H492:L492"/>
    <mergeCell ref="B507:F507"/>
    <mergeCell ref="H507:L507"/>
    <mergeCell ref="H533:L533"/>
    <mergeCell ref="N533:R533"/>
    <mergeCell ref="B518:F518"/>
    <mergeCell ref="H518:L518"/>
    <mergeCell ref="N518:R518"/>
    <mergeCell ref="B519:F519"/>
    <mergeCell ref="H519:L519"/>
    <mergeCell ref="N519:R519"/>
    <mergeCell ref="B533:F533"/>
    <mergeCell ref="H632:L632"/>
    <mergeCell ref="N632:R632"/>
    <mergeCell ref="B629:F629"/>
    <mergeCell ref="H629:L629"/>
    <mergeCell ref="N629:R629"/>
    <mergeCell ref="B630:F630"/>
    <mergeCell ref="H630:L630"/>
    <mergeCell ref="N630:R630"/>
    <mergeCell ref="B632:F632"/>
    <mergeCell ref="A1:R2"/>
    <mergeCell ref="B4:F4"/>
    <mergeCell ref="H4:L4"/>
    <mergeCell ref="N4:R4"/>
    <mergeCell ref="B27:F27"/>
    <mergeCell ref="H27:L27"/>
    <mergeCell ref="N27:R27"/>
    <mergeCell ref="B56:F56"/>
    <mergeCell ref="H56:L56"/>
    <mergeCell ref="N56:R56"/>
    <mergeCell ref="B57:F57"/>
    <mergeCell ref="H57:L57"/>
    <mergeCell ref="N57:R57"/>
    <mergeCell ref="H78:L78"/>
    <mergeCell ref="B78:F78"/>
    <mergeCell ref="B79:F79"/>
    <mergeCell ref="H79:L79"/>
    <mergeCell ref="N79:R79"/>
    <mergeCell ref="B91:F91"/>
    <mergeCell ref="H91:L91"/>
    <mergeCell ref="N91:R91"/>
    <mergeCell ref="N113:R113"/>
    <mergeCell ref="N114:R114"/>
    <mergeCell ref="B100:F100"/>
    <mergeCell ref="H100:L100"/>
    <mergeCell ref="N100:R100"/>
    <mergeCell ref="B113:F113"/>
    <mergeCell ref="H113:L113"/>
    <mergeCell ref="B114:F114"/>
    <mergeCell ref="H114:L114"/>
    <mergeCell ref="H160:L160"/>
    <mergeCell ref="N160:R160"/>
    <mergeCell ref="B140:F140"/>
    <mergeCell ref="H140:L140"/>
    <mergeCell ref="N140:R140"/>
    <mergeCell ref="B141:F141"/>
    <mergeCell ref="H141:L141"/>
    <mergeCell ref="N141:R141"/>
    <mergeCell ref="B160:F160"/>
    <mergeCell ref="N297:R297"/>
    <mergeCell ref="B280:F280"/>
    <mergeCell ref="H280:L280"/>
    <mergeCell ref="N280:R280"/>
    <mergeCell ref="B296:F296"/>
    <mergeCell ref="H296:L296"/>
    <mergeCell ref="B297:F297"/>
    <mergeCell ref="H297:L297"/>
    <mergeCell ref="H337:L337"/>
    <mergeCell ref="N337:R337"/>
    <mergeCell ref="B315:F315"/>
    <mergeCell ref="H315:L315"/>
    <mergeCell ref="N315:R315"/>
    <mergeCell ref="B316:F316"/>
    <mergeCell ref="H316:L316"/>
    <mergeCell ref="N316:R316"/>
    <mergeCell ref="B337:F337"/>
    <mergeCell ref="H414:L414"/>
    <mergeCell ref="N414:R414"/>
    <mergeCell ref="N401:R401"/>
    <mergeCell ref="N406:R406"/>
    <mergeCell ref="B407:F407"/>
    <mergeCell ref="H407:L407"/>
    <mergeCell ref="N407:R407"/>
    <mergeCell ref="N412:R412"/>
    <mergeCell ref="B414:F414"/>
    <mergeCell ref="H447:L447"/>
    <mergeCell ref="N447:R447"/>
    <mergeCell ref="B427:F427"/>
    <mergeCell ref="H427:L427"/>
    <mergeCell ref="N427:R427"/>
    <mergeCell ref="B428:F428"/>
    <mergeCell ref="H428:L428"/>
    <mergeCell ref="N428:R428"/>
    <mergeCell ref="B447:F447"/>
    <mergeCell ref="H562:L562"/>
    <mergeCell ref="N562:R562"/>
    <mergeCell ref="B559:F559"/>
    <mergeCell ref="H559:L559"/>
    <mergeCell ref="N559:R559"/>
    <mergeCell ref="B560:F560"/>
    <mergeCell ref="H560:L560"/>
    <mergeCell ref="N560:R560"/>
    <mergeCell ref="B562:F562"/>
  </mergeCells>
  <phoneticPr fontId="5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S756"/>
  <sheetViews>
    <sheetView workbookViewId="0">
      <pane ySplit="2" topLeftCell="A3" activePane="bottomLeft" state="frozen"/>
      <selection pane="bottomLeft" sqref="A1:R2"/>
    </sheetView>
  </sheetViews>
  <sheetFormatPr defaultColWidth="12.5703125" defaultRowHeight="15.75" customHeight="1"/>
  <cols>
    <col min="1" max="1" width="2.5703125" customWidth="1"/>
    <col min="2" max="3" width="18.85546875" customWidth="1"/>
    <col min="4" max="4" width="1.42578125" customWidth="1"/>
    <col min="5" max="6" width="18.85546875" customWidth="1"/>
    <col min="7" max="7" width="1.42578125" customWidth="1"/>
    <col min="8" max="9" width="18.85546875" customWidth="1"/>
    <col min="10" max="10" width="1.42578125" customWidth="1"/>
    <col min="11" max="12" width="18.85546875" customWidth="1"/>
    <col min="13" max="13" width="1.42578125" customWidth="1"/>
    <col min="16" max="16" width="1.42578125" customWidth="1"/>
  </cols>
  <sheetData>
    <row r="1" spans="1:18">
      <c r="A1" s="152" t="s">
        <v>603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</row>
    <row r="2" spans="1:18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</row>
    <row r="3" spans="1:18">
      <c r="A3" s="1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16"/>
      <c r="P3" s="5"/>
      <c r="Q3" s="5"/>
      <c r="R3" s="5"/>
    </row>
    <row r="4" spans="1:18">
      <c r="A4" s="14"/>
      <c r="B4" s="150" t="str">
        <f>UPPER(H4)</f>
        <v>VOICE</v>
      </c>
      <c r="C4" s="141"/>
      <c r="D4" s="141"/>
      <c r="E4" s="141"/>
      <c r="F4" s="141"/>
      <c r="G4" s="18"/>
      <c r="H4" s="167" t="s">
        <v>157</v>
      </c>
      <c r="I4" s="141"/>
      <c r="J4" s="141"/>
      <c r="K4" s="141"/>
      <c r="L4" s="141"/>
      <c r="M4" s="18"/>
      <c r="N4" s="149" t="s">
        <v>777</v>
      </c>
      <c r="O4" s="141"/>
      <c r="P4" s="141"/>
      <c r="Q4" s="141"/>
      <c r="R4" s="141"/>
    </row>
    <row r="5" spans="1:18">
      <c r="A5" s="14"/>
      <c r="B5" s="9"/>
      <c r="C5" s="10" t="str">
        <f t="shared" ref="C5:C24" si="0">UPPER(I5)</f>
        <v>MICHAEL</v>
      </c>
      <c r="D5" s="9"/>
      <c r="E5" s="9" t="str">
        <f t="shared" ref="E5:E23" si="1">UPPER(K5)</f>
        <v>MARC THOMPSON</v>
      </c>
      <c r="F5" s="9"/>
      <c r="G5" s="3"/>
      <c r="H5" s="3"/>
      <c r="I5" s="8" t="s">
        <v>158</v>
      </c>
      <c r="J5" s="3"/>
      <c r="K5" s="2" t="s">
        <v>10</v>
      </c>
      <c r="L5" s="3"/>
      <c r="M5" s="8"/>
      <c r="N5" s="8"/>
      <c r="O5" s="21" t="s">
        <v>778</v>
      </c>
      <c r="P5" s="3"/>
      <c r="Q5" s="3" t="s">
        <v>117</v>
      </c>
      <c r="R5" s="3"/>
    </row>
    <row r="6" spans="1:18">
      <c r="A6" s="14"/>
      <c r="B6" s="9"/>
      <c r="C6" s="10" t="str">
        <f t="shared" si="0"/>
        <v>LUCY</v>
      </c>
      <c r="D6" s="9"/>
      <c r="E6" s="9" t="str">
        <f t="shared" si="1"/>
        <v>SAMANTHA COOPER</v>
      </c>
      <c r="F6" s="9"/>
      <c r="G6" s="3"/>
      <c r="H6" s="3"/>
      <c r="I6" s="8" t="s">
        <v>159</v>
      </c>
      <c r="J6" s="3"/>
      <c r="K6" s="2" t="s">
        <v>37</v>
      </c>
      <c r="L6" s="3"/>
      <c r="M6" s="8"/>
      <c r="N6" s="8"/>
      <c r="O6" s="21" t="s">
        <v>779</v>
      </c>
      <c r="P6" s="3"/>
      <c r="Q6" s="3" t="s">
        <v>118</v>
      </c>
      <c r="R6" s="3"/>
    </row>
    <row r="7" spans="1:18">
      <c r="A7" s="14"/>
      <c r="B7" s="9"/>
      <c r="C7" s="10" t="str">
        <f t="shared" si="0"/>
        <v>NICK</v>
      </c>
      <c r="D7" s="9"/>
      <c r="E7" s="9" t="str">
        <f t="shared" si="1"/>
        <v>JAMES BROWN JR</v>
      </c>
      <c r="F7" s="9"/>
      <c r="G7" s="3"/>
      <c r="H7" s="3"/>
      <c r="I7" s="8" t="s">
        <v>42</v>
      </c>
      <c r="J7" s="3"/>
      <c r="K7" s="2" t="s">
        <v>43</v>
      </c>
      <c r="L7" s="3"/>
      <c r="M7" s="8"/>
      <c r="N7" s="8"/>
      <c r="O7" s="21" t="s">
        <v>119</v>
      </c>
      <c r="P7" s="3"/>
      <c r="Q7" s="3" t="s">
        <v>120</v>
      </c>
      <c r="R7" s="3"/>
    </row>
    <row r="8" spans="1:18">
      <c r="A8" s="14"/>
      <c r="B8" s="9"/>
      <c r="C8" s="10" t="str">
        <f t="shared" si="0"/>
        <v>CRYING MAN</v>
      </c>
      <c r="D8" s="9"/>
      <c r="E8" s="9" t="str">
        <f t="shared" si="1"/>
        <v>BARRETT LEDDY</v>
      </c>
      <c r="F8" s="9"/>
      <c r="G8" s="3"/>
      <c r="H8" s="3"/>
      <c r="I8" s="8" t="s">
        <v>160</v>
      </c>
      <c r="J8" s="3"/>
      <c r="K8" s="2" t="s">
        <v>1</v>
      </c>
      <c r="L8" s="3"/>
      <c r="M8" s="8"/>
      <c r="N8" s="8"/>
      <c r="O8" s="21" t="s">
        <v>74</v>
      </c>
      <c r="P8" s="3"/>
      <c r="Q8" s="3" t="s">
        <v>75</v>
      </c>
      <c r="R8" s="3"/>
    </row>
    <row r="9" spans="1:18">
      <c r="A9" s="14"/>
      <c r="B9" s="9"/>
      <c r="C9" s="10" t="str">
        <f t="shared" si="0"/>
        <v>BLACK KNIGHT</v>
      </c>
      <c r="D9" s="9"/>
      <c r="E9" s="9" t="str">
        <f t="shared" si="1"/>
        <v>MARC THOMPSON</v>
      </c>
      <c r="F9" s="9"/>
      <c r="G9" s="3"/>
      <c r="H9" s="3"/>
      <c r="I9" s="8" t="s">
        <v>21</v>
      </c>
      <c r="J9" s="3"/>
      <c r="K9" s="2" t="s">
        <v>10</v>
      </c>
      <c r="L9" s="3"/>
      <c r="M9" s="8"/>
      <c r="N9" s="8"/>
      <c r="O9" s="21" t="s">
        <v>95</v>
      </c>
      <c r="P9" s="20"/>
      <c r="Q9" s="20" t="s">
        <v>96</v>
      </c>
      <c r="R9" s="3"/>
    </row>
    <row r="10" spans="1:18">
      <c r="A10" s="14"/>
      <c r="B10" s="9"/>
      <c r="C10" s="10" t="str">
        <f t="shared" si="0"/>
        <v>LUCKY</v>
      </c>
      <c r="D10" s="9"/>
      <c r="E10" s="9" t="str">
        <f t="shared" si="1"/>
        <v>MARC THOMPSON</v>
      </c>
      <c r="F10" s="9"/>
      <c r="G10" s="3"/>
      <c r="H10" s="3"/>
      <c r="I10" s="8" t="s">
        <v>24</v>
      </c>
      <c r="J10" s="3"/>
      <c r="K10" s="2" t="s">
        <v>10</v>
      </c>
      <c r="L10" s="3"/>
      <c r="M10" s="8"/>
      <c r="N10" s="8"/>
      <c r="O10" s="21" t="s">
        <v>98</v>
      </c>
      <c r="P10" s="20"/>
      <c r="Q10" s="68" t="s">
        <v>79</v>
      </c>
      <c r="R10" s="3"/>
    </row>
    <row r="11" spans="1:18">
      <c r="A11" s="14"/>
      <c r="B11" s="9"/>
      <c r="C11" s="10" t="str">
        <f t="shared" si="0"/>
        <v>GINSENG MAN</v>
      </c>
      <c r="D11" s="9"/>
      <c r="E11" s="9" t="str">
        <f t="shared" si="1"/>
        <v>JASON GRIFFITH</v>
      </c>
      <c r="F11" s="9"/>
      <c r="G11" s="3"/>
      <c r="H11" s="3"/>
      <c r="I11" s="8" t="s">
        <v>22</v>
      </c>
      <c r="J11" s="3"/>
      <c r="K11" s="2" t="s">
        <v>23</v>
      </c>
      <c r="L11" s="3"/>
      <c r="M11" s="8"/>
      <c r="N11" s="8"/>
      <c r="O11" s="36" t="s">
        <v>97</v>
      </c>
      <c r="P11" s="20"/>
      <c r="Q11" s="68" t="s">
        <v>81</v>
      </c>
      <c r="R11" s="3"/>
    </row>
    <row r="12" spans="1:18">
      <c r="A12" s="14"/>
      <c r="B12" s="9"/>
      <c r="C12" s="10" t="str">
        <f t="shared" si="0"/>
        <v>LOCUST MAN</v>
      </c>
      <c r="D12" s="9"/>
      <c r="E12" s="9" t="str">
        <f t="shared" si="1"/>
        <v>ADIN RUDD</v>
      </c>
      <c r="F12" s="9"/>
      <c r="G12" s="3"/>
      <c r="H12" s="3"/>
      <c r="I12" s="36" t="s">
        <v>604</v>
      </c>
      <c r="J12" s="2"/>
      <c r="K12" s="2" t="s">
        <v>14</v>
      </c>
      <c r="L12" s="3"/>
      <c r="M12" s="8"/>
      <c r="N12" s="8"/>
      <c r="O12" s="36" t="s">
        <v>99</v>
      </c>
      <c r="P12" s="20"/>
      <c r="Q12" s="69" t="s">
        <v>100</v>
      </c>
      <c r="R12" s="3"/>
    </row>
    <row r="13" spans="1:18">
      <c r="A13" s="14"/>
      <c r="B13" s="9"/>
      <c r="C13" s="10" t="str">
        <f t="shared" si="0"/>
        <v>TARA</v>
      </c>
      <c r="D13" s="9"/>
      <c r="E13" s="9" t="str">
        <f t="shared" si="1"/>
        <v>JUSTIS BOLDING</v>
      </c>
      <c r="F13" s="9"/>
      <c r="G13" s="3"/>
      <c r="H13" s="3"/>
      <c r="I13" s="36" t="s">
        <v>44</v>
      </c>
      <c r="J13" s="3"/>
      <c r="K13" s="2" t="s">
        <v>45</v>
      </c>
      <c r="L13" s="3"/>
      <c r="M13" s="8"/>
      <c r="N13" s="8"/>
      <c r="O13" s="21" t="s">
        <v>121</v>
      </c>
      <c r="P13" s="20"/>
      <c r="Q13" s="70" t="s">
        <v>87</v>
      </c>
      <c r="R13" s="3"/>
    </row>
    <row r="14" spans="1:18">
      <c r="A14" s="14"/>
      <c r="B14" s="9"/>
      <c r="C14" s="10" t="str">
        <f t="shared" si="0"/>
        <v>MC CUFFIN</v>
      </c>
      <c r="D14" s="9"/>
      <c r="E14" s="9" t="str">
        <f t="shared" si="1"/>
        <v>BARRON BASS</v>
      </c>
      <c r="F14" s="9"/>
      <c r="G14" s="3"/>
      <c r="H14" s="3"/>
      <c r="I14" s="36" t="s">
        <v>605</v>
      </c>
      <c r="J14" s="3"/>
      <c r="K14" s="3" t="s">
        <v>59</v>
      </c>
      <c r="L14" s="3"/>
      <c r="M14" s="8"/>
      <c r="N14" s="8"/>
      <c r="O14" s="36" t="s">
        <v>975</v>
      </c>
      <c r="P14" s="20"/>
      <c r="Q14" s="70" t="s">
        <v>108</v>
      </c>
      <c r="R14" s="3"/>
    </row>
    <row r="15" spans="1:18">
      <c r="A15" s="14"/>
      <c r="B15" s="9"/>
      <c r="C15" s="10" t="str">
        <f t="shared" si="0"/>
        <v>MR QUESTION</v>
      </c>
      <c r="D15" s="9"/>
      <c r="E15" s="9" t="str">
        <f t="shared" si="1"/>
        <v>TOM WAYLAND</v>
      </c>
      <c r="F15" s="9"/>
      <c r="G15" s="3"/>
      <c r="H15" s="3"/>
      <c r="I15" s="36" t="s">
        <v>606</v>
      </c>
      <c r="J15" s="3"/>
      <c r="K15" s="2" t="s">
        <v>58</v>
      </c>
      <c r="L15" s="3"/>
      <c r="M15" s="8"/>
      <c r="N15" s="8"/>
      <c r="O15" s="71" t="s">
        <v>135</v>
      </c>
      <c r="P15" s="20"/>
      <c r="Q15" s="70" t="s">
        <v>79</v>
      </c>
      <c r="R15" s="3"/>
    </row>
    <row r="16" spans="1:18">
      <c r="A16" s="14"/>
      <c r="B16" s="9"/>
      <c r="C16" s="10" t="str">
        <f t="shared" si="0"/>
        <v>COLTON</v>
      </c>
      <c r="D16" s="9"/>
      <c r="E16" s="9" t="str">
        <f t="shared" si="1"/>
        <v>JASON GRIFFITH</v>
      </c>
      <c r="F16" s="9"/>
      <c r="G16" s="3"/>
      <c r="H16" s="3"/>
      <c r="I16" s="36" t="s">
        <v>49</v>
      </c>
      <c r="J16" s="3"/>
      <c r="K16" s="3" t="s">
        <v>23</v>
      </c>
      <c r="L16" s="3"/>
      <c r="M16" s="8"/>
      <c r="N16" s="8"/>
      <c r="O16" s="71" t="s">
        <v>126</v>
      </c>
      <c r="P16" s="20"/>
      <c r="Q16" s="70" t="s">
        <v>127</v>
      </c>
      <c r="R16" s="3"/>
    </row>
    <row r="17" spans="1:18">
      <c r="A17" s="14"/>
      <c r="B17" s="9"/>
      <c r="C17" s="10" t="str">
        <f t="shared" si="0"/>
        <v>BOBBY</v>
      </c>
      <c r="D17" s="9"/>
      <c r="E17" s="9" t="str">
        <f t="shared" si="1"/>
        <v>ALLEN WINTER</v>
      </c>
      <c r="F17" s="9"/>
      <c r="G17" s="3"/>
      <c r="H17" s="3"/>
      <c r="I17" s="36" t="s">
        <v>164</v>
      </c>
      <c r="J17" s="3"/>
      <c r="K17" s="2" t="s">
        <v>607</v>
      </c>
      <c r="L17" s="3"/>
      <c r="M17" s="8"/>
      <c r="N17" s="8"/>
      <c r="O17" s="36" t="s">
        <v>124</v>
      </c>
      <c r="P17" s="20"/>
      <c r="Q17" s="70" t="s">
        <v>113</v>
      </c>
      <c r="R17" s="3"/>
    </row>
    <row r="18" spans="1:18">
      <c r="A18" s="14"/>
      <c r="B18" s="9"/>
      <c r="C18" s="10" t="str">
        <f t="shared" si="0"/>
        <v>TWO TONE TONY</v>
      </c>
      <c r="D18" s="9"/>
      <c r="E18" s="9" t="str">
        <f t="shared" si="1"/>
        <v>GIANNI MATRAGRANO</v>
      </c>
      <c r="F18" s="9"/>
      <c r="G18" s="3"/>
      <c r="H18" s="3"/>
      <c r="I18" s="8" t="s">
        <v>48</v>
      </c>
      <c r="J18" s="3"/>
      <c r="K18" s="31" t="s">
        <v>32</v>
      </c>
      <c r="L18" s="3"/>
      <c r="M18" s="8"/>
      <c r="N18" s="8"/>
      <c r="O18" s="36" t="s">
        <v>125</v>
      </c>
      <c r="P18" s="20"/>
      <c r="Q18" s="70" t="s">
        <v>108</v>
      </c>
      <c r="R18" s="3"/>
    </row>
    <row r="19" spans="1:18">
      <c r="A19" s="14"/>
      <c r="B19" s="9"/>
      <c r="C19" s="10" t="str">
        <f t="shared" si="0"/>
        <v>CHAMELI</v>
      </c>
      <c r="D19" s="9"/>
      <c r="E19" s="9" t="str">
        <f t="shared" si="1"/>
        <v>SIMONA BERMAN</v>
      </c>
      <c r="F19" s="9"/>
      <c r="G19" s="3"/>
      <c r="H19" s="3"/>
      <c r="I19" s="36" t="s">
        <v>19</v>
      </c>
      <c r="J19" s="3"/>
      <c r="K19" s="24" t="s">
        <v>20</v>
      </c>
      <c r="L19" s="3"/>
      <c r="M19" s="8"/>
      <c r="N19" s="8"/>
      <c r="O19" s="21" t="s">
        <v>93</v>
      </c>
      <c r="P19" s="20"/>
      <c r="Q19" s="70" t="s">
        <v>94</v>
      </c>
      <c r="R19" s="3"/>
    </row>
    <row r="20" spans="1:18">
      <c r="A20" s="14"/>
      <c r="B20" s="9"/>
      <c r="C20" s="10" t="str">
        <f t="shared" si="0"/>
        <v>NICOLO</v>
      </c>
      <c r="D20" s="9"/>
      <c r="E20" s="9" t="str">
        <f t="shared" si="1"/>
        <v>ROBB MOREIRA</v>
      </c>
      <c r="F20" s="9"/>
      <c r="G20" s="3"/>
      <c r="H20" s="3"/>
      <c r="I20" s="8" t="s">
        <v>65</v>
      </c>
      <c r="J20" s="3"/>
      <c r="K20" s="31" t="s">
        <v>6</v>
      </c>
      <c r="L20" s="3"/>
      <c r="M20" s="8"/>
      <c r="N20" s="8"/>
      <c r="O20" s="21" t="s">
        <v>141</v>
      </c>
      <c r="P20" s="3"/>
      <c r="Q20" s="3" t="s">
        <v>117</v>
      </c>
      <c r="R20" s="3"/>
    </row>
    <row r="21" spans="1:18">
      <c r="A21" s="14"/>
      <c r="B21" s="9"/>
      <c r="C21" s="10" t="str">
        <f t="shared" si="0"/>
        <v>ANGELO</v>
      </c>
      <c r="D21" s="9"/>
      <c r="E21" s="9" t="str">
        <f t="shared" si="1"/>
        <v>TOM WAYLAND</v>
      </c>
      <c r="F21" s="9"/>
      <c r="G21" s="3"/>
      <c r="H21" s="3"/>
      <c r="I21" s="8" t="s">
        <v>64</v>
      </c>
      <c r="J21" s="3"/>
      <c r="K21" s="31" t="s">
        <v>58</v>
      </c>
      <c r="L21" s="3"/>
      <c r="M21" s="8"/>
      <c r="N21" s="8"/>
      <c r="O21" s="21" t="s">
        <v>140</v>
      </c>
      <c r="P21" s="3"/>
      <c r="Q21" s="3" t="s">
        <v>120</v>
      </c>
      <c r="R21" s="3"/>
    </row>
    <row r="22" spans="1:18">
      <c r="A22" s="14"/>
      <c r="B22" s="9"/>
      <c r="C22" s="10" t="str">
        <f t="shared" si="0"/>
        <v>NATHAN</v>
      </c>
      <c r="D22" s="9"/>
      <c r="E22" s="9" t="str">
        <f t="shared" si="1"/>
        <v>PETE ZARUSTICA</v>
      </c>
      <c r="F22" s="9"/>
      <c r="G22" s="3"/>
      <c r="H22" s="3"/>
      <c r="I22" s="36" t="s">
        <v>60</v>
      </c>
      <c r="J22" s="3"/>
      <c r="K22" s="31" t="s">
        <v>26</v>
      </c>
      <c r="L22" s="3"/>
      <c r="M22" s="8"/>
      <c r="N22" s="8"/>
      <c r="O22" s="21" t="s">
        <v>136</v>
      </c>
      <c r="P22" s="3"/>
      <c r="Q22" s="3" t="s">
        <v>120</v>
      </c>
      <c r="R22" s="3"/>
    </row>
    <row r="23" spans="1:18">
      <c r="A23" s="14"/>
      <c r="B23" s="9"/>
      <c r="C23" s="10" t="str">
        <f t="shared" si="0"/>
        <v>ERIC</v>
      </c>
      <c r="D23" s="9"/>
      <c r="E23" s="9" t="str">
        <f t="shared" si="1"/>
        <v>TOM WAYLAND</v>
      </c>
      <c r="F23" s="9"/>
      <c r="G23" s="3"/>
      <c r="H23" s="3"/>
      <c r="I23" s="8" t="s">
        <v>61</v>
      </c>
      <c r="J23" s="3"/>
      <c r="K23" s="31" t="s">
        <v>58</v>
      </c>
      <c r="L23" s="3"/>
      <c r="M23" s="8"/>
      <c r="N23" s="8"/>
      <c r="O23" s="21" t="s">
        <v>137</v>
      </c>
      <c r="P23" s="3"/>
      <c r="Q23" s="3" t="s">
        <v>79</v>
      </c>
      <c r="R23" s="3"/>
    </row>
    <row r="24" spans="1:18">
      <c r="A24" s="14"/>
      <c r="B24" s="9"/>
      <c r="C24" s="10" t="str">
        <f t="shared" si="0"/>
        <v/>
      </c>
      <c r="D24" s="9"/>
      <c r="E24" s="9"/>
      <c r="F24" s="9"/>
      <c r="G24" s="3"/>
      <c r="H24" s="3"/>
      <c r="I24" s="8"/>
      <c r="J24" s="3"/>
      <c r="K24" s="25"/>
      <c r="L24" s="3"/>
      <c r="M24" s="8"/>
      <c r="N24" s="8"/>
      <c r="O24" s="21"/>
      <c r="P24" s="3"/>
      <c r="Q24" s="3"/>
      <c r="R24" s="3"/>
    </row>
    <row r="25" spans="1:18">
      <c r="A25" s="14"/>
      <c r="B25" s="11"/>
      <c r="C25" s="12"/>
      <c r="D25" s="11"/>
      <c r="E25" s="11"/>
      <c r="F25" s="11"/>
      <c r="G25" s="3"/>
      <c r="H25" s="3"/>
      <c r="I25" s="8"/>
      <c r="J25" s="3"/>
      <c r="K25" s="25"/>
      <c r="L25" s="3"/>
      <c r="M25" s="8"/>
      <c r="N25" s="8"/>
      <c r="O25" s="21"/>
      <c r="P25" s="3"/>
      <c r="Q25" s="3"/>
      <c r="R25" s="3"/>
    </row>
    <row r="26" spans="1:18">
      <c r="A26" s="14"/>
      <c r="B26" s="9"/>
      <c r="C26" s="10"/>
      <c r="D26" s="9"/>
      <c r="E26" s="9"/>
      <c r="F26" s="9"/>
      <c r="G26" s="3"/>
      <c r="H26" s="3"/>
      <c r="I26" s="8"/>
      <c r="J26" s="3"/>
      <c r="K26" s="25"/>
      <c r="L26" s="3"/>
      <c r="M26" s="8"/>
      <c r="N26" s="8"/>
      <c r="O26" s="21"/>
      <c r="P26" s="3"/>
      <c r="Q26" s="3"/>
      <c r="R26" s="3"/>
    </row>
    <row r="27" spans="1:18">
      <c r="A27" s="14"/>
      <c r="B27" s="150" t="str">
        <f>UPPER(H27)</f>
        <v>VOICE</v>
      </c>
      <c r="C27" s="141"/>
      <c r="D27" s="141"/>
      <c r="E27" s="141"/>
      <c r="F27" s="141"/>
      <c r="G27" s="18"/>
      <c r="H27" s="167" t="s">
        <v>157</v>
      </c>
      <c r="I27" s="141"/>
      <c r="J27" s="141"/>
      <c r="K27" s="141"/>
      <c r="L27" s="141"/>
      <c r="M27" s="18"/>
      <c r="N27" s="149" t="s">
        <v>777</v>
      </c>
      <c r="O27" s="141"/>
      <c r="P27" s="141"/>
      <c r="Q27" s="141"/>
      <c r="R27" s="141"/>
    </row>
    <row r="28" spans="1:18">
      <c r="A28" s="14"/>
      <c r="B28" s="9"/>
      <c r="C28" s="10" t="str">
        <f t="shared" ref="C28:C33" si="2">UPPER(I28)</f>
        <v>OTHER VOICES</v>
      </c>
      <c r="D28" s="9"/>
      <c r="E28" s="9" t="str">
        <f t="shared" ref="E28:E34" si="3">UPPER(K28)</f>
        <v>JENNY YOKOBORI</v>
      </c>
      <c r="F28" s="9"/>
      <c r="G28" s="3"/>
      <c r="H28" s="3"/>
      <c r="I28" s="8" t="s">
        <v>165</v>
      </c>
      <c r="J28" s="3"/>
      <c r="K28" s="14" t="s">
        <v>12</v>
      </c>
      <c r="L28" s="3"/>
      <c r="M28" s="8"/>
      <c r="N28" s="8"/>
      <c r="O28" s="21" t="s">
        <v>782</v>
      </c>
      <c r="P28" s="3"/>
      <c r="Q28" s="3" t="s">
        <v>113</v>
      </c>
      <c r="R28" s="3"/>
    </row>
    <row r="29" spans="1:18">
      <c r="A29" s="14"/>
      <c r="B29" s="9"/>
      <c r="C29" s="10" t="str">
        <f t="shared" si="2"/>
        <v/>
      </c>
      <c r="D29" s="9"/>
      <c r="E29" s="9" t="str">
        <f t="shared" si="3"/>
        <v>LUCAS SCHUNEMAN</v>
      </c>
      <c r="F29" s="9"/>
      <c r="G29" s="3"/>
      <c r="H29" s="3"/>
      <c r="I29" s="8"/>
      <c r="J29" s="3"/>
      <c r="K29" s="14" t="s">
        <v>4</v>
      </c>
      <c r="L29" s="3"/>
      <c r="M29" s="8"/>
      <c r="N29" s="8"/>
      <c r="O29" s="21"/>
      <c r="P29" s="3"/>
      <c r="Q29" s="3" t="s">
        <v>100</v>
      </c>
      <c r="R29" s="3"/>
    </row>
    <row r="30" spans="1:18">
      <c r="A30" s="14"/>
      <c r="B30" s="9"/>
      <c r="C30" s="10" t="str">
        <f t="shared" si="2"/>
        <v/>
      </c>
      <c r="D30" s="9"/>
      <c r="E30" s="9" t="str">
        <f t="shared" si="3"/>
        <v>JUSTIS BOLDING</v>
      </c>
      <c r="F30" s="9"/>
      <c r="G30" s="3"/>
      <c r="H30" s="3"/>
      <c r="I30" s="8"/>
      <c r="J30" s="3"/>
      <c r="K30" s="14" t="s">
        <v>45</v>
      </c>
      <c r="L30" s="3"/>
      <c r="M30" s="8"/>
      <c r="N30" s="8"/>
      <c r="O30" s="21"/>
      <c r="P30" s="3"/>
      <c r="Q30" s="3" t="s">
        <v>127</v>
      </c>
      <c r="R30" s="3"/>
    </row>
    <row r="31" spans="1:18">
      <c r="A31" s="14"/>
      <c r="B31" s="9"/>
      <c r="C31" s="10" t="str">
        <f t="shared" si="2"/>
        <v/>
      </c>
      <c r="D31" s="9"/>
      <c r="E31" s="9" t="str">
        <f t="shared" si="3"/>
        <v>OLIVIA VIDAS</v>
      </c>
      <c r="F31" s="9"/>
      <c r="G31" s="3"/>
      <c r="H31" s="3"/>
      <c r="I31" s="8"/>
      <c r="J31" s="3"/>
      <c r="K31" s="22" t="s">
        <v>8</v>
      </c>
      <c r="L31" s="3"/>
      <c r="M31" s="8"/>
      <c r="N31" s="8"/>
      <c r="O31" s="21"/>
      <c r="P31" s="3"/>
      <c r="Q31" s="3" t="s">
        <v>79</v>
      </c>
      <c r="R31" s="3"/>
    </row>
    <row r="32" spans="1:18">
      <c r="A32" s="14"/>
      <c r="B32" s="9"/>
      <c r="C32" s="10" t="str">
        <f t="shared" si="2"/>
        <v/>
      </c>
      <c r="D32" s="9"/>
      <c r="E32" s="9" t="str">
        <f t="shared" si="3"/>
        <v>RYAN ANDES</v>
      </c>
      <c r="F32" s="9"/>
      <c r="G32" s="3"/>
      <c r="H32" s="3"/>
      <c r="I32" s="8"/>
      <c r="J32" s="3"/>
      <c r="K32" s="23" t="s">
        <v>162</v>
      </c>
      <c r="L32" s="3"/>
      <c r="M32" s="8"/>
      <c r="N32" s="8"/>
      <c r="O32" s="21"/>
      <c r="P32" s="3"/>
      <c r="Q32" s="3"/>
      <c r="R32" s="3"/>
    </row>
    <row r="33" spans="1:18">
      <c r="A33" s="14"/>
      <c r="B33" s="9"/>
      <c r="C33" s="10" t="str">
        <f t="shared" si="2"/>
        <v/>
      </c>
      <c r="D33" s="9"/>
      <c r="E33" s="9" t="str">
        <f t="shared" si="3"/>
        <v/>
      </c>
      <c r="F33" s="9"/>
      <c r="G33" s="3"/>
      <c r="H33" s="3"/>
      <c r="I33" s="8"/>
      <c r="J33" s="3"/>
      <c r="K33" s="14"/>
      <c r="L33" s="3"/>
      <c r="M33" s="8"/>
      <c r="N33" s="8"/>
      <c r="O33" s="21"/>
      <c r="P33" s="3"/>
      <c r="Q33" s="3"/>
      <c r="R33" s="3"/>
    </row>
    <row r="34" spans="1:18">
      <c r="A34" s="14"/>
      <c r="B34" s="11" t="str">
        <f t="shared" ref="B34:C34" si="4">UPPER(H34)</f>
        <v/>
      </c>
      <c r="C34" s="12" t="str">
        <f t="shared" si="4"/>
        <v/>
      </c>
      <c r="D34" s="11"/>
      <c r="E34" s="11" t="str">
        <f t="shared" si="3"/>
        <v/>
      </c>
      <c r="F34" s="11"/>
      <c r="G34" s="3"/>
      <c r="H34" s="3"/>
      <c r="I34" s="8"/>
      <c r="J34" s="3"/>
      <c r="K34" s="13"/>
      <c r="L34" s="3"/>
      <c r="M34" s="8"/>
      <c r="N34" s="8"/>
      <c r="O34" s="21"/>
      <c r="P34" s="3"/>
      <c r="Q34" s="3"/>
      <c r="R34" s="3"/>
    </row>
    <row r="35" spans="1:18">
      <c r="A35" s="14"/>
      <c r="B35" s="9"/>
      <c r="C35" s="10"/>
      <c r="D35" s="9"/>
      <c r="E35" s="9"/>
      <c r="F35" s="9"/>
      <c r="G35" s="3"/>
      <c r="H35" s="3"/>
      <c r="I35" s="8"/>
      <c r="J35" s="3"/>
      <c r="K35" s="3"/>
      <c r="L35" s="3"/>
      <c r="M35" s="8"/>
      <c r="N35" s="8"/>
      <c r="O35" s="21"/>
      <c r="P35" s="3"/>
      <c r="Q35" s="3"/>
      <c r="R35" s="3"/>
    </row>
    <row r="36" spans="1:18">
      <c r="A36" s="14"/>
      <c r="B36" s="9"/>
      <c r="C36" s="10" t="str">
        <f t="shared" ref="C36:C49" si="5">UPPER(I36)</f>
        <v>DIRECTOR</v>
      </c>
      <c r="D36" s="9"/>
      <c r="E36" s="9" t="str">
        <f t="shared" ref="E36:E49" si="6">UPPER(K36)</f>
        <v>JOOGONG MAENG</v>
      </c>
      <c r="F36" s="9"/>
      <c r="G36" s="3"/>
      <c r="H36" s="3"/>
      <c r="I36" s="8" t="s">
        <v>168</v>
      </c>
      <c r="J36" s="3"/>
      <c r="K36" s="3" t="s">
        <v>148</v>
      </c>
      <c r="L36" s="3"/>
      <c r="M36" s="8"/>
      <c r="N36" s="8"/>
      <c r="O36" s="8" t="s">
        <v>783</v>
      </c>
      <c r="P36" s="3"/>
      <c r="Q36" s="3" t="s">
        <v>769</v>
      </c>
      <c r="R36" s="3"/>
    </row>
    <row r="37" spans="1:18">
      <c r="A37" s="14"/>
      <c r="B37" s="9"/>
      <c r="C37" s="10" t="str">
        <f t="shared" si="5"/>
        <v/>
      </c>
      <c r="D37" s="9"/>
      <c r="E37" s="9" t="str">
        <f t="shared" si="6"/>
        <v/>
      </c>
      <c r="F37" s="9"/>
      <c r="G37" s="3"/>
      <c r="H37" s="3"/>
      <c r="I37" s="8"/>
      <c r="J37" s="3"/>
      <c r="K37" s="13"/>
      <c r="L37" s="3"/>
      <c r="M37" s="8"/>
      <c r="N37" s="8"/>
      <c r="O37" s="3"/>
      <c r="P37" s="3"/>
      <c r="Q37" s="3"/>
      <c r="R37" s="3"/>
    </row>
    <row r="38" spans="1:18">
      <c r="A38" s="14"/>
      <c r="B38" s="9"/>
      <c r="C38" s="10" t="str">
        <f t="shared" si="5"/>
        <v>CO-DIRECTOR</v>
      </c>
      <c r="D38" s="9"/>
      <c r="E38" s="9" t="str">
        <f t="shared" si="6"/>
        <v>TAEWOOK KOH</v>
      </c>
      <c r="F38" s="9"/>
      <c r="G38" s="3"/>
      <c r="H38" s="3"/>
      <c r="I38" s="8" t="s">
        <v>169</v>
      </c>
      <c r="J38" s="3"/>
      <c r="K38" s="13" t="s">
        <v>149</v>
      </c>
      <c r="L38" s="3"/>
      <c r="M38" s="8"/>
      <c r="N38" s="8"/>
      <c r="O38" s="8" t="s">
        <v>784</v>
      </c>
      <c r="P38" s="3"/>
      <c r="Q38" s="3" t="s">
        <v>770</v>
      </c>
      <c r="R38" s="3"/>
    </row>
    <row r="39" spans="1:18">
      <c r="A39" s="14"/>
      <c r="B39" s="9"/>
      <c r="C39" s="10" t="str">
        <f t="shared" si="5"/>
        <v/>
      </c>
      <c r="D39" s="9"/>
      <c r="E39" s="9" t="str">
        <f t="shared" si="6"/>
        <v/>
      </c>
      <c r="F39" s="9"/>
      <c r="G39" s="3"/>
      <c r="H39" s="3"/>
      <c r="I39" s="8"/>
      <c r="J39" s="3"/>
      <c r="K39" s="13"/>
      <c r="L39" s="3"/>
      <c r="M39" s="8"/>
      <c r="N39" s="8"/>
      <c r="O39" s="3"/>
      <c r="P39" s="3"/>
      <c r="Q39" s="3"/>
      <c r="R39" s="3"/>
    </row>
    <row r="40" spans="1:18">
      <c r="A40" s="14"/>
      <c r="B40" s="9"/>
      <c r="C40" s="10" t="str">
        <f t="shared" si="5"/>
        <v>ASSISTANT DIRECTOR</v>
      </c>
      <c r="D40" s="9"/>
      <c r="E40" s="9" t="str">
        <f t="shared" si="6"/>
        <v>JEEHYUN KIM</v>
      </c>
      <c r="F40" s="9"/>
      <c r="G40" s="3"/>
      <c r="H40" s="3"/>
      <c r="I40" s="8" t="s">
        <v>170</v>
      </c>
      <c r="J40" s="3"/>
      <c r="K40" s="13" t="s">
        <v>150</v>
      </c>
      <c r="L40" s="3"/>
      <c r="M40" s="8"/>
      <c r="N40" s="8"/>
      <c r="O40" s="8" t="s">
        <v>785</v>
      </c>
      <c r="P40" s="3"/>
      <c r="Q40" s="3" t="s">
        <v>771</v>
      </c>
      <c r="R40" s="3"/>
    </row>
    <row r="41" spans="1:18">
      <c r="A41" s="14"/>
      <c r="B41" s="9"/>
      <c r="C41" s="10" t="str">
        <f t="shared" si="5"/>
        <v/>
      </c>
      <c r="D41" s="9"/>
      <c r="E41" s="9" t="str">
        <f t="shared" si="6"/>
        <v/>
      </c>
      <c r="F41" s="9"/>
      <c r="G41" s="3"/>
      <c r="H41" s="3"/>
      <c r="I41" s="8"/>
      <c r="J41" s="3"/>
      <c r="K41" s="13"/>
      <c r="L41" s="3"/>
      <c r="M41" s="8"/>
      <c r="N41" s="8"/>
      <c r="O41" s="3"/>
      <c r="P41" s="3"/>
      <c r="Q41" s="3"/>
      <c r="R41" s="3"/>
    </row>
    <row r="42" spans="1:18">
      <c r="A42" s="14"/>
      <c r="B42" s="9"/>
      <c r="C42" s="10" t="str">
        <f t="shared" si="5"/>
        <v>STORY SUPERVISOR</v>
      </c>
      <c r="D42" s="9"/>
      <c r="E42" s="9" t="str">
        <f t="shared" si="6"/>
        <v>TAEWOOK KOH</v>
      </c>
      <c r="F42" s="9"/>
      <c r="G42" s="3"/>
      <c r="H42" s="3"/>
      <c r="I42" s="8" t="s">
        <v>171</v>
      </c>
      <c r="J42" s="3"/>
      <c r="K42" s="13" t="s">
        <v>149</v>
      </c>
      <c r="L42" s="3"/>
      <c r="M42" s="3"/>
      <c r="N42" s="3"/>
      <c r="O42" s="8" t="s">
        <v>786</v>
      </c>
      <c r="P42" s="3"/>
      <c r="Q42" s="3" t="s">
        <v>770</v>
      </c>
      <c r="R42" s="3"/>
    </row>
    <row r="43" spans="1:18">
      <c r="A43" s="14"/>
      <c r="B43" s="9"/>
      <c r="C43" s="10" t="str">
        <f t="shared" si="5"/>
        <v/>
      </c>
      <c r="D43" s="9"/>
      <c r="E43" s="9" t="str">
        <f t="shared" si="6"/>
        <v>JEEHYUN KIM</v>
      </c>
      <c r="F43" s="9"/>
      <c r="G43" s="3"/>
      <c r="H43" s="3"/>
      <c r="I43" s="8"/>
      <c r="J43" s="3"/>
      <c r="K43" s="13" t="s">
        <v>150</v>
      </c>
      <c r="L43" s="3"/>
      <c r="M43" s="8"/>
      <c r="N43" s="8"/>
      <c r="O43" s="3"/>
      <c r="P43" s="3"/>
      <c r="Q43" s="3" t="s">
        <v>771</v>
      </c>
      <c r="R43" s="3"/>
    </row>
    <row r="44" spans="1:18">
      <c r="A44" s="14"/>
      <c r="B44" s="9"/>
      <c r="C44" s="10" t="str">
        <f t="shared" si="5"/>
        <v/>
      </c>
      <c r="D44" s="9"/>
      <c r="E44" s="9" t="str">
        <f t="shared" si="6"/>
        <v>JIWON OH</v>
      </c>
      <c r="F44" s="9"/>
      <c r="G44" s="3"/>
      <c r="H44" s="3"/>
      <c r="I44" s="8"/>
      <c r="J44" s="3"/>
      <c r="K44" s="13" t="s">
        <v>151</v>
      </c>
      <c r="L44" s="3"/>
      <c r="M44" s="8"/>
      <c r="N44" s="8"/>
      <c r="O44" s="3"/>
      <c r="P44" s="3"/>
      <c r="Q44" s="3" t="s">
        <v>774</v>
      </c>
      <c r="R44" s="3"/>
    </row>
    <row r="45" spans="1:18">
      <c r="A45" s="14"/>
      <c r="B45" s="9"/>
      <c r="C45" s="10" t="str">
        <f t="shared" si="5"/>
        <v/>
      </c>
      <c r="D45" s="9"/>
      <c r="E45" s="9" t="str">
        <f t="shared" si="6"/>
        <v/>
      </c>
      <c r="F45" s="9"/>
      <c r="G45" s="3"/>
      <c r="H45" s="3"/>
      <c r="I45" s="8"/>
      <c r="J45" s="3"/>
      <c r="K45" s="13"/>
      <c r="L45" s="3"/>
      <c r="M45" s="8"/>
      <c r="N45" s="8"/>
      <c r="O45" s="3"/>
      <c r="P45" s="3"/>
      <c r="Q45" s="3"/>
      <c r="R45" s="3"/>
    </row>
    <row r="46" spans="1:18">
      <c r="A46" s="14"/>
      <c r="B46" s="9"/>
      <c r="C46" s="10" t="str">
        <f t="shared" si="5"/>
        <v>STORY ARTIST</v>
      </c>
      <c r="D46" s="9"/>
      <c r="E46" s="9" t="str">
        <f t="shared" si="6"/>
        <v>WON HWANG</v>
      </c>
      <c r="F46" s="9"/>
      <c r="G46" s="3"/>
      <c r="H46" s="3"/>
      <c r="I46" s="8" t="s">
        <v>172</v>
      </c>
      <c r="J46" s="3"/>
      <c r="K46" s="13" t="s">
        <v>173</v>
      </c>
      <c r="L46" s="3"/>
      <c r="M46" s="8"/>
      <c r="N46" s="8"/>
      <c r="O46" s="8" t="s">
        <v>787</v>
      </c>
      <c r="P46" s="3"/>
      <c r="Q46" s="3" t="s">
        <v>788</v>
      </c>
      <c r="R46" s="3"/>
    </row>
    <row r="47" spans="1:18">
      <c r="A47" s="14"/>
      <c r="B47" s="9"/>
      <c r="C47" s="10" t="str">
        <f t="shared" si="5"/>
        <v/>
      </c>
      <c r="D47" s="9"/>
      <c r="E47" s="9" t="str">
        <f t="shared" si="6"/>
        <v/>
      </c>
      <c r="F47" s="9"/>
      <c r="G47" s="3"/>
      <c r="H47" s="3"/>
      <c r="I47" s="8"/>
      <c r="J47" s="3"/>
      <c r="K47" s="13"/>
      <c r="L47" s="3"/>
      <c r="M47" s="3"/>
      <c r="N47" s="3"/>
      <c r="O47" s="8"/>
      <c r="P47" s="3"/>
      <c r="Q47" s="3"/>
      <c r="R47" s="3"/>
    </row>
    <row r="48" spans="1:18">
      <c r="A48" s="14"/>
      <c r="B48" s="9"/>
      <c r="C48" s="10" t="str">
        <f t="shared" si="5"/>
        <v>STORY EDITOR</v>
      </c>
      <c r="D48" s="9"/>
      <c r="E48" s="9" t="str">
        <f t="shared" si="6"/>
        <v>JAKE GOLDMAN</v>
      </c>
      <c r="F48" s="9"/>
      <c r="G48" s="3"/>
      <c r="H48" s="3"/>
      <c r="I48" s="8" t="s">
        <v>174</v>
      </c>
      <c r="J48" s="3"/>
      <c r="K48" s="13" t="s">
        <v>155</v>
      </c>
      <c r="L48" s="3"/>
      <c r="M48" s="3"/>
      <c r="N48" s="3"/>
      <c r="O48" s="8" t="s">
        <v>789</v>
      </c>
      <c r="P48" s="3"/>
      <c r="Q48" s="3" t="s">
        <v>155</v>
      </c>
      <c r="R48" s="3"/>
    </row>
    <row r="49" spans="1:18">
      <c r="A49" s="14"/>
      <c r="B49" s="9"/>
      <c r="C49" s="10" t="str">
        <f t="shared" si="5"/>
        <v>WRITTEN BY</v>
      </c>
      <c r="D49" s="9"/>
      <c r="E49" s="9" t="str">
        <f t="shared" si="6"/>
        <v>NICK WATSON</v>
      </c>
      <c r="F49" s="9"/>
      <c r="G49" s="3"/>
      <c r="H49" s="3"/>
      <c r="I49" s="8" t="s">
        <v>154</v>
      </c>
      <c r="J49" s="3"/>
      <c r="K49" s="2" t="s">
        <v>608</v>
      </c>
      <c r="L49" s="3"/>
      <c r="M49" s="3"/>
      <c r="N49" s="3"/>
      <c r="O49" s="8" t="s">
        <v>790</v>
      </c>
      <c r="P49" s="3"/>
      <c r="Q49" s="2" t="s">
        <v>608</v>
      </c>
      <c r="R49" s="3"/>
    </row>
    <row r="50" spans="1:18">
      <c r="A50" s="14"/>
      <c r="B50" s="9"/>
      <c r="C50" s="10"/>
      <c r="D50" s="9"/>
      <c r="E50" s="9"/>
      <c r="F50" s="9"/>
      <c r="G50" s="3"/>
      <c r="H50" s="3"/>
      <c r="I50" s="8"/>
      <c r="J50" s="3"/>
      <c r="K50" s="13"/>
      <c r="L50" s="3"/>
      <c r="M50" s="3"/>
      <c r="N50" s="3"/>
      <c r="O50" s="21"/>
      <c r="P50" s="3"/>
      <c r="Q50" s="3"/>
      <c r="R50" s="3"/>
    </row>
    <row r="51" spans="1:18">
      <c r="A51" s="14"/>
      <c r="B51" s="26"/>
      <c r="C51" s="26"/>
      <c r="D51" s="26"/>
      <c r="E51" s="26"/>
      <c r="F51" s="26"/>
      <c r="G51" s="3"/>
      <c r="H51" s="7"/>
      <c r="I51" s="8"/>
      <c r="J51" s="7"/>
      <c r="K51" s="7"/>
      <c r="L51" s="7"/>
      <c r="M51" s="3"/>
      <c r="N51" s="3"/>
      <c r="O51" s="21"/>
      <c r="P51" s="3"/>
      <c r="Q51" s="3"/>
      <c r="R51" s="3"/>
    </row>
    <row r="52" spans="1:18">
      <c r="A52" s="14"/>
      <c r="B52" s="6"/>
      <c r="C52" s="6"/>
      <c r="D52" s="6"/>
      <c r="E52" s="6"/>
      <c r="F52" s="6"/>
      <c r="G52" s="3"/>
      <c r="H52" s="7"/>
      <c r="I52" s="8"/>
      <c r="J52" s="7"/>
      <c r="K52" s="7"/>
      <c r="L52" s="7"/>
      <c r="M52" s="3"/>
      <c r="N52" s="3"/>
      <c r="O52" s="21"/>
      <c r="P52" s="3"/>
      <c r="Q52" s="3"/>
      <c r="R52" s="3"/>
    </row>
    <row r="53" spans="1:18">
      <c r="A53" s="14"/>
      <c r="B53" s="150" t="str">
        <f t="shared" ref="B53:B54" si="7">UPPER(H53)</f>
        <v>STORYBOARD</v>
      </c>
      <c r="C53" s="141"/>
      <c r="D53" s="141"/>
      <c r="E53" s="141"/>
      <c r="F53" s="141"/>
      <c r="G53" s="28"/>
      <c r="H53" s="167" t="s">
        <v>175</v>
      </c>
      <c r="I53" s="141"/>
      <c r="J53" s="141"/>
      <c r="K53" s="141"/>
      <c r="L53" s="141"/>
      <c r="M53" s="28"/>
      <c r="N53" s="149" t="s">
        <v>791</v>
      </c>
      <c r="O53" s="141"/>
      <c r="P53" s="141"/>
      <c r="Q53" s="141"/>
      <c r="R53" s="141"/>
    </row>
    <row r="54" spans="1:18">
      <c r="A54" s="14"/>
      <c r="B54" s="146" t="str">
        <f t="shared" si="7"/>
        <v>STUDIO GOINDOL INC.</v>
      </c>
      <c r="C54" s="141"/>
      <c r="D54" s="141"/>
      <c r="E54" s="141"/>
      <c r="F54" s="141"/>
      <c r="G54" s="3"/>
      <c r="H54" s="145" t="s">
        <v>176</v>
      </c>
      <c r="I54" s="141"/>
      <c r="J54" s="141"/>
      <c r="K54" s="141"/>
      <c r="L54" s="141"/>
      <c r="M54" s="3"/>
      <c r="N54" s="145" t="s">
        <v>792</v>
      </c>
      <c r="O54" s="141"/>
      <c r="P54" s="141"/>
      <c r="Q54" s="141"/>
      <c r="R54" s="141"/>
    </row>
    <row r="55" spans="1:18">
      <c r="A55" s="14"/>
      <c r="B55" s="9"/>
      <c r="C55" s="10"/>
      <c r="D55" s="9"/>
      <c r="E55" s="9"/>
      <c r="F55" s="9"/>
      <c r="G55" s="3"/>
      <c r="H55" s="3"/>
      <c r="I55" s="8"/>
      <c r="J55" s="3"/>
      <c r="K55" s="13"/>
      <c r="L55" s="3"/>
      <c r="M55" s="3"/>
      <c r="N55" s="3"/>
      <c r="O55" s="8"/>
      <c r="P55" s="3"/>
      <c r="Q55" s="3"/>
      <c r="R55" s="3"/>
    </row>
    <row r="56" spans="1:18">
      <c r="A56" s="14"/>
      <c r="B56" s="9"/>
      <c r="C56" s="10" t="str">
        <f>UPPER(I56)</f>
        <v>STORYBOARD DIRECTOR</v>
      </c>
      <c r="D56" s="9"/>
      <c r="E56" s="9" t="str">
        <f>UPPER(K56)</f>
        <v>YOUNGKWANG JO</v>
      </c>
      <c r="F56" s="9"/>
      <c r="G56" s="3"/>
      <c r="H56" s="3"/>
      <c r="I56" s="36" t="s">
        <v>177</v>
      </c>
      <c r="J56" s="2"/>
      <c r="K56" s="2" t="s">
        <v>178</v>
      </c>
      <c r="L56" s="3"/>
      <c r="M56" s="3"/>
      <c r="N56" s="3"/>
      <c r="O56" s="8" t="s">
        <v>793</v>
      </c>
      <c r="P56" s="3"/>
      <c r="Q56" s="3" t="s">
        <v>794</v>
      </c>
      <c r="R56" s="3"/>
    </row>
    <row r="57" spans="1:18">
      <c r="A57" s="14"/>
      <c r="B57" s="9"/>
      <c r="C57" s="10"/>
      <c r="D57" s="9"/>
      <c r="E57" s="9"/>
      <c r="F57" s="9"/>
      <c r="G57" s="3"/>
      <c r="H57" s="3"/>
      <c r="I57" s="36"/>
      <c r="J57" s="2"/>
      <c r="K57" s="13"/>
      <c r="L57" s="3"/>
      <c r="M57" s="3"/>
      <c r="N57" s="3"/>
      <c r="O57" s="8"/>
      <c r="P57" s="3"/>
      <c r="Q57" s="3"/>
      <c r="R57" s="3"/>
    </row>
    <row r="58" spans="1:18">
      <c r="A58" s="14"/>
      <c r="B58" s="9"/>
      <c r="C58" s="10" t="str">
        <f t="shared" ref="C58:C59" si="8">UPPER(I58)</f>
        <v>STORYBOARD ARTIST</v>
      </c>
      <c r="D58" s="9"/>
      <c r="E58" s="9" t="str">
        <f t="shared" ref="E58:E60" si="9">UPPER(K58)</f>
        <v>YOUNGKI LEE</v>
      </c>
      <c r="F58" s="9"/>
      <c r="G58" s="3"/>
      <c r="H58" s="3"/>
      <c r="I58" s="36" t="s">
        <v>179</v>
      </c>
      <c r="J58" s="2"/>
      <c r="K58" s="13" t="s">
        <v>609</v>
      </c>
      <c r="L58" s="3"/>
      <c r="M58" s="3"/>
      <c r="N58" s="3"/>
      <c r="O58" s="8" t="s">
        <v>795</v>
      </c>
      <c r="P58" s="3"/>
      <c r="Q58" s="3" t="s">
        <v>953</v>
      </c>
      <c r="R58" s="3"/>
    </row>
    <row r="59" spans="1:18">
      <c r="A59" s="14"/>
      <c r="B59" s="9"/>
      <c r="C59" s="10" t="str">
        <f t="shared" si="8"/>
        <v/>
      </c>
      <c r="D59" s="9"/>
      <c r="E59" s="9" t="str">
        <f t="shared" si="9"/>
        <v/>
      </c>
      <c r="F59" s="9"/>
      <c r="G59" s="3"/>
      <c r="H59" s="3"/>
      <c r="I59" s="8"/>
      <c r="J59" s="3"/>
      <c r="K59" s="13"/>
      <c r="L59" s="3"/>
      <c r="M59" s="3"/>
      <c r="N59" s="3"/>
      <c r="O59" s="8"/>
      <c r="P59" s="3"/>
      <c r="R59" s="3"/>
    </row>
    <row r="60" spans="1:18">
      <c r="A60" s="14"/>
      <c r="B60" s="11" t="str">
        <f t="shared" ref="B60:C60" si="10">UPPER(H60)</f>
        <v/>
      </c>
      <c r="C60" s="12" t="str">
        <f t="shared" si="10"/>
        <v/>
      </c>
      <c r="D60" s="11"/>
      <c r="E60" s="11" t="str">
        <f t="shared" si="9"/>
        <v/>
      </c>
      <c r="F60" s="11"/>
      <c r="G60" s="3"/>
      <c r="H60" s="3"/>
      <c r="I60" s="8"/>
      <c r="J60" s="3"/>
      <c r="K60" s="13"/>
      <c r="L60" s="3"/>
      <c r="M60" s="3"/>
      <c r="N60" s="3"/>
      <c r="O60" s="21"/>
      <c r="P60" s="3"/>
      <c r="Q60" s="3"/>
      <c r="R60" s="3"/>
    </row>
    <row r="61" spans="1:18">
      <c r="A61" s="14"/>
      <c r="B61" s="9"/>
      <c r="C61" s="10"/>
      <c r="D61" s="9"/>
      <c r="E61" s="9"/>
      <c r="F61" s="9"/>
      <c r="G61" s="3"/>
      <c r="H61" s="3"/>
      <c r="I61" s="8"/>
      <c r="J61" s="3"/>
      <c r="K61" s="3"/>
      <c r="L61" s="3"/>
      <c r="M61" s="8"/>
      <c r="N61" s="3"/>
      <c r="O61" s="21"/>
      <c r="P61" s="3"/>
      <c r="Q61" s="3"/>
      <c r="R61" s="3"/>
    </row>
    <row r="62" spans="1:18">
      <c r="A62" s="14"/>
      <c r="B62" s="9"/>
      <c r="C62" s="10" t="str">
        <f t="shared" ref="C62:C69" si="11">UPPER(I62)</f>
        <v>PRODUCTION MANAGER</v>
      </c>
      <c r="D62" s="9"/>
      <c r="E62" s="9" t="str">
        <f t="shared" ref="E62:E69" si="12">UPPER(K62)</f>
        <v>SEMIN SHIN</v>
      </c>
      <c r="F62" s="9"/>
      <c r="G62" s="3"/>
      <c r="H62" s="3"/>
      <c r="I62" s="8" t="s">
        <v>152</v>
      </c>
      <c r="J62" s="3"/>
      <c r="K62" s="3" t="s">
        <v>153</v>
      </c>
      <c r="L62" s="3"/>
      <c r="M62" s="8"/>
      <c r="N62" s="8"/>
      <c r="O62" s="8" t="s">
        <v>775</v>
      </c>
      <c r="P62" s="3"/>
      <c r="Q62" s="3" t="s">
        <v>776</v>
      </c>
      <c r="R62" s="3"/>
    </row>
    <row r="63" spans="1:18">
      <c r="A63" s="14"/>
      <c r="B63" s="9"/>
      <c r="C63" s="10" t="str">
        <f t="shared" si="11"/>
        <v/>
      </c>
      <c r="D63" s="9"/>
      <c r="E63" s="9" t="str">
        <f t="shared" si="12"/>
        <v/>
      </c>
      <c r="F63" s="9"/>
      <c r="G63" s="3"/>
      <c r="H63" s="3"/>
      <c r="I63" s="8"/>
      <c r="J63" s="3"/>
      <c r="K63" s="3"/>
      <c r="L63" s="3"/>
      <c r="M63" s="8"/>
      <c r="N63" s="8"/>
      <c r="O63" s="8"/>
      <c r="P63" s="3"/>
      <c r="Q63" s="3"/>
      <c r="R63" s="3"/>
    </row>
    <row r="64" spans="1:18">
      <c r="A64" s="14"/>
      <c r="B64" s="9"/>
      <c r="C64" s="10" t="str">
        <f t="shared" si="11"/>
        <v>PRODUCTION COORDINATOR</v>
      </c>
      <c r="D64" s="9"/>
      <c r="E64" s="9" t="str">
        <f t="shared" si="12"/>
        <v>SEHUI JUNG</v>
      </c>
      <c r="F64" s="9"/>
      <c r="G64" s="3"/>
      <c r="H64" s="3"/>
      <c r="I64" s="8" t="s">
        <v>184</v>
      </c>
      <c r="J64" s="3"/>
      <c r="K64" s="3" t="s">
        <v>185</v>
      </c>
      <c r="L64" s="3"/>
      <c r="M64" s="3"/>
      <c r="N64" s="3"/>
      <c r="O64" s="8" t="s">
        <v>800</v>
      </c>
      <c r="P64" s="3"/>
      <c r="Q64" s="3" t="s">
        <v>801</v>
      </c>
      <c r="R64" s="3"/>
    </row>
    <row r="65" spans="1:18">
      <c r="A65" s="14"/>
      <c r="B65" s="9"/>
      <c r="C65" s="10" t="str">
        <f t="shared" si="11"/>
        <v/>
      </c>
      <c r="D65" s="9"/>
      <c r="E65" s="9" t="str">
        <f t="shared" si="12"/>
        <v>CHRISTINA YOONJUNG HAN</v>
      </c>
      <c r="F65" s="9"/>
      <c r="G65" s="3"/>
      <c r="H65" s="3"/>
      <c r="I65" s="8"/>
      <c r="J65" s="3"/>
      <c r="K65" s="3" t="s">
        <v>186</v>
      </c>
      <c r="L65" s="3"/>
      <c r="M65" s="8"/>
      <c r="N65" s="8"/>
      <c r="O65" s="3"/>
      <c r="P65" s="3"/>
      <c r="Q65" s="3" t="s">
        <v>802</v>
      </c>
      <c r="R65" s="3"/>
    </row>
    <row r="66" spans="1:18">
      <c r="A66" s="14"/>
      <c r="B66" s="9"/>
      <c r="C66" s="10" t="str">
        <f t="shared" si="11"/>
        <v/>
      </c>
      <c r="D66" s="9"/>
      <c r="E66" s="9" t="str">
        <f t="shared" si="12"/>
        <v>WOORI KO</v>
      </c>
      <c r="F66" s="9"/>
      <c r="G66" s="3"/>
      <c r="H66" s="3"/>
      <c r="I66" s="8"/>
      <c r="J66" s="3"/>
      <c r="K66" s="3" t="s">
        <v>187</v>
      </c>
      <c r="L66" s="3"/>
      <c r="M66" s="8"/>
      <c r="N66" s="8"/>
      <c r="O66" s="3"/>
      <c r="P66" s="3"/>
      <c r="Q66" s="3" t="s">
        <v>803</v>
      </c>
      <c r="R66" s="3"/>
    </row>
    <row r="67" spans="1:18">
      <c r="A67" s="14"/>
      <c r="B67" s="9"/>
      <c r="C67" s="10" t="str">
        <f t="shared" si="11"/>
        <v/>
      </c>
      <c r="D67" s="9"/>
      <c r="E67" s="9" t="str">
        <f t="shared" si="12"/>
        <v>EUNHA HWANG</v>
      </c>
      <c r="F67" s="9"/>
      <c r="G67" s="3"/>
      <c r="H67" s="3"/>
      <c r="I67" s="8"/>
      <c r="J67" s="3"/>
      <c r="K67" s="3" t="s">
        <v>188</v>
      </c>
      <c r="L67" s="3"/>
      <c r="M67" s="8"/>
      <c r="N67" s="8"/>
      <c r="O67" s="3"/>
      <c r="P67" s="3"/>
      <c r="Q67" s="3" t="s">
        <v>804</v>
      </c>
      <c r="R67" s="3"/>
    </row>
    <row r="68" spans="1:18">
      <c r="A68" s="14"/>
      <c r="B68" s="9"/>
      <c r="C68" s="10" t="str">
        <f t="shared" si="11"/>
        <v/>
      </c>
      <c r="D68" s="9"/>
      <c r="E68" s="9" t="str">
        <f t="shared" si="12"/>
        <v>YEONJAE KANG</v>
      </c>
      <c r="F68" s="9"/>
      <c r="G68" s="3"/>
      <c r="H68" s="3"/>
      <c r="I68" s="8"/>
      <c r="J68" s="3"/>
      <c r="K68" s="3" t="s">
        <v>189</v>
      </c>
      <c r="L68" s="3"/>
      <c r="M68" s="8"/>
      <c r="N68" s="8"/>
      <c r="O68" s="3"/>
      <c r="P68" s="3"/>
      <c r="Q68" s="3" t="s">
        <v>805</v>
      </c>
      <c r="R68" s="3"/>
    </row>
    <row r="69" spans="1:18">
      <c r="A69" s="14"/>
      <c r="B69" s="9"/>
      <c r="C69" s="10" t="str">
        <f t="shared" si="11"/>
        <v/>
      </c>
      <c r="D69" s="9"/>
      <c r="E69" s="9" t="str">
        <f t="shared" si="12"/>
        <v>SKYE YONJI LEE</v>
      </c>
      <c r="F69" s="9"/>
      <c r="G69" s="3"/>
      <c r="H69" s="3"/>
      <c r="I69" s="8"/>
      <c r="J69" s="3"/>
      <c r="K69" s="3" t="s">
        <v>190</v>
      </c>
      <c r="L69" s="3"/>
      <c r="M69" s="8"/>
      <c r="N69" s="8"/>
      <c r="O69" s="3"/>
      <c r="P69" s="3"/>
      <c r="Q69" s="3" t="s">
        <v>806</v>
      </c>
      <c r="R69" s="3"/>
    </row>
    <row r="70" spans="1:18">
      <c r="A70" s="14"/>
      <c r="B70" s="9"/>
      <c r="C70" s="10"/>
      <c r="D70" s="9"/>
      <c r="E70" s="9"/>
      <c r="F70" s="9"/>
      <c r="G70" s="3"/>
      <c r="H70" s="3"/>
      <c r="I70" s="8"/>
      <c r="J70" s="3"/>
      <c r="K70" s="3"/>
      <c r="L70" s="3"/>
      <c r="M70" s="8"/>
      <c r="N70" s="8"/>
      <c r="O70" s="21"/>
      <c r="P70" s="3"/>
      <c r="Q70" s="3"/>
      <c r="R70" s="3"/>
    </row>
    <row r="71" spans="1:18">
      <c r="A71" s="14"/>
      <c r="B71" s="11" t="str">
        <f t="shared" ref="B71:C71" si="13">UPPER(H71)</f>
        <v/>
      </c>
      <c r="C71" s="12" t="str">
        <f t="shared" si="13"/>
        <v/>
      </c>
      <c r="D71" s="11"/>
      <c r="E71" s="11" t="str">
        <f>UPPER(K71)</f>
        <v/>
      </c>
      <c r="F71" s="11"/>
      <c r="G71" s="3"/>
      <c r="H71" s="3"/>
      <c r="I71" s="8"/>
      <c r="J71" s="3"/>
      <c r="K71" s="13"/>
      <c r="L71" s="3"/>
      <c r="M71" s="8"/>
      <c r="N71" s="8"/>
      <c r="O71" s="21"/>
      <c r="P71" s="3"/>
      <c r="Q71" s="3"/>
      <c r="R71" s="3"/>
    </row>
    <row r="72" spans="1:18">
      <c r="A72" s="14"/>
      <c r="B72" s="146"/>
      <c r="C72" s="141"/>
      <c r="D72" s="141"/>
      <c r="E72" s="141"/>
      <c r="F72" s="141"/>
      <c r="G72" s="3"/>
      <c r="H72" s="149"/>
      <c r="I72" s="141"/>
      <c r="J72" s="141"/>
      <c r="K72" s="141"/>
      <c r="L72" s="141"/>
      <c r="M72" s="8"/>
      <c r="N72" s="8"/>
      <c r="O72" s="21"/>
      <c r="P72" s="3"/>
      <c r="Q72" s="3"/>
      <c r="R72" s="3"/>
    </row>
    <row r="73" spans="1:18">
      <c r="A73" s="14"/>
      <c r="B73" s="150" t="str">
        <f>UPPER(H73)</f>
        <v>ART</v>
      </c>
      <c r="C73" s="141"/>
      <c r="D73" s="141"/>
      <c r="E73" s="141"/>
      <c r="F73" s="141"/>
      <c r="G73" s="28"/>
      <c r="H73" s="167" t="s">
        <v>191</v>
      </c>
      <c r="I73" s="141"/>
      <c r="J73" s="141"/>
      <c r="K73" s="141"/>
      <c r="L73" s="141"/>
      <c r="M73" s="29"/>
      <c r="N73" s="149" t="s">
        <v>807</v>
      </c>
      <c r="O73" s="141"/>
      <c r="P73" s="141"/>
      <c r="Q73" s="141"/>
      <c r="R73" s="141"/>
    </row>
    <row r="74" spans="1:18">
      <c r="A74" s="14"/>
      <c r="B74" s="9"/>
      <c r="C74" s="10" t="str">
        <f t="shared" ref="C74:C77" si="14">UPPER(I74)</f>
        <v>CHARACTER DESIGN</v>
      </c>
      <c r="D74" s="9"/>
      <c r="E74" s="9" t="str">
        <f t="shared" ref="E74:E84" si="15">UPPER(K74)</f>
        <v>NANDABY KWON</v>
      </c>
      <c r="F74" s="9"/>
      <c r="G74" s="3"/>
      <c r="H74" s="3"/>
      <c r="I74" s="8" t="s">
        <v>192</v>
      </c>
      <c r="J74" s="3"/>
      <c r="K74" s="13" t="s">
        <v>193</v>
      </c>
      <c r="L74" s="3"/>
      <c r="M74" s="8"/>
      <c r="N74" s="3"/>
      <c r="O74" s="8" t="s">
        <v>808</v>
      </c>
      <c r="P74" s="3"/>
      <c r="Q74" s="3" t="s">
        <v>809</v>
      </c>
      <c r="R74" s="3"/>
    </row>
    <row r="75" spans="1:18">
      <c r="A75" s="14"/>
      <c r="B75" s="9"/>
      <c r="C75" s="10" t="str">
        <f t="shared" si="14"/>
        <v/>
      </c>
      <c r="D75" s="9"/>
      <c r="E75" s="9" t="str">
        <f t="shared" si="15"/>
        <v>MANJOONG LEE</v>
      </c>
      <c r="F75" s="9"/>
      <c r="G75" s="3"/>
      <c r="H75" s="3"/>
      <c r="I75" s="8"/>
      <c r="J75" s="3"/>
      <c r="K75" s="13" t="s">
        <v>194</v>
      </c>
      <c r="L75" s="3"/>
      <c r="M75" s="8"/>
      <c r="N75" s="3"/>
      <c r="O75" s="3"/>
      <c r="P75" s="3"/>
      <c r="Q75" s="3" t="s">
        <v>810</v>
      </c>
      <c r="R75" s="3"/>
    </row>
    <row r="76" spans="1:18">
      <c r="A76" s="14"/>
      <c r="B76" s="9"/>
      <c r="C76" s="10" t="str">
        <f t="shared" si="14"/>
        <v/>
      </c>
      <c r="D76" s="9"/>
      <c r="E76" s="9" t="str">
        <f t="shared" si="15"/>
        <v>HYUNSONG WE</v>
      </c>
      <c r="F76" s="9"/>
      <c r="G76" s="3"/>
      <c r="H76" s="3"/>
      <c r="I76" s="8"/>
      <c r="J76" s="3"/>
      <c r="K76" s="13" t="s">
        <v>195</v>
      </c>
      <c r="L76" s="3"/>
      <c r="M76" s="8"/>
      <c r="N76" s="3"/>
      <c r="O76" s="3"/>
      <c r="P76" s="3"/>
      <c r="Q76" s="3" t="s">
        <v>811</v>
      </c>
      <c r="R76" s="3"/>
    </row>
    <row r="77" spans="1:18">
      <c r="A77" s="14"/>
      <c r="B77" s="9"/>
      <c r="C77" s="10" t="str">
        <f t="shared" si="14"/>
        <v/>
      </c>
      <c r="D77" s="9"/>
      <c r="E77" s="9" t="str">
        <f t="shared" si="15"/>
        <v>HEEGYEONG JUNG</v>
      </c>
      <c r="F77" s="9"/>
      <c r="G77" s="3"/>
      <c r="H77" s="3"/>
      <c r="I77" s="8"/>
      <c r="J77" s="3"/>
      <c r="K77" s="13" t="s">
        <v>196</v>
      </c>
      <c r="L77" s="3"/>
      <c r="M77" s="8"/>
      <c r="N77" s="3"/>
      <c r="O77" s="3"/>
      <c r="P77" s="3"/>
      <c r="Q77" s="3" t="s">
        <v>812</v>
      </c>
      <c r="R77" s="3"/>
    </row>
    <row r="78" spans="1:18">
      <c r="A78" s="14"/>
      <c r="B78" s="9"/>
      <c r="C78" s="10"/>
      <c r="D78" s="9"/>
      <c r="E78" s="9" t="str">
        <f t="shared" si="15"/>
        <v>SUNGMIN JUNG</v>
      </c>
      <c r="F78" s="9"/>
      <c r="G78" s="3"/>
      <c r="H78" s="3"/>
      <c r="I78" s="8"/>
      <c r="J78" s="3"/>
      <c r="K78" s="3" t="s">
        <v>197</v>
      </c>
      <c r="L78" s="3"/>
      <c r="M78" s="8"/>
      <c r="N78" s="3"/>
      <c r="O78" s="3"/>
      <c r="P78" s="3"/>
      <c r="Q78" s="3" t="s">
        <v>813</v>
      </c>
      <c r="R78" s="3"/>
    </row>
    <row r="79" spans="1:18">
      <c r="A79" s="14"/>
      <c r="B79" s="9"/>
      <c r="C79" s="10" t="str">
        <f t="shared" ref="C79:C80" si="16">UPPER(I79)</f>
        <v/>
      </c>
      <c r="D79" s="9"/>
      <c r="E79" s="9" t="str">
        <f t="shared" si="15"/>
        <v/>
      </c>
      <c r="F79" s="9"/>
      <c r="G79" s="3"/>
      <c r="H79" s="3"/>
      <c r="I79" s="8"/>
      <c r="J79" s="3"/>
      <c r="K79" s="13"/>
      <c r="L79" s="3"/>
      <c r="M79" s="8"/>
      <c r="N79" s="3"/>
      <c r="O79" s="8"/>
      <c r="P79" s="3"/>
      <c r="Q79" s="3"/>
      <c r="R79" s="3"/>
    </row>
    <row r="80" spans="1:18">
      <c r="A80" s="14"/>
      <c r="B80" s="9"/>
      <c r="C80" s="10" t="str">
        <f t="shared" si="16"/>
        <v>SET DESIGN</v>
      </c>
      <c r="D80" s="9"/>
      <c r="E80" s="9" t="str">
        <f t="shared" si="15"/>
        <v>BOMI KIM</v>
      </c>
      <c r="F80" s="9"/>
      <c r="G80" s="3"/>
      <c r="H80" s="3"/>
      <c r="I80" s="8" t="s">
        <v>198</v>
      </c>
      <c r="J80" s="3"/>
      <c r="K80" s="13" t="s">
        <v>199</v>
      </c>
      <c r="L80" s="3"/>
      <c r="M80" s="8"/>
      <c r="N80" s="3"/>
      <c r="O80" s="8" t="s">
        <v>814</v>
      </c>
      <c r="P80" s="3"/>
      <c r="Q80" s="3" t="s">
        <v>815</v>
      </c>
      <c r="R80" s="3"/>
    </row>
    <row r="81" spans="1:18">
      <c r="A81" s="14"/>
      <c r="B81" s="9"/>
      <c r="C81" s="10"/>
      <c r="D81" s="9"/>
      <c r="E81" s="9" t="str">
        <f t="shared" si="15"/>
        <v>CHANGRAE BAEK</v>
      </c>
      <c r="F81" s="9"/>
      <c r="G81" s="3"/>
      <c r="H81" s="3"/>
      <c r="I81" s="8"/>
      <c r="J81" s="3"/>
      <c r="K81" s="3" t="s">
        <v>200</v>
      </c>
      <c r="L81" s="3"/>
      <c r="M81" s="8"/>
      <c r="N81" s="3"/>
      <c r="O81" s="3"/>
      <c r="P81" s="3"/>
      <c r="Q81" s="3" t="s">
        <v>816</v>
      </c>
      <c r="R81" s="3"/>
    </row>
    <row r="82" spans="1:18">
      <c r="A82" s="14"/>
      <c r="B82" s="9"/>
      <c r="C82" s="10"/>
      <c r="D82" s="9"/>
      <c r="E82" s="9" t="str">
        <f t="shared" si="15"/>
        <v>SUNYOUNG PARK</v>
      </c>
      <c r="F82" s="9"/>
      <c r="G82" s="3"/>
      <c r="H82" s="3"/>
      <c r="I82" s="8"/>
      <c r="J82" s="3"/>
      <c r="K82" s="3" t="s">
        <v>201</v>
      </c>
      <c r="L82" s="3"/>
      <c r="M82" s="8"/>
      <c r="N82" s="3"/>
      <c r="O82" s="3"/>
      <c r="P82" s="3"/>
      <c r="Q82" s="3" t="s">
        <v>817</v>
      </c>
      <c r="R82" s="3"/>
    </row>
    <row r="83" spans="1:18">
      <c r="A83" s="14"/>
      <c r="B83" s="9"/>
      <c r="C83" s="10"/>
      <c r="D83" s="9"/>
      <c r="E83" s="9" t="str">
        <f t="shared" si="15"/>
        <v/>
      </c>
      <c r="F83" s="9"/>
      <c r="G83" s="3"/>
      <c r="H83" s="3"/>
      <c r="I83" s="8"/>
      <c r="J83" s="3"/>
      <c r="K83" s="3"/>
      <c r="L83" s="3"/>
      <c r="M83" s="8"/>
      <c r="N83" s="8"/>
      <c r="O83" s="21"/>
      <c r="P83" s="3"/>
      <c r="Q83" s="20"/>
      <c r="R83" s="3"/>
    </row>
    <row r="84" spans="1:18">
      <c r="A84" s="14"/>
      <c r="B84" s="9"/>
      <c r="C84" s="10" t="str">
        <f>UPPER(I84)</f>
        <v/>
      </c>
      <c r="D84" s="9"/>
      <c r="E84" s="9" t="str">
        <f t="shared" si="15"/>
        <v/>
      </c>
      <c r="F84" s="9"/>
      <c r="G84" s="3"/>
      <c r="H84" s="3"/>
      <c r="I84" s="8"/>
      <c r="J84" s="3"/>
      <c r="K84" s="13"/>
      <c r="L84" s="3"/>
      <c r="M84" s="8"/>
      <c r="N84" s="8"/>
      <c r="O84" s="21"/>
      <c r="P84" s="3"/>
      <c r="Q84" s="3"/>
      <c r="R84" s="3"/>
    </row>
    <row r="85" spans="1:18">
      <c r="A85" s="14"/>
      <c r="B85" s="146" t="str">
        <f>UPPER(H85)</f>
        <v>THE MONK STUDIOS</v>
      </c>
      <c r="C85" s="141"/>
      <c r="D85" s="141"/>
      <c r="E85" s="141"/>
      <c r="F85" s="141"/>
      <c r="G85" s="3"/>
      <c r="H85" s="149" t="s">
        <v>202</v>
      </c>
      <c r="I85" s="141"/>
      <c r="J85" s="141"/>
      <c r="K85" s="141"/>
      <c r="L85" s="141"/>
      <c r="M85" s="8"/>
      <c r="N85" s="149" t="s">
        <v>202</v>
      </c>
      <c r="O85" s="141"/>
      <c r="P85" s="141"/>
      <c r="Q85" s="141"/>
      <c r="R85" s="141"/>
    </row>
    <row r="86" spans="1:18">
      <c r="A86" s="14"/>
      <c r="B86" s="9"/>
      <c r="C86" s="10"/>
      <c r="D86" s="9"/>
      <c r="E86" s="9"/>
      <c r="F86" s="9"/>
      <c r="G86" s="3"/>
      <c r="H86" s="3"/>
      <c r="I86" s="30"/>
      <c r="J86" s="3"/>
      <c r="K86" s="31"/>
      <c r="L86" s="3"/>
      <c r="M86" s="8"/>
      <c r="N86" s="3"/>
      <c r="O86" s="30"/>
      <c r="P86" s="3"/>
      <c r="Q86" s="31"/>
      <c r="R86" s="3"/>
    </row>
    <row r="87" spans="1:18">
      <c r="A87" s="14"/>
      <c r="B87" s="9"/>
      <c r="C87" s="10" t="str">
        <f t="shared" ref="C87:C90" si="17">UPPER(I87)</f>
        <v>CONCEPT ARTIST</v>
      </c>
      <c r="D87" s="9"/>
      <c r="E87" s="9" t="str">
        <f t="shared" ref="E87:E90" si="18">UPPER(K87)</f>
        <v>WANICHAYA PHRAEJUNYA</v>
      </c>
      <c r="F87" s="9"/>
      <c r="G87" s="3"/>
      <c r="H87" s="3"/>
      <c r="I87" s="32" t="s">
        <v>203</v>
      </c>
      <c r="J87" s="3"/>
      <c r="K87" s="31" t="s">
        <v>610</v>
      </c>
      <c r="L87" s="3"/>
      <c r="M87" s="8"/>
      <c r="N87" s="3"/>
      <c r="O87" s="32" t="s">
        <v>203</v>
      </c>
      <c r="P87" s="3"/>
      <c r="Q87" s="31" t="s">
        <v>610</v>
      </c>
      <c r="R87" s="3"/>
    </row>
    <row r="88" spans="1:18">
      <c r="A88" s="14"/>
      <c r="B88" s="9"/>
      <c r="C88" s="10" t="str">
        <f t="shared" si="17"/>
        <v/>
      </c>
      <c r="D88" s="9"/>
      <c r="E88" s="9" t="str">
        <f t="shared" si="18"/>
        <v>PAKORN THONGKWANJAI</v>
      </c>
      <c r="F88" s="9"/>
      <c r="G88" s="3"/>
      <c r="H88" s="3"/>
      <c r="I88" s="8"/>
      <c r="J88" s="3"/>
      <c r="K88" s="31" t="s">
        <v>205</v>
      </c>
      <c r="L88" s="3"/>
      <c r="M88" s="8"/>
      <c r="N88" s="3"/>
      <c r="O88" s="8"/>
      <c r="P88" s="3"/>
      <c r="Q88" s="31" t="s">
        <v>205</v>
      </c>
      <c r="R88" s="3"/>
    </row>
    <row r="89" spans="1:18">
      <c r="A89" s="14"/>
      <c r="B89" s="9"/>
      <c r="C89" s="10" t="str">
        <f t="shared" si="17"/>
        <v/>
      </c>
      <c r="D89" s="9"/>
      <c r="E89" s="9" t="str">
        <f t="shared" si="18"/>
        <v>SURACHART YAMKUNTONG</v>
      </c>
      <c r="F89" s="9"/>
      <c r="G89" s="3"/>
      <c r="H89" s="3"/>
      <c r="I89" s="8"/>
      <c r="J89" s="3"/>
      <c r="K89" s="31" t="s">
        <v>206</v>
      </c>
      <c r="L89" s="3"/>
      <c r="M89" s="8"/>
      <c r="N89" s="3"/>
      <c r="O89" s="8"/>
      <c r="P89" s="3"/>
      <c r="Q89" s="31" t="s">
        <v>206</v>
      </c>
      <c r="R89" s="3"/>
    </row>
    <row r="90" spans="1:18">
      <c r="A90" s="14"/>
      <c r="B90" s="9"/>
      <c r="C90" s="10" t="str">
        <f t="shared" si="17"/>
        <v/>
      </c>
      <c r="D90" s="9"/>
      <c r="E90" s="9" t="str">
        <f t="shared" si="18"/>
        <v>BURATOUCH THONGPHISITSOMBAT</v>
      </c>
      <c r="F90" s="9"/>
      <c r="G90" s="3"/>
      <c r="H90" s="3"/>
      <c r="I90" s="8"/>
      <c r="J90" s="3"/>
      <c r="K90" s="31" t="s">
        <v>207</v>
      </c>
      <c r="L90" s="3"/>
      <c r="M90" s="8"/>
      <c r="N90" s="3"/>
      <c r="O90" s="8"/>
      <c r="P90" s="3"/>
      <c r="Q90" s="31" t="s">
        <v>207</v>
      </c>
      <c r="R90" s="3"/>
    </row>
    <row r="91" spans="1:18">
      <c r="A91" s="14"/>
      <c r="B91" s="9"/>
      <c r="C91" s="10"/>
      <c r="D91" s="9"/>
      <c r="E91" s="9"/>
      <c r="F91" s="9"/>
      <c r="G91" s="3"/>
      <c r="H91" s="3"/>
      <c r="I91" s="8"/>
      <c r="J91" s="3"/>
      <c r="K91" s="31"/>
      <c r="L91" s="3"/>
      <c r="M91" s="8"/>
      <c r="N91" s="8"/>
      <c r="O91" s="21"/>
      <c r="P91" s="3"/>
      <c r="Q91" s="3"/>
      <c r="R91" s="3"/>
    </row>
    <row r="92" spans="1:18">
      <c r="A92" s="14"/>
      <c r="B92" s="26"/>
      <c r="C92" s="26"/>
      <c r="D92" s="26"/>
      <c r="E92" s="26"/>
      <c r="F92" s="26"/>
      <c r="G92" s="3"/>
      <c r="H92" s="5"/>
      <c r="I92" s="72"/>
      <c r="J92" s="5"/>
      <c r="K92" s="33"/>
      <c r="L92" s="5"/>
      <c r="M92" s="8"/>
      <c r="N92" s="8"/>
      <c r="O92" s="21"/>
      <c r="P92" s="3"/>
      <c r="Q92" s="3"/>
      <c r="R92" s="3"/>
    </row>
    <row r="93" spans="1:18">
      <c r="A93" s="14"/>
      <c r="B93" s="6"/>
      <c r="C93" s="6"/>
      <c r="D93" s="6"/>
      <c r="E93" s="6"/>
      <c r="F93" s="6"/>
      <c r="G93" s="3"/>
      <c r="H93" s="5"/>
      <c r="I93" s="72"/>
      <c r="J93" s="5"/>
      <c r="K93" s="33"/>
      <c r="L93" s="5"/>
      <c r="M93" s="8"/>
      <c r="N93" s="8"/>
      <c r="O93" s="21"/>
      <c r="P93" s="3"/>
      <c r="Q93" s="3"/>
      <c r="R93" s="3"/>
    </row>
    <row r="94" spans="1:18">
      <c r="A94" s="14"/>
      <c r="B94" s="150" t="str">
        <f>UPPER(H94)</f>
        <v xml:space="preserve">ASSET </v>
      </c>
      <c r="C94" s="141"/>
      <c r="D94" s="141"/>
      <c r="E94" s="141"/>
      <c r="F94" s="141"/>
      <c r="G94" s="28"/>
      <c r="H94" s="167" t="s">
        <v>208</v>
      </c>
      <c r="I94" s="141"/>
      <c r="J94" s="141"/>
      <c r="K94" s="141"/>
      <c r="L94" s="141"/>
      <c r="M94" s="29"/>
      <c r="N94" s="149" t="s">
        <v>818</v>
      </c>
      <c r="O94" s="141"/>
      <c r="P94" s="141"/>
      <c r="Q94" s="141"/>
      <c r="R94" s="141"/>
    </row>
    <row r="95" spans="1:18">
      <c r="A95" s="14"/>
      <c r="B95" s="9"/>
      <c r="C95" s="10" t="str">
        <f t="shared" ref="C95:C103" si="19">UPPER(I95)</f>
        <v>ASSET SUPERVISOR</v>
      </c>
      <c r="D95" s="9"/>
      <c r="E95" s="9" t="str">
        <f t="shared" ref="E95:E103" si="20">UPPER(K95)</f>
        <v>SANGWOO NAM</v>
      </c>
      <c r="F95" s="9"/>
      <c r="G95" s="3"/>
      <c r="H95" s="3"/>
      <c r="I95" s="8" t="s">
        <v>209</v>
      </c>
      <c r="J95" s="3"/>
      <c r="K95" s="3" t="s">
        <v>210</v>
      </c>
      <c r="L95" s="3"/>
      <c r="M95" s="8"/>
      <c r="N95" s="8"/>
      <c r="O95" s="8" t="s">
        <v>819</v>
      </c>
      <c r="P95" s="3"/>
      <c r="Q95" s="3" t="s">
        <v>820</v>
      </c>
      <c r="R95" s="3"/>
    </row>
    <row r="96" spans="1:18">
      <c r="A96" s="14"/>
      <c r="B96" s="9"/>
      <c r="C96" s="10" t="str">
        <f t="shared" si="19"/>
        <v/>
      </c>
      <c r="D96" s="9"/>
      <c r="E96" s="9" t="str">
        <f t="shared" si="20"/>
        <v/>
      </c>
      <c r="F96" s="9"/>
      <c r="G96" s="3"/>
      <c r="H96" s="3"/>
      <c r="I96" s="8"/>
      <c r="J96" s="3"/>
      <c r="K96" s="3"/>
      <c r="L96" s="3"/>
      <c r="M96" s="8"/>
      <c r="N96" s="8"/>
      <c r="O96" s="21"/>
      <c r="P96" s="3"/>
      <c r="Q96" s="3"/>
      <c r="R96" s="3"/>
    </row>
    <row r="97" spans="1:18">
      <c r="A97" s="14"/>
      <c r="B97" s="9"/>
      <c r="C97" s="10" t="str">
        <f t="shared" si="19"/>
        <v>MODELING SUPERVISOR</v>
      </c>
      <c r="D97" s="9"/>
      <c r="E97" s="9" t="str">
        <f t="shared" si="20"/>
        <v>TEAYOUNG KIM</v>
      </c>
      <c r="F97" s="9"/>
      <c r="G97" s="3"/>
      <c r="H97" s="3"/>
      <c r="I97" s="8" t="s">
        <v>211</v>
      </c>
      <c r="J97" s="3"/>
      <c r="K97" s="3" t="s">
        <v>212</v>
      </c>
      <c r="L97" s="3"/>
      <c r="M97" s="8"/>
      <c r="N97" s="8"/>
      <c r="O97" s="8" t="s">
        <v>821</v>
      </c>
      <c r="P97" s="3"/>
      <c r="Q97" s="3" t="s">
        <v>822</v>
      </c>
      <c r="R97" s="3"/>
    </row>
    <row r="98" spans="1:18">
      <c r="A98" s="14"/>
      <c r="B98" s="9"/>
      <c r="C98" s="10" t="str">
        <f t="shared" si="19"/>
        <v/>
      </c>
      <c r="D98" s="9"/>
      <c r="E98" s="9" t="str">
        <f t="shared" si="20"/>
        <v>JUNGYUN HA</v>
      </c>
      <c r="F98" s="9"/>
      <c r="G98" s="3"/>
      <c r="H98" s="3"/>
      <c r="I98" s="8"/>
      <c r="J98" s="3"/>
      <c r="K98" s="3" t="s">
        <v>213</v>
      </c>
      <c r="L98" s="3"/>
      <c r="M98" s="8"/>
      <c r="N98" s="8"/>
      <c r="O98" s="8"/>
      <c r="P98" s="3"/>
      <c r="Q98" s="3" t="s">
        <v>823</v>
      </c>
      <c r="R98" s="3"/>
    </row>
    <row r="99" spans="1:18">
      <c r="A99" s="14"/>
      <c r="B99" s="9"/>
      <c r="C99" s="10" t="str">
        <f t="shared" si="19"/>
        <v/>
      </c>
      <c r="D99" s="9"/>
      <c r="E99" s="9" t="str">
        <f t="shared" si="20"/>
        <v>KIPYO KIM</v>
      </c>
      <c r="F99" s="9"/>
      <c r="G99" s="3"/>
      <c r="H99" s="3"/>
      <c r="I99" s="8"/>
      <c r="J99" s="3"/>
      <c r="K99" s="3" t="s">
        <v>214</v>
      </c>
      <c r="L99" s="3"/>
      <c r="M99" s="8"/>
      <c r="N99" s="8"/>
      <c r="O99" s="8"/>
      <c r="P99" s="3"/>
      <c r="Q99" s="3" t="s">
        <v>824</v>
      </c>
      <c r="R99" s="3"/>
    </row>
    <row r="100" spans="1:18">
      <c r="A100" s="14"/>
      <c r="B100" s="9"/>
      <c r="C100" s="10" t="str">
        <f t="shared" si="19"/>
        <v/>
      </c>
      <c r="D100" s="9"/>
      <c r="E100" s="9" t="str">
        <f t="shared" si="20"/>
        <v/>
      </c>
      <c r="F100" s="9"/>
      <c r="G100" s="3"/>
      <c r="H100" s="3"/>
      <c r="I100" s="8"/>
      <c r="J100" s="3"/>
      <c r="K100" s="3"/>
      <c r="L100" s="3"/>
      <c r="M100" s="8"/>
      <c r="N100" s="8"/>
      <c r="O100" s="8"/>
      <c r="P100" s="3"/>
      <c r="Q100" s="3"/>
      <c r="R100" s="3"/>
    </row>
    <row r="101" spans="1:18">
      <c r="A101" s="14"/>
      <c r="B101" s="9"/>
      <c r="C101" s="10" t="str">
        <f t="shared" si="19"/>
        <v>LOOKDEV ARTIST</v>
      </c>
      <c r="D101" s="9"/>
      <c r="E101" s="9" t="str">
        <f t="shared" si="20"/>
        <v>YEONJU LEE</v>
      </c>
      <c r="F101" s="9"/>
      <c r="G101" s="3"/>
      <c r="H101" s="3"/>
      <c r="I101" s="8" t="s">
        <v>215</v>
      </c>
      <c r="J101" s="3"/>
      <c r="K101" s="3" t="s">
        <v>216</v>
      </c>
      <c r="L101" s="3"/>
      <c r="M101" s="8"/>
      <c r="N101" s="8"/>
      <c r="O101" s="8" t="s">
        <v>825</v>
      </c>
      <c r="P101" s="3"/>
      <c r="Q101" s="3" t="s">
        <v>826</v>
      </c>
      <c r="R101" s="3"/>
    </row>
    <row r="102" spans="1:18">
      <c r="A102" s="14"/>
      <c r="B102" s="9"/>
      <c r="C102" s="10" t="str">
        <f t="shared" si="19"/>
        <v/>
      </c>
      <c r="D102" s="9"/>
      <c r="E102" s="9" t="str">
        <f t="shared" si="20"/>
        <v/>
      </c>
      <c r="F102" s="9"/>
      <c r="G102" s="3"/>
      <c r="H102" s="3"/>
      <c r="I102" s="8"/>
      <c r="J102" s="3"/>
      <c r="K102" s="3"/>
      <c r="L102" s="3"/>
      <c r="M102" s="3"/>
      <c r="N102" s="3"/>
      <c r="O102" s="8"/>
      <c r="P102" s="3"/>
      <c r="Q102" s="3"/>
      <c r="R102" s="3"/>
    </row>
    <row r="103" spans="1:18">
      <c r="A103" s="14"/>
      <c r="B103" s="9"/>
      <c r="C103" s="10" t="str">
        <f t="shared" si="19"/>
        <v>RIGGING</v>
      </c>
      <c r="D103" s="9"/>
      <c r="E103" s="9" t="str">
        <f t="shared" si="20"/>
        <v>MINJU YOO</v>
      </c>
      <c r="F103" s="9"/>
      <c r="G103" s="3"/>
      <c r="H103" s="3"/>
      <c r="I103" s="8" t="s">
        <v>217</v>
      </c>
      <c r="J103" s="3"/>
      <c r="K103" s="3" t="s">
        <v>218</v>
      </c>
      <c r="L103" s="3"/>
      <c r="M103" s="8"/>
      <c r="N103" s="8"/>
      <c r="O103" s="8" t="s">
        <v>827</v>
      </c>
      <c r="P103" s="3"/>
      <c r="Q103" s="3" t="s">
        <v>828</v>
      </c>
      <c r="R103" s="3"/>
    </row>
    <row r="104" spans="1:18">
      <c r="A104" s="14"/>
      <c r="B104" s="9"/>
      <c r="C104" s="10"/>
      <c r="D104" s="9"/>
      <c r="E104" s="9"/>
      <c r="F104" s="9"/>
      <c r="G104" s="3"/>
      <c r="H104" s="3"/>
      <c r="I104" s="8"/>
      <c r="J104" s="3"/>
      <c r="K104" s="3"/>
      <c r="L104" s="3"/>
      <c r="M104" s="8"/>
      <c r="N104" s="8"/>
      <c r="O104" s="21"/>
      <c r="P104" s="3"/>
      <c r="Q104" s="3"/>
      <c r="R104" s="3"/>
    </row>
    <row r="105" spans="1:18">
      <c r="A105" s="14"/>
      <c r="B105" s="11"/>
      <c r="C105" s="12" t="str">
        <f>UPPER(I105)</f>
        <v/>
      </c>
      <c r="D105" s="11"/>
      <c r="E105" s="11" t="str">
        <f>UPPER(K105)</f>
        <v/>
      </c>
      <c r="F105" s="11"/>
      <c r="G105" s="3"/>
      <c r="H105" s="3"/>
      <c r="I105" s="2"/>
      <c r="J105" s="3"/>
      <c r="K105" s="3"/>
      <c r="L105" s="3"/>
      <c r="M105" s="8"/>
      <c r="N105" s="8"/>
      <c r="O105" s="21"/>
      <c r="P105" s="3"/>
      <c r="Q105" s="3"/>
      <c r="R105" s="3"/>
    </row>
    <row r="106" spans="1:18">
      <c r="A106" s="14"/>
      <c r="B106" s="9"/>
      <c r="C106" s="10"/>
      <c r="D106" s="9"/>
      <c r="E106" s="9"/>
      <c r="F106" s="9"/>
      <c r="G106" s="3"/>
      <c r="H106" s="3"/>
      <c r="I106" s="2"/>
      <c r="J106" s="3"/>
      <c r="K106" s="3"/>
      <c r="L106" s="3"/>
      <c r="M106" s="8"/>
      <c r="N106" s="8"/>
      <c r="O106" s="21"/>
      <c r="P106" s="3"/>
      <c r="Q106" s="3"/>
      <c r="R106" s="3"/>
    </row>
    <row r="107" spans="1:18">
      <c r="A107" s="14"/>
      <c r="B107" s="150" t="str">
        <f t="shared" ref="B107:B108" si="21">UPPER(H107)</f>
        <v xml:space="preserve">ASSET </v>
      </c>
      <c r="C107" s="141"/>
      <c r="D107" s="141"/>
      <c r="E107" s="141"/>
      <c r="F107" s="141"/>
      <c r="G107" s="28"/>
      <c r="H107" s="167" t="s">
        <v>208</v>
      </c>
      <c r="I107" s="141"/>
      <c r="J107" s="141"/>
      <c r="K107" s="141"/>
      <c r="L107" s="141"/>
      <c r="M107" s="8"/>
      <c r="N107" s="149" t="s">
        <v>818</v>
      </c>
      <c r="O107" s="141"/>
      <c r="P107" s="141"/>
      <c r="Q107" s="141"/>
      <c r="R107" s="141"/>
    </row>
    <row r="108" spans="1:18">
      <c r="A108" s="14"/>
      <c r="B108" s="146" t="str">
        <f t="shared" si="21"/>
        <v>THE MONK STUDIOS</v>
      </c>
      <c r="C108" s="141"/>
      <c r="D108" s="141"/>
      <c r="E108" s="141"/>
      <c r="F108" s="141"/>
      <c r="G108" s="3"/>
      <c r="H108" s="149" t="s">
        <v>202</v>
      </c>
      <c r="I108" s="141"/>
      <c r="J108" s="141"/>
      <c r="K108" s="141"/>
      <c r="L108" s="141"/>
      <c r="M108" s="8"/>
      <c r="N108" s="149" t="s">
        <v>202</v>
      </c>
      <c r="O108" s="141"/>
      <c r="P108" s="141"/>
      <c r="Q108" s="141"/>
      <c r="R108" s="141"/>
    </row>
    <row r="109" spans="1:18">
      <c r="A109" s="14"/>
      <c r="B109" s="9"/>
      <c r="C109" s="10"/>
      <c r="D109" s="9"/>
      <c r="E109" s="9"/>
      <c r="F109" s="9"/>
      <c r="G109" s="3"/>
      <c r="H109" s="3"/>
      <c r="I109" s="8"/>
      <c r="J109" s="2"/>
      <c r="K109" s="34"/>
      <c r="L109" s="2"/>
      <c r="N109" s="3"/>
      <c r="O109" s="8"/>
      <c r="P109" s="2"/>
      <c r="Q109" s="34"/>
      <c r="R109" s="2"/>
    </row>
    <row r="110" spans="1:18">
      <c r="A110" s="14"/>
      <c r="B110" s="9"/>
      <c r="C110" s="10" t="str">
        <f t="shared" ref="C110:C127" si="22">UPPER(I110)</f>
        <v>ASSET SUPERVISOR</v>
      </c>
      <c r="D110" s="9"/>
      <c r="E110" s="9" t="str">
        <f t="shared" ref="E110:E130" si="23">UPPER(K110)</f>
        <v>ATTAPORN KANJANASAHAS</v>
      </c>
      <c r="F110" s="9"/>
      <c r="G110" s="3"/>
      <c r="H110" s="3"/>
      <c r="I110" s="8" t="s">
        <v>209</v>
      </c>
      <c r="J110" s="2"/>
      <c r="K110" s="34" t="s">
        <v>219</v>
      </c>
      <c r="L110" s="2"/>
      <c r="N110" s="3"/>
      <c r="O110" s="8" t="s">
        <v>209</v>
      </c>
      <c r="P110" s="2"/>
      <c r="Q110" s="34" t="s">
        <v>219</v>
      </c>
      <c r="R110" s="2"/>
    </row>
    <row r="111" spans="1:18">
      <c r="A111" s="14"/>
      <c r="B111" s="9"/>
      <c r="C111" s="10" t="str">
        <f t="shared" si="22"/>
        <v/>
      </c>
      <c r="D111" s="9"/>
      <c r="E111" s="9" t="str">
        <f t="shared" si="23"/>
        <v/>
      </c>
      <c r="F111" s="9"/>
      <c r="G111" s="3"/>
      <c r="H111" s="3"/>
      <c r="I111" s="2"/>
      <c r="J111" s="2"/>
      <c r="K111" s="35"/>
      <c r="L111" s="2"/>
      <c r="N111" s="3"/>
      <c r="O111" s="2"/>
      <c r="P111" s="2"/>
      <c r="Q111" s="35"/>
      <c r="R111" s="2"/>
    </row>
    <row r="112" spans="1:18">
      <c r="A112" s="14"/>
      <c r="B112" s="9"/>
      <c r="C112" s="10" t="str">
        <f t="shared" si="22"/>
        <v>MODEL SUPERVISOR</v>
      </c>
      <c r="D112" s="9"/>
      <c r="E112" s="9" t="str">
        <f t="shared" si="23"/>
        <v>THANITTHA PROMPATIMA</v>
      </c>
      <c r="F112" s="9"/>
      <c r="G112" s="3"/>
      <c r="H112" s="3"/>
      <c r="I112" s="36" t="s">
        <v>220</v>
      </c>
      <c r="J112" s="3"/>
      <c r="K112" s="37" t="s">
        <v>221</v>
      </c>
      <c r="L112" s="3"/>
      <c r="M112" s="8"/>
      <c r="N112" s="3"/>
      <c r="O112" s="36" t="s">
        <v>220</v>
      </c>
      <c r="P112" s="3"/>
      <c r="Q112" s="37" t="s">
        <v>221</v>
      </c>
      <c r="R112" s="3"/>
    </row>
    <row r="113" spans="1:18">
      <c r="A113" s="14"/>
      <c r="B113" s="9"/>
      <c r="C113" s="10" t="str">
        <f t="shared" si="22"/>
        <v/>
      </c>
      <c r="D113" s="9"/>
      <c r="E113" s="9" t="str">
        <f t="shared" si="23"/>
        <v/>
      </c>
      <c r="F113" s="9"/>
      <c r="G113" s="3"/>
      <c r="H113" s="3"/>
      <c r="I113" s="36"/>
      <c r="J113" s="3"/>
      <c r="K113" s="37"/>
      <c r="L113" s="3"/>
      <c r="M113" s="8"/>
      <c r="N113" s="3"/>
      <c r="O113" s="36"/>
      <c r="P113" s="3"/>
      <c r="Q113" s="37"/>
      <c r="R113" s="3"/>
    </row>
    <row r="114" spans="1:18">
      <c r="A114" s="14"/>
      <c r="B114" s="9"/>
      <c r="C114" s="10" t="str">
        <f t="shared" si="22"/>
        <v>MODELER LEADER</v>
      </c>
      <c r="D114" s="9"/>
      <c r="E114" s="9" t="str">
        <f t="shared" si="23"/>
        <v>YANNAKRON WONGPHUN</v>
      </c>
      <c r="F114" s="9"/>
      <c r="G114" s="3"/>
      <c r="H114" s="3"/>
      <c r="I114" s="36" t="s">
        <v>222</v>
      </c>
      <c r="J114" s="3"/>
      <c r="K114" s="37" t="s">
        <v>223</v>
      </c>
      <c r="L114" s="3"/>
      <c r="M114" s="8"/>
      <c r="N114" s="3"/>
      <c r="O114" s="36" t="s">
        <v>222</v>
      </c>
      <c r="P114" s="3"/>
      <c r="Q114" s="37" t="s">
        <v>223</v>
      </c>
      <c r="R114" s="3"/>
    </row>
    <row r="115" spans="1:18">
      <c r="A115" s="14"/>
      <c r="B115" s="9"/>
      <c r="C115" s="10" t="str">
        <f t="shared" si="22"/>
        <v/>
      </c>
      <c r="D115" s="9"/>
      <c r="E115" s="9" t="str">
        <f t="shared" si="23"/>
        <v>CHANATITH TAWANMAI</v>
      </c>
      <c r="F115" s="9"/>
      <c r="G115" s="3"/>
      <c r="H115" s="3"/>
      <c r="I115" s="36"/>
      <c r="J115" s="3"/>
      <c r="K115" s="37" t="s">
        <v>224</v>
      </c>
      <c r="L115" s="3"/>
      <c r="M115" s="8"/>
      <c r="N115" s="3"/>
      <c r="O115" s="36"/>
      <c r="P115" s="3"/>
      <c r="Q115" s="37" t="s">
        <v>224</v>
      </c>
      <c r="R115" s="3"/>
    </row>
    <row r="116" spans="1:18">
      <c r="A116" s="14"/>
      <c r="B116" s="9"/>
      <c r="C116" s="10" t="str">
        <f t="shared" si="22"/>
        <v/>
      </c>
      <c r="D116" s="9"/>
      <c r="E116" s="9" t="str">
        <f t="shared" si="23"/>
        <v/>
      </c>
      <c r="F116" s="9"/>
      <c r="G116" s="3"/>
      <c r="H116" s="3"/>
      <c r="I116" s="36"/>
      <c r="J116" s="3"/>
      <c r="K116" s="37"/>
      <c r="L116" s="3"/>
      <c r="M116" s="8"/>
      <c r="N116" s="3"/>
      <c r="O116" s="36"/>
      <c r="P116" s="3"/>
      <c r="Q116" s="37"/>
      <c r="R116" s="3"/>
    </row>
    <row r="117" spans="1:18">
      <c r="A117" s="14"/>
      <c r="B117" s="9"/>
      <c r="C117" s="10" t="str">
        <f t="shared" si="22"/>
        <v>MODELER</v>
      </c>
      <c r="D117" s="9"/>
      <c r="E117" s="9" t="str">
        <f t="shared" si="23"/>
        <v>JIRAWAT PANGCHOMPOO</v>
      </c>
      <c r="F117" s="9"/>
      <c r="G117" s="3"/>
      <c r="H117" s="3"/>
      <c r="I117" s="36" t="s">
        <v>225</v>
      </c>
      <c r="J117" s="3"/>
      <c r="K117" s="37" t="s">
        <v>226</v>
      </c>
      <c r="L117" s="3"/>
      <c r="M117" s="8"/>
      <c r="N117" s="3"/>
      <c r="O117" s="36" t="s">
        <v>225</v>
      </c>
      <c r="P117" s="3"/>
      <c r="Q117" s="37" t="s">
        <v>226</v>
      </c>
      <c r="R117" s="3"/>
    </row>
    <row r="118" spans="1:18">
      <c r="A118" s="14"/>
      <c r="B118" s="9"/>
      <c r="C118" s="10" t="str">
        <f t="shared" si="22"/>
        <v/>
      </c>
      <c r="D118" s="9"/>
      <c r="E118" s="9" t="str">
        <f t="shared" si="23"/>
        <v>TEERAWAT PHO-OB</v>
      </c>
      <c r="F118" s="9"/>
      <c r="G118" s="3"/>
      <c r="H118" s="3"/>
      <c r="I118" s="8"/>
      <c r="J118" s="3"/>
      <c r="K118" s="37" t="s">
        <v>227</v>
      </c>
      <c r="L118" s="3"/>
      <c r="M118" s="8"/>
      <c r="N118" s="3"/>
      <c r="O118" s="8"/>
      <c r="P118" s="3"/>
      <c r="Q118" s="37" t="s">
        <v>227</v>
      </c>
      <c r="R118" s="3"/>
    </row>
    <row r="119" spans="1:18">
      <c r="A119" s="14"/>
      <c r="B119" s="9"/>
      <c r="C119" s="10" t="str">
        <f t="shared" si="22"/>
        <v/>
      </c>
      <c r="D119" s="9"/>
      <c r="E119" s="9" t="str">
        <f t="shared" si="23"/>
        <v>SUPACHOCK NUAMTHONG</v>
      </c>
      <c r="F119" s="9"/>
      <c r="G119" s="3"/>
      <c r="H119" s="3"/>
      <c r="I119" s="8"/>
      <c r="J119" s="3"/>
      <c r="K119" s="37" t="s">
        <v>228</v>
      </c>
      <c r="L119" s="3"/>
      <c r="M119" s="8"/>
      <c r="N119" s="3"/>
      <c r="O119" s="8"/>
      <c r="P119" s="3"/>
      <c r="Q119" s="37" t="s">
        <v>228</v>
      </c>
      <c r="R119" s="3"/>
    </row>
    <row r="120" spans="1:18">
      <c r="A120" s="14"/>
      <c r="B120" s="9"/>
      <c r="C120" s="10" t="str">
        <f t="shared" si="22"/>
        <v/>
      </c>
      <c r="D120" s="9"/>
      <c r="E120" s="9" t="str">
        <f t="shared" si="23"/>
        <v>VIPHADA KARNJANAWARIT</v>
      </c>
      <c r="F120" s="9"/>
      <c r="G120" s="3"/>
      <c r="H120" s="3"/>
      <c r="I120" s="8"/>
      <c r="J120" s="3"/>
      <c r="K120" s="37" t="s">
        <v>229</v>
      </c>
      <c r="L120" s="3"/>
      <c r="M120" s="8"/>
      <c r="N120" s="3"/>
      <c r="O120" s="8"/>
      <c r="P120" s="3"/>
      <c r="Q120" s="37" t="s">
        <v>229</v>
      </c>
      <c r="R120" s="3"/>
    </row>
    <row r="121" spans="1:18">
      <c r="A121" s="14"/>
      <c r="B121" s="9"/>
      <c r="C121" s="10" t="str">
        <f t="shared" si="22"/>
        <v/>
      </c>
      <c r="D121" s="9"/>
      <c r="E121" s="9" t="str">
        <f t="shared" si="23"/>
        <v>TEERAKA KONGPAISAND</v>
      </c>
      <c r="F121" s="9"/>
      <c r="G121" s="3"/>
      <c r="H121" s="3"/>
      <c r="I121" s="8"/>
      <c r="J121" s="3"/>
      <c r="K121" s="37" t="s">
        <v>230</v>
      </c>
      <c r="L121" s="3"/>
      <c r="M121" s="8"/>
      <c r="N121" s="3"/>
      <c r="O121" s="8"/>
      <c r="P121" s="3"/>
      <c r="Q121" s="37" t="s">
        <v>230</v>
      </c>
      <c r="R121" s="3"/>
    </row>
    <row r="122" spans="1:18">
      <c r="A122" s="14"/>
      <c r="B122" s="9"/>
      <c r="C122" s="10" t="str">
        <f t="shared" si="22"/>
        <v/>
      </c>
      <c r="D122" s="9"/>
      <c r="E122" s="9" t="str">
        <f t="shared" si="23"/>
        <v>NATCHA NUNTANAJAROENKUL</v>
      </c>
      <c r="F122" s="9"/>
      <c r="G122" s="3"/>
      <c r="H122" s="3"/>
      <c r="I122" s="8"/>
      <c r="J122" s="3"/>
      <c r="K122" s="37" t="s">
        <v>231</v>
      </c>
      <c r="L122" s="3"/>
      <c r="M122" s="8"/>
      <c r="N122" s="3"/>
      <c r="O122" s="8"/>
      <c r="P122" s="3"/>
      <c r="Q122" s="37" t="s">
        <v>231</v>
      </c>
      <c r="R122" s="3"/>
    </row>
    <row r="123" spans="1:18">
      <c r="A123" s="14"/>
      <c r="B123" s="9"/>
      <c r="C123" s="10" t="str">
        <f t="shared" si="22"/>
        <v/>
      </c>
      <c r="D123" s="9"/>
      <c r="E123" s="9" t="str">
        <f t="shared" si="23"/>
        <v>PANUWAT VIVATTANAWONGSIRI</v>
      </c>
      <c r="F123" s="9"/>
      <c r="G123" s="3"/>
      <c r="H123" s="3"/>
      <c r="I123" s="8"/>
      <c r="J123" s="3"/>
      <c r="K123" s="37" t="s">
        <v>232</v>
      </c>
      <c r="L123" s="3"/>
      <c r="M123" s="8"/>
      <c r="N123" s="3"/>
      <c r="O123" s="8"/>
      <c r="P123" s="3"/>
      <c r="Q123" s="37" t="s">
        <v>232</v>
      </c>
      <c r="R123" s="3"/>
    </row>
    <row r="124" spans="1:18">
      <c r="A124" s="14"/>
      <c r="B124" s="9"/>
      <c r="C124" s="10" t="str">
        <f t="shared" si="22"/>
        <v/>
      </c>
      <c r="D124" s="9"/>
      <c r="E124" s="9" t="str">
        <f t="shared" si="23"/>
        <v>KOTCHAWAN PRADITUKRIT</v>
      </c>
      <c r="F124" s="9"/>
      <c r="G124" s="3"/>
      <c r="H124" s="3"/>
      <c r="I124" s="8"/>
      <c r="J124" s="3"/>
      <c r="K124" s="37" t="s">
        <v>233</v>
      </c>
      <c r="L124" s="3"/>
      <c r="M124" s="8"/>
      <c r="N124" s="3"/>
      <c r="O124" s="8"/>
      <c r="P124" s="3"/>
      <c r="Q124" s="37" t="s">
        <v>233</v>
      </c>
      <c r="R124" s="3"/>
    </row>
    <row r="125" spans="1:18">
      <c r="A125" s="14"/>
      <c r="B125" s="9"/>
      <c r="C125" s="10" t="str">
        <f t="shared" si="22"/>
        <v/>
      </c>
      <c r="D125" s="9"/>
      <c r="E125" s="9" t="str">
        <f t="shared" si="23"/>
        <v>SUPAPAK SUKWAN</v>
      </c>
      <c r="F125" s="9"/>
      <c r="G125" s="3"/>
      <c r="H125" s="3"/>
      <c r="I125" s="8"/>
      <c r="J125" s="3"/>
      <c r="K125" s="37" t="s">
        <v>234</v>
      </c>
      <c r="L125" s="3"/>
      <c r="M125" s="8"/>
      <c r="N125" s="3"/>
      <c r="O125" s="8"/>
      <c r="P125" s="3"/>
      <c r="Q125" s="37" t="s">
        <v>234</v>
      </c>
      <c r="R125" s="3"/>
    </row>
    <row r="126" spans="1:18">
      <c r="A126" s="14"/>
      <c r="B126" s="9"/>
      <c r="C126" s="10" t="str">
        <f t="shared" si="22"/>
        <v/>
      </c>
      <c r="D126" s="9"/>
      <c r="E126" s="9" t="str">
        <f t="shared" si="23"/>
        <v>ANURAK WASAENDEE</v>
      </c>
      <c r="F126" s="9"/>
      <c r="G126" s="3"/>
      <c r="H126" s="3"/>
      <c r="I126" s="8"/>
      <c r="J126" s="3"/>
      <c r="K126" s="37" t="s">
        <v>235</v>
      </c>
      <c r="L126" s="3"/>
      <c r="M126" s="8"/>
      <c r="N126" s="3"/>
      <c r="O126" s="8"/>
      <c r="P126" s="3"/>
      <c r="Q126" s="37" t="s">
        <v>235</v>
      </c>
      <c r="R126" s="3"/>
    </row>
    <row r="127" spans="1:18">
      <c r="A127" s="14"/>
      <c r="B127" s="9"/>
      <c r="C127" s="10" t="str">
        <f t="shared" si="22"/>
        <v/>
      </c>
      <c r="D127" s="9"/>
      <c r="E127" s="9" t="str">
        <f t="shared" si="23"/>
        <v>JAKKRIT THANAPHATTHANAKUL</v>
      </c>
      <c r="F127" s="9"/>
      <c r="G127" s="3"/>
      <c r="H127" s="3"/>
      <c r="I127" s="8"/>
      <c r="J127" s="3"/>
      <c r="K127" s="37" t="s">
        <v>236</v>
      </c>
      <c r="L127" s="3"/>
      <c r="M127" s="8"/>
      <c r="N127" s="3"/>
      <c r="O127" s="8"/>
      <c r="P127" s="3"/>
      <c r="Q127" s="37" t="s">
        <v>236</v>
      </c>
      <c r="R127" s="3"/>
    </row>
    <row r="128" spans="1:18">
      <c r="A128" s="14"/>
      <c r="B128" s="9"/>
      <c r="C128" s="10"/>
      <c r="D128" s="9"/>
      <c r="E128" s="9" t="str">
        <f t="shared" si="23"/>
        <v>TANAWAT YORIYA</v>
      </c>
      <c r="F128" s="9"/>
      <c r="G128" s="3"/>
      <c r="H128" s="3"/>
      <c r="I128" s="8"/>
      <c r="J128" s="3"/>
      <c r="K128" s="31" t="s">
        <v>237</v>
      </c>
      <c r="L128" s="3"/>
      <c r="M128" s="8"/>
      <c r="N128" s="3"/>
      <c r="O128" s="8"/>
      <c r="P128" s="3"/>
      <c r="Q128" s="31" t="s">
        <v>237</v>
      </c>
      <c r="R128" s="3"/>
    </row>
    <row r="129" spans="1:18">
      <c r="A129" s="14"/>
      <c r="B129" s="9"/>
      <c r="C129" s="10"/>
      <c r="D129" s="9"/>
      <c r="E129" s="9" t="str">
        <f t="shared" si="23"/>
        <v>WITSANUKORN CHALIAOTHAM</v>
      </c>
      <c r="F129" s="9"/>
      <c r="G129" s="3"/>
      <c r="H129" s="3"/>
      <c r="I129" s="8"/>
      <c r="J129" s="3"/>
      <c r="K129" s="31" t="s">
        <v>238</v>
      </c>
      <c r="L129" s="3"/>
      <c r="M129" s="8"/>
      <c r="N129" s="3"/>
      <c r="O129" s="8"/>
      <c r="P129" s="3"/>
      <c r="Q129" s="31" t="s">
        <v>238</v>
      </c>
      <c r="R129" s="3"/>
    </row>
    <row r="130" spans="1:18">
      <c r="A130" s="14"/>
      <c r="B130" s="9"/>
      <c r="C130" s="10"/>
      <c r="D130" s="9"/>
      <c r="E130" s="9" t="str">
        <f t="shared" si="23"/>
        <v>CHANBHASAKORN MINGSOMPAN</v>
      </c>
      <c r="F130" s="9"/>
      <c r="G130" s="3"/>
      <c r="H130" s="3"/>
      <c r="I130" s="8"/>
      <c r="J130" s="3"/>
      <c r="K130" s="31" t="s">
        <v>239</v>
      </c>
      <c r="L130" s="3"/>
      <c r="M130" s="8"/>
      <c r="N130" s="3"/>
      <c r="O130" s="8"/>
      <c r="P130" s="3"/>
      <c r="Q130" s="31" t="s">
        <v>239</v>
      </c>
      <c r="R130" s="3"/>
    </row>
    <row r="131" spans="1:18">
      <c r="A131" s="14"/>
      <c r="B131" s="9"/>
      <c r="C131" s="10"/>
      <c r="D131" s="9"/>
      <c r="E131" s="9"/>
      <c r="F131" s="9"/>
      <c r="G131" s="3"/>
      <c r="H131" s="3"/>
      <c r="I131" s="8"/>
      <c r="J131" s="3"/>
      <c r="K131" s="31"/>
      <c r="L131" s="3"/>
      <c r="M131" s="8"/>
      <c r="N131" s="8"/>
      <c r="O131" s="21"/>
      <c r="P131" s="3"/>
      <c r="Q131" s="3"/>
      <c r="R131" s="3"/>
    </row>
    <row r="132" spans="1:18">
      <c r="A132" s="14"/>
      <c r="B132" s="11"/>
      <c r="C132" s="12"/>
      <c r="D132" s="11"/>
      <c r="E132" s="11"/>
      <c r="F132" s="11"/>
      <c r="G132" s="3"/>
      <c r="H132" s="3"/>
      <c r="I132" s="8"/>
      <c r="J132" s="3"/>
      <c r="K132" s="31"/>
      <c r="L132" s="3"/>
      <c r="M132" s="8"/>
      <c r="N132" s="8"/>
      <c r="O132" s="21"/>
      <c r="P132" s="3"/>
      <c r="Q132" s="3"/>
      <c r="R132" s="3"/>
    </row>
    <row r="133" spans="1:18">
      <c r="A133" s="14"/>
      <c r="B133" s="9"/>
      <c r="C133" s="10"/>
      <c r="D133" s="9"/>
      <c r="E133" s="9"/>
      <c r="F133" s="9"/>
      <c r="G133" s="3"/>
      <c r="H133" s="3"/>
      <c r="I133" s="8"/>
      <c r="J133" s="3"/>
      <c r="K133" s="31"/>
      <c r="L133" s="3"/>
      <c r="M133" s="8"/>
      <c r="N133" s="8"/>
      <c r="O133" s="21"/>
      <c r="P133" s="3"/>
      <c r="Q133" s="3"/>
      <c r="R133" s="3"/>
    </row>
    <row r="134" spans="1:18">
      <c r="A134" s="14"/>
      <c r="B134" s="150" t="str">
        <f t="shared" ref="B134:B135" si="24">UPPER(H134)</f>
        <v xml:space="preserve">ASSET </v>
      </c>
      <c r="C134" s="141"/>
      <c r="D134" s="141"/>
      <c r="E134" s="141"/>
      <c r="F134" s="141"/>
      <c r="G134" s="28"/>
      <c r="H134" s="167" t="s">
        <v>208</v>
      </c>
      <c r="I134" s="141"/>
      <c r="J134" s="141"/>
      <c r="K134" s="141"/>
      <c r="L134" s="141"/>
      <c r="M134" s="8"/>
      <c r="N134" s="149" t="s">
        <v>818</v>
      </c>
      <c r="O134" s="141"/>
      <c r="P134" s="141"/>
      <c r="Q134" s="141"/>
      <c r="R134" s="141"/>
    </row>
    <row r="135" spans="1:18">
      <c r="A135" s="14"/>
      <c r="B135" s="146" t="str">
        <f t="shared" si="24"/>
        <v>THE MONK STUDIOS</v>
      </c>
      <c r="C135" s="141"/>
      <c r="D135" s="141"/>
      <c r="E135" s="141"/>
      <c r="F135" s="141"/>
      <c r="G135" s="3"/>
      <c r="H135" s="149" t="s">
        <v>202</v>
      </c>
      <c r="I135" s="141"/>
      <c r="J135" s="141"/>
      <c r="K135" s="141"/>
      <c r="L135" s="141"/>
      <c r="M135" s="8"/>
      <c r="N135" s="149" t="s">
        <v>202</v>
      </c>
      <c r="O135" s="141"/>
      <c r="P135" s="141"/>
      <c r="Q135" s="141"/>
      <c r="R135" s="141"/>
    </row>
    <row r="136" spans="1:18">
      <c r="A136" s="14"/>
      <c r="B136" s="38"/>
      <c r="C136" s="38"/>
      <c r="D136" s="38"/>
      <c r="E136" s="38"/>
      <c r="F136" s="38"/>
      <c r="G136" s="3"/>
      <c r="H136" s="5"/>
      <c r="I136" s="5"/>
      <c r="J136" s="5"/>
      <c r="K136" s="5"/>
      <c r="L136" s="5"/>
      <c r="M136" s="3"/>
      <c r="N136" s="5"/>
      <c r="O136" s="5"/>
      <c r="P136" s="5"/>
      <c r="Q136" s="5"/>
      <c r="R136" s="5"/>
    </row>
    <row r="137" spans="1:18">
      <c r="A137" s="14"/>
      <c r="B137" s="9"/>
      <c r="C137" s="10" t="str">
        <f t="shared" ref="C137:C150" si="25">UPPER(I137)</f>
        <v>TEXTURE SUPERVISOR</v>
      </c>
      <c r="D137" s="9"/>
      <c r="E137" s="9" t="str">
        <f t="shared" ref="E137:E152" si="26">UPPER(K137)</f>
        <v>REWAT SIKHEMNGAM</v>
      </c>
      <c r="F137" s="9"/>
      <c r="G137" s="3"/>
      <c r="H137" s="3"/>
      <c r="I137" s="36" t="s">
        <v>240</v>
      </c>
      <c r="J137" s="3"/>
      <c r="K137" s="22" t="s">
        <v>241</v>
      </c>
      <c r="L137" s="3"/>
      <c r="M137" s="8"/>
      <c r="N137" s="3"/>
      <c r="O137" s="36" t="s">
        <v>240</v>
      </c>
      <c r="P137" s="3"/>
      <c r="Q137" s="22" t="s">
        <v>241</v>
      </c>
      <c r="R137" s="3"/>
    </row>
    <row r="138" spans="1:18">
      <c r="A138" s="14"/>
      <c r="B138" s="9"/>
      <c r="C138" s="10" t="str">
        <f t="shared" si="25"/>
        <v/>
      </c>
      <c r="D138" s="9"/>
      <c r="E138" s="9" t="str">
        <f t="shared" si="26"/>
        <v/>
      </c>
      <c r="F138" s="9"/>
      <c r="G138" s="3"/>
      <c r="H138" s="3"/>
      <c r="I138" s="36"/>
      <c r="J138" s="3"/>
      <c r="K138" s="22"/>
      <c r="L138" s="3"/>
      <c r="M138" s="8"/>
      <c r="N138" s="3"/>
      <c r="O138" s="36"/>
      <c r="P138" s="3"/>
      <c r="Q138" s="22"/>
      <c r="R138" s="3"/>
    </row>
    <row r="139" spans="1:18">
      <c r="A139" s="14"/>
      <c r="B139" s="9"/>
      <c r="C139" s="10" t="str">
        <f t="shared" si="25"/>
        <v>TEXTURE LEAD</v>
      </c>
      <c r="D139" s="9"/>
      <c r="E139" s="9" t="str">
        <f t="shared" si="26"/>
        <v>DUANGRUETHAI WONGPHAKHAM</v>
      </c>
      <c r="F139" s="9"/>
      <c r="G139" s="3"/>
      <c r="H139" s="3"/>
      <c r="I139" s="36" t="s">
        <v>242</v>
      </c>
      <c r="J139" s="3"/>
      <c r="K139" s="22" t="s">
        <v>243</v>
      </c>
      <c r="L139" s="3"/>
      <c r="M139" s="8"/>
      <c r="N139" s="3"/>
      <c r="O139" s="36" t="s">
        <v>242</v>
      </c>
      <c r="P139" s="3"/>
      <c r="Q139" s="22" t="s">
        <v>243</v>
      </c>
      <c r="R139" s="3"/>
    </row>
    <row r="140" spans="1:18">
      <c r="A140" s="14"/>
      <c r="B140" s="9"/>
      <c r="C140" s="10" t="str">
        <f t="shared" si="25"/>
        <v/>
      </c>
      <c r="D140" s="9"/>
      <c r="E140" s="9" t="str">
        <f t="shared" si="26"/>
        <v/>
      </c>
      <c r="F140" s="9"/>
      <c r="G140" s="3"/>
      <c r="H140" s="3"/>
      <c r="I140" s="36"/>
      <c r="J140" s="3"/>
      <c r="K140" s="22"/>
      <c r="L140" s="3"/>
      <c r="M140" s="8"/>
      <c r="N140" s="3"/>
      <c r="O140" s="36"/>
      <c r="P140" s="3"/>
      <c r="Q140" s="22"/>
      <c r="R140" s="3"/>
    </row>
    <row r="141" spans="1:18">
      <c r="A141" s="14"/>
      <c r="B141" s="9"/>
      <c r="C141" s="10" t="str">
        <f t="shared" si="25"/>
        <v>TEXTURE ARTIST</v>
      </c>
      <c r="D141" s="9"/>
      <c r="E141" s="9" t="str">
        <f t="shared" si="26"/>
        <v>SURANG PASAMLEE</v>
      </c>
      <c r="F141" s="9"/>
      <c r="G141" s="3"/>
      <c r="H141" s="3"/>
      <c r="I141" s="36" t="s">
        <v>244</v>
      </c>
      <c r="J141" s="3"/>
      <c r="K141" s="22" t="s">
        <v>245</v>
      </c>
      <c r="L141" s="3"/>
      <c r="M141" s="8"/>
      <c r="N141" s="3"/>
      <c r="O141" s="36" t="s">
        <v>244</v>
      </c>
      <c r="P141" s="3"/>
      <c r="Q141" s="22" t="s">
        <v>245</v>
      </c>
      <c r="R141" s="3"/>
    </row>
    <row r="142" spans="1:18">
      <c r="A142" s="14"/>
      <c r="B142" s="9"/>
      <c r="C142" s="10" t="str">
        <f t="shared" si="25"/>
        <v/>
      </c>
      <c r="D142" s="9"/>
      <c r="E142" s="9" t="str">
        <f t="shared" si="26"/>
        <v>RUJIKAN PHENPAIJIT</v>
      </c>
      <c r="F142" s="9"/>
      <c r="G142" s="3"/>
      <c r="H142" s="3"/>
      <c r="I142" s="8"/>
      <c r="J142" s="3"/>
      <c r="K142" s="22" t="s">
        <v>246</v>
      </c>
      <c r="L142" s="3"/>
      <c r="M142" s="8"/>
      <c r="N142" s="3"/>
      <c r="O142" s="8"/>
      <c r="P142" s="3"/>
      <c r="Q142" s="22" t="s">
        <v>246</v>
      </c>
      <c r="R142" s="3"/>
    </row>
    <row r="143" spans="1:18">
      <c r="A143" s="14"/>
      <c r="B143" s="9"/>
      <c r="C143" s="10" t="str">
        <f t="shared" si="25"/>
        <v/>
      </c>
      <c r="D143" s="9"/>
      <c r="E143" s="9" t="str">
        <f t="shared" si="26"/>
        <v>POONNAWAT SANTIYOTHIN</v>
      </c>
      <c r="F143" s="9"/>
      <c r="G143" s="3"/>
      <c r="H143" s="3"/>
      <c r="I143" s="8"/>
      <c r="J143" s="3"/>
      <c r="K143" s="22" t="s">
        <v>247</v>
      </c>
      <c r="L143" s="3"/>
      <c r="M143" s="8"/>
      <c r="N143" s="3"/>
      <c r="O143" s="8"/>
      <c r="P143" s="3"/>
      <c r="Q143" s="22" t="s">
        <v>247</v>
      </c>
      <c r="R143" s="3"/>
    </row>
    <row r="144" spans="1:18">
      <c r="A144" s="14"/>
      <c r="B144" s="9"/>
      <c r="C144" s="10" t="str">
        <f t="shared" si="25"/>
        <v/>
      </c>
      <c r="D144" s="9"/>
      <c r="E144" s="9" t="str">
        <f t="shared" si="26"/>
        <v>NUTCHAYA PUENGPREEDA</v>
      </c>
      <c r="F144" s="9"/>
      <c r="G144" s="3"/>
      <c r="H144" s="3"/>
      <c r="I144" s="8"/>
      <c r="J144" s="3"/>
      <c r="K144" s="22" t="s">
        <v>248</v>
      </c>
      <c r="L144" s="3"/>
      <c r="M144" s="8"/>
      <c r="N144" s="3"/>
      <c r="O144" s="8"/>
      <c r="P144" s="3"/>
      <c r="Q144" s="22" t="s">
        <v>248</v>
      </c>
      <c r="R144" s="3"/>
    </row>
    <row r="145" spans="1:18">
      <c r="A145" s="14"/>
      <c r="B145" s="9"/>
      <c r="C145" s="10" t="str">
        <f t="shared" si="25"/>
        <v/>
      </c>
      <c r="D145" s="9"/>
      <c r="E145" s="9" t="str">
        <f t="shared" si="26"/>
        <v>KANLAYANEE SUWANNABUT</v>
      </c>
      <c r="F145" s="9"/>
      <c r="G145" s="3"/>
      <c r="H145" s="3"/>
      <c r="I145" s="8"/>
      <c r="J145" s="3"/>
      <c r="K145" s="22" t="s">
        <v>249</v>
      </c>
      <c r="L145" s="3"/>
      <c r="M145" s="8"/>
      <c r="N145" s="3"/>
      <c r="O145" s="8"/>
      <c r="P145" s="3"/>
      <c r="Q145" s="22" t="s">
        <v>249</v>
      </c>
      <c r="R145" s="3"/>
    </row>
    <row r="146" spans="1:18">
      <c r="A146" s="14"/>
      <c r="B146" s="9"/>
      <c r="C146" s="10" t="str">
        <f t="shared" si="25"/>
        <v/>
      </c>
      <c r="D146" s="9"/>
      <c r="E146" s="9" t="str">
        <f t="shared" si="26"/>
        <v>THANAWAT SAWATCHITANG</v>
      </c>
      <c r="F146" s="9"/>
      <c r="G146" s="3"/>
      <c r="H146" s="3"/>
      <c r="I146" s="8"/>
      <c r="J146" s="3"/>
      <c r="K146" s="22" t="s">
        <v>250</v>
      </c>
      <c r="L146" s="3"/>
      <c r="M146" s="8"/>
      <c r="N146" s="3"/>
      <c r="O146" s="8"/>
      <c r="P146" s="3"/>
      <c r="Q146" s="22" t="s">
        <v>250</v>
      </c>
      <c r="R146" s="3"/>
    </row>
    <row r="147" spans="1:18">
      <c r="A147" s="14"/>
      <c r="B147" s="9"/>
      <c r="C147" s="10" t="str">
        <f t="shared" si="25"/>
        <v/>
      </c>
      <c r="D147" s="9"/>
      <c r="E147" s="9" t="str">
        <f t="shared" si="26"/>
        <v>NATYADA WANGKAHAT</v>
      </c>
      <c r="F147" s="9"/>
      <c r="G147" s="3"/>
      <c r="H147" s="3"/>
      <c r="I147" s="8"/>
      <c r="J147" s="3"/>
      <c r="K147" s="22" t="s">
        <v>251</v>
      </c>
      <c r="L147" s="3"/>
      <c r="M147" s="8"/>
      <c r="N147" s="3"/>
      <c r="O147" s="8"/>
      <c r="P147" s="3"/>
      <c r="Q147" s="22" t="s">
        <v>251</v>
      </c>
      <c r="R147" s="3"/>
    </row>
    <row r="148" spans="1:18">
      <c r="A148" s="14"/>
      <c r="B148" s="9"/>
      <c r="C148" s="10" t="str">
        <f t="shared" si="25"/>
        <v/>
      </c>
      <c r="D148" s="9"/>
      <c r="E148" s="9" t="str">
        <f t="shared" si="26"/>
        <v>KWANLARB POTJANASUNTORN</v>
      </c>
      <c r="F148" s="9"/>
      <c r="G148" s="3"/>
      <c r="H148" s="3"/>
      <c r="I148" s="8"/>
      <c r="J148" s="3"/>
      <c r="K148" s="22" t="s">
        <v>252</v>
      </c>
      <c r="L148" s="3"/>
      <c r="M148" s="8"/>
      <c r="N148" s="3"/>
      <c r="O148" s="8"/>
      <c r="P148" s="3"/>
      <c r="Q148" s="22" t="s">
        <v>252</v>
      </c>
      <c r="R148" s="3"/>
    </row>
    <row r="149" spans="1:18">
      <c r="A149" s="14"/>
      <c r="B149" s="9"/>
      <c r="C149" s="10" t="str">
        <f t="shared" si="25"/>
        <v/>
      </c>
      <c r="D149" s="9"/>
      <c r="E149" s="9" t="str">
        <f t="shared" si="26"/>
        <v>KLAORAVEE PANPENG</v>
      </c>
      <c r="F149" s="9"/>
      <c r="G149" s="3"/>
      <c r="H149" s="3"/>
      <c r="I149" s="8"/>
      <c r="J149" s="3"/>
      <c r="K149" s="22" t="s">
        <v>253</v>
      </c>
      <c r="L149" s="3"/>
      <c r="M149" s="8"/>
      <c r="N149" s="3"/>
      <c r="O149" s="8"/>
      <c r="P149" s="3"/>
      <c r="Q149" s="22" t="s">
        <v>253</v>
      </c>
      <c r="R149" s="3"/>
    </row>
    <row r="150" spans="1:18">
      <c r="A150" s="14"/>
      <c r="B150" s="9"/>
      <c r="C150" s="10" t="str">
        <f t="shared" si="25"/>
        <v/>
      </c>
      <c r="D150" s="9"/>
      <c r="E150" s="9" t="str">
        <f t="shared" si="26"/>
        <v>NATPAPON TITICHOATRATTNA</v>
      </c>
      <c r="F150" s="9"/>
      <c r="G150" s="3"/>
      <c r="H150" s="3"/>
      <c r="I150" s="8"/>
      <c r="J150" s="3"/>
      <c r="K150" s="22" t="s">
        <v>254</v>
      </c>
      <c r="L150" s="3"/>
      <c r="M150" s="8"/>
      <c r="N150" s="3"/>
      <c r="O150" s="8"/>
      <c r="P150" s="3"/>
      <c r="Q150" s="22" t="s">
        <v>254</v>
      </c>
      <c r="R150" s="3"/>
    </row>
    <row r="151" spans="1:18">
      <c r="A151" s="14"/>
      <c r="B151" s="9"/>
      <c r="C151" s="10"/>
      <c r="D151" s="9"/>
      <c r="E151" s="9" t="str">
        <f t="shared" si="26"/>
        <v>SARUTA SANTIPRAP</v>
      </c>
      <c r="F151" s="9"/>
      <c r="G151" s="3"/>
      <c r="H151" s="3"/>
      <c r="I151" s="8"/>
      <c r="J151" s="3"/>
      <c r="K151" s="22" t="s">
        <v>611</v>
      </c>
      <c r="L151" s="3"/>
      <c r="M151" s="8"/>
      <c r="N151" s="3"/>
      <c r="O151" s="8"/>
      <c r="P151" s="3"/>
      <c r="Q151" s="22" t="s">
        <v>611</v>
      </c>
      <c r="R151" s="3"/>
    </row>
    <row r="152" spans="1:18">
      <c r="A152" s="14"/>
      <c r="B152" s="9"/>
      <c r="C152" s="10"/>
      <c r="D152" s="9"/>
      <c r="E152" s="9" t="str">
        <f t="shared" si="26"/>
        <v>PHATTARANAN CHAROENKIAT</v>
      </c>
      <c r="F152" s="9"/>
      <c r="G152" s="3"/>
      <c r="H152" s="3"/>
      <c r="I152" s="8"/>
      <c r="J152" s="3"/>
      <c r="K152" s="22" t="s">
        <v>612</v>
      </c>
      <c r="L152" s="3"/>
      <c r="M152" s="8"/>
      <c r="N152" s="3"/>
      <c r="O152" s="8"/>
      <c r="P152" s="3"/>
      <c r="Q152" s="22" t="s">
        <v>612</v>
      </c>
      <c r="R152" s="3"/>
    </row>
    <row r="153" spans="1:18">
      <c r="A153" s="14"/>
      <c r="B153" s="9"/>
      <c r="C153" s="10"/>
      <c r="D153" s="9"/>
      <c r="E153" s="9"/>
      <c r="F153" s="9"/>
      <c r="G153" s="3"/>
      <c r="H153" s="3"/>
      <c r="I153" s="8"/>
      <c r="J153" s="3"/>
      <c r="K153" s="22"/>
      <c r="L153" s="3"/>
      <c r="M153" s="8"/>
      <c r="N153" s="8"/>
      <c r="O153" s="21"/>
      <c r="P153" s="3"/>
      <c r="Q153" s="3"/>
      <c r="R153" s="3"/>
    </row>
    <row r="154" spans="1:18">
      <c r="A154" s="14"/>
      <c r="B154" s="11"/>
      <c r="C154" s="12"/>
      <c r="D154" s="11"/>
      <c r="E154" s="11"/>
      <c r="F154" s="11"/>
      <c r="G154" s="3"/>
      <c r="H154" s="3"/>
      <c r="I154" s="8"/>
      <c r="J154" s="3"/>
      <c r="K154" s="22"/>
      <c r="L154" s="3"/>
      <c r="M154" s="8"/>
      <c r="N154" s="8"/>
      <c r="O154" s="21"/>
      <c r="P154" s="3"/>
      <c r="Q154" s="3"/>
      <c r="R154" s="3"/>
    </row>
    <row r="155" spans="1:18">
      <c r="A155" s="14"/>
      <c r="B155" s="9"/>
      <c r="C155" s="10"/>
      <c r="D155" s="9"/>
      <c r="E155" s="9"/>
      <c r="F155" s="9"/>
      <c r="G155" s="3"/>
      <c r="H155" s="3"/>
      <c r="I155" s="8"/>
      <c r="J155" s="3"/>
      <c r="K155" s="22"/>
      <c r="L155" s="3"/>
      <c r="M155" s="8"/>
      <c r="N155" s="8"/>
      <c r="O155" s="21"/>
      <c r="P155" s="3"/>
      <c r="Q155" s="3"/>
      <c r="R155" s="3"/>
    </row>
    <row r="156" spans="1:18">
      <c r="A156" s="14"/>
      <c r="B156" s="150" t="str">
        <f t="shared" ref="B156:B157" si="27">UPPER(H156)</f>
        <v xml:space="preserve">ASSET </v>
      </c>
      <c r="C156" s="141"/>
      <c r="D156" s="141"/>
      <c r="E156" s="141"/>
      <c r="F156" s="141"/>
      <c r="G156" s="28"/>
      <c r="H156" s="167" t="s">
        <v>208</v>
      </c>
      <c r="I156" s="141"/>
      <c r="J156" s="141"/>
      <c r="K156" s="141"/>
      <c r="L156" s="141"/>
      <c r="M156" s="8"/>
      <c r="N156" s="149" t="s">
        <v>818</v>
      </c>
      <c r="O156" s="141"/>
      <c r="P156" s="141"/>
      <c r="Q156" s="141"/>
      <c r="R156" s="141"/>
    </row>
    <row r="157" spans="1:18">
      <c r="A157" s="14"/>
      <c r="B157" s="146" t="str">
        <f t="shared" si="27"/>
        <v>THE MONK STUDIOS</v>
      </c>
      <c r="C157" s="141"/>
      <c r="D157" s="141"/>
      <c r="E157" s="141"/>
      <c r="F157" s="141"/>
      <c r="G157" s="3"/>
      <c r="H157" s="149" t="s">
        <v>202</v>
      </c>
      <c r="I157" s="141"/>
      <c r="J157" s="141"/>
      <c r="K157" s="141"/>
      <c r="L157" s="141"/>
      <c r="M157" s="8"/>
      <c r="N157" s="149" t="s">
        <v>202</v>
      </c>
      <c r="O157" s="141"/>
      <c r="P157" s="141"/>
      <c r="Q157" s="141"/>
      <c r="R157" s="141"/>
    </row>
    <row r="158" spans="1:18">
      <c r="A158" s="14"/>
      <c r="B158" s="9"/>
      <c r="C158" s="10"/>
      <c r="D158" s="9"/>
      <c r="E158" s="9"/>
      <c r="F158" s="9"/>
      <c r="G158" s="3"/>
      <c r="H158" s="3"/>
      <c r="I158" s="36"/>
      <c r="J158" s="3"/>
      <c r="K158" s="22"/>
      <c r="L158" s="3"/>
      <c r="M158" s="8"/>
      <c r="N158" s="3"/>
      <c r="O158" s="36"/>
      <c r="P158" s="3"/>
      <c r="Q158" s="22"/>
      <c r="R158" s="3"/>
    </row>
    <row r="159" spans="1:18">
      <c r="A159" s="14"/>
      <c r="B159" s="9"/>
      <c r="C159" s="10" t="str">
        <f t="shared" ref="C159:C171" si="28">UPPER(I159)</f>
        <v>RIG SUPERVISOR</v>
      </c>
      <c r="D159" s="9"/>
      <c r="E159" s="9" t="str">
        <f t="shared" ref="E159:E172" si="29">UPPER(K159)</f>
        <v>SORAWIT LIMKERTPOL</v>
      </c>
      <c r="F159" s="9"/>
      <c r="G159" s="3"/>
      <c r="H159" s="3"/>
      <c r="I159" s="36" t="s">
        <v>255</v>
      </c>
      <c r="J159" s="3"/>
      <c r="K159" s="31" t="s">
        <v>256</v>
      </c>
      <c r="L159" s="3"/>
      <c r="M159" s="8"/>
      <c r="N159" s="3"/>
      <c r="O159" s="36" t="s">
        <v>255</v>
      </c>
      <c r="P159" s="3"/>
      <c r="Q159" s="31" t="s">
        <v>256</v>
      </c>
      <c r="R159" s="3"/>
    </row>
    <row r="160" spans="1:18">
      <c r="A160" s="14"/>
      <c r="B160" s="9"/>
      <c r="C160" s="10" t="str">
        <f t="shared" si="28"/>
        <v/>
      </c>
      <c r="D160" s="9"/>
      <c r="E160" s="9" t="str">
        <f t="shared" si="29"/>
        <v/>
      </c>
      <c r="F160" s="9"/>
      <c r="G160" s="3"/>
      <c r="H160" s="3"/>
      <c r="I160" s="36"/>
      <c r="J160" s="3"/>
      <c r="K160" s="31"/>
      <c r="L160" s="3"/>
      <c r="M160" s="8"/>
      <c r="N160" s="3"/>
      <c r="O160" s="36"/>
      <c r="P160" s="3"/>
      <c r="Q160" s="31"/>
      <c r="R160" s="3"/>
    </row>
    <row r="161" spans="1:18">
      <c r="A161" s="14"/>
      <c r="B161" s="9"/>
      <c r="C161" s="10" t="str">
        <f t="shared" si="28"/>
        <v>RIG LEAD</v>
      </c>
      <c r="D161" s="9"/>
      <c r="E161" s="9" t="str">
        <f t="shared" si="29"/>
        <v>RATHTY PONGWORAPINIT</v>
      </c>
      <c r="F161" s="9"/>
      <c r="G161" s="3"/>
      <c r="H161" s="3"/>
      <c r="I161" s="36" t="s">
        <v>257</v>
      </c>
      <c r="J161" s="3"/>
      <c r="K161" s="31" t="s">
        <v>258</v>
      </c>
      <c r="L161" s="3"/>
      <c r="M161" s="8"/>
      <c r="N161" s="3"/>
      <c r="O161" s="36" t="s">
        <v>257</v>
      </c>
      <c r="P161" s="3"/>
      <c r="Q161" s="31" t="s">
        <v>258</v>
      </c>
      <c r="R161" s="3"/>
    </row>
    <row r="162" spans="1:18">
      <c r="A162" s="14"/>
      <c r="B162" s="9"/>
      <c r="C162" s="10" t="str">
        <f t="shared" si="28"/>
        <v/>
      </c>
      <c r="D162" s="9"/>
      <c r="E162" s="9" t="str">
        <f t="shared" si="29"/>
        <v>CHONNIKAN SONSAMRIT</v>
      </c>
      <c r="F162" s="9"/>
      <c r="G162" s="3"/>
      <c r="H162" s="3"/>
      <c r="I162" s="36"/>
      <c r="J162" s="3"/>
      <c r="K162" s="31" t="s">
        <v>259</v>
      </c>
      <c r="L162" s="3"/>
      <c r="M162" s="8"/>
      <c r="N162" s="3"/>
      <c r="O162" s="36"/>
      <c r="P162" s="3"/>
      <c r="Q162" s="31" t="s">
        <v>259</v>
      </c>
      <c r="R162" s="3"/>
    </row>
    <row r="163" spans="1:18">
      <c r="A163" s="14"/>
      <c r="B163" s="9"/>
      <c r="C163" s="10" t="str">
        <f t="shared" si="28"/>
        <v/>
      </c>
      <c r="D163" s="9"/>
      <c r="E163" s="9" t="str">
        <f t="shared" si="29"/>
        <v/>
      </c>
      <c r="F163" s="9"/>
      <c r="G163" s="3"/>
      <c r="H163" s="3"/>
      <c r="I163" s="36"/>
      <c r="J163" s="3"/>
      <c r="K163" s="31"/>
      <c r="L163" s="3"/>
      <c r="M163" s="8"/>
      <c r="N163" s="3"/>
      <c r="O163" s="36"/>
      <c r="P163" s="3"/>
      <c r="Q163" s="31"/>
      <c r="R163" s="3"/>
    </row>
    <row r="164" spans="1:18">
      <c r="A164" s="14"/>
      <c r="B164" s="9"/>
      <c r="C164" s="10" t="str">
        <f t="shared" si="28"/>
        <v>RIG ARTIST</v>
      </c>
      <c r="D164" s="9"/>
      <c r="E164" s="9" t="str">
        <f t="shared" si="29"/>
        <v>ALI RAZA</v>
      </c>
      <c r="F164" s="9"/>
      <c r="G164" s="3"/>
      <c r="H164" s="3"/>
      <c r="I164" s="36" t="s">
        <v>260</v>
      </c>
      <c r="J164" s="3"/>
      <c r="K164" s="31" t="s">
        <v>261</v>
      </c>
      <c r="L164" s="3"/>
      <c r="M164" s="8"/>
      <c r="N164" s="3"/>
      <c r="O164" s="36" t="s">
        <v>260</v>
      </c>
      <c r="P164" s="3"/>
      <c r="Q164" s="31" t="s">
        <v>261</v>
      </c>
      <c r="R164" s="3"/>
    </row>
    <row r="165" spans="1:18">
      <c r="A165" s="14"/>
      <c r="B165" s="9"/>
      <c r="C165" s="10" t="str">
        <f t="shared" si="28"/>
        <v/>
      </c>
      <c r="D165" s="9"/>
      <c r="E165" s="9" t="str">
        <f t="shared" si="29"/>
        <v>BHUMINAT CHATURAMETHANONT</v>
      </c>
      <c r="F165" s="9"/>
      <c r="G165" s="3"/>
      <c r="H165" s="3"/>
      <c r="I165" s="8"/>
      <c r="J165" s="3"/>
      <c r="K165" s="31" t="s">
        <v>262</v>
      </c>
      <c r="L165" s="3"/>
      <c r="M165" s="8"/>
      <c r="N165" s="3"/>
      <c r="O165" s="8"/>
      <c r="P165" s="3"/>
      <c r="Q165" s="31" t="s">
        <v>262</v>
      </c>
      <c r="R165" s="3"/>
    </row>
    <row r="166" spans="1:18">
      <c r="A166" s="14"/>
      <c r="B166" s="9"/>
      <c r="C166" s="10" t="str">
        <f t="shared" si="28"/>
        <v/>
      </c>
      <c r="D166" s="9"/>
      <c r="E166" s="9" t="str">
        <f t="shared" si="29"/>
        <v>KRITTAPAD DEJJEENMUANG</v>
      </c>
      <c r="F166" s="9"/>
      <c r="G166" s="3"/>
      <c r="H166" s="3"/>
      <c r="I166" s="8"/>
      <c r="J166" s="3"/>
      <c r="K166" s="31" t="s">
        <v>263</v>
      </c>
      <c r="L166" s="3"/>
      <c r="M166" s="8"/>
      <c r="N166" s="3"/>
      <c r="O166" s="8"/>
      <c r="P166" s="3"/>
      <c r="Q166" s="31" t="s">
        <v>263</v>
      </c>
      <c r="R166" s="3"/>
    </row>
    <row r="167" spans="1:18">
      <c r="A167" s="14"/>
      <c r="B167" s="9"/>
      <c r="C167" s="10" t="str">
        <f t="shared" si="28"/>
        <v/>
      </c>
      <c r="D167" s="9"/>
      <c r="E167" s="9" t="str">
        <f t="shared" si="29"/>
        <v>ANAWIN SARNMOUNG</v>
      </c>
      <c r="F167" s="9"/>
      <c r="G167" s="3"/>
      <c r="H167" s="3"/>
      <c r="I167" s="8"/>
      <c r="J167" s="3"/>
      <c r="K167" s="31" t="s">
        <v>264</v>
      </c>
      <c r="L167" s="3"/>
      <c r="M167" s="8"/>
      <c r="N167" s="3"/>
      <c r="O167" s="8"/>
      <c r="P167" s="3"/>
      <c r="Q167" s="31" t="s">
        <v>264</v>
      </c>
      <c r="R167" s="3"/>
    </row>
    <row r="168" spans="1:18">
      <c r="A168" s="14"/>
      <c r="B168" s="9"/>
      <c r="C168" s="10" t="str">
        <f t="shared" si="28"/>
        <v/>
      </c>
      <c r="D168" s="9"/>
      <c r="E168" s="9" t="str">
        <f t="shared" si="29"/>
        <v>CHANYA KANICHAPONG</v>
      </c>
      <c r="F168" s="9"/>
      <c r="G168" s="3"/>
      <c r="H168" s="3"/>
      <c r="I168" s="8"/>
      <c r="J168" s="3"/>
      <c r="K168" s="31" t="s">
        <v>265</v>
      </c>
      <c r="L168" s="3"/>
      <c r="M168" s="8"/>
      <c r="N168" s="3"/>
      <c r="O168" s="8"/>
      <c r="P168" s="3"/>
      <c r="Q168" s="31" t="s">
        <v>265</v>
      </c>
      <c r="R168" s="3"/>
    </row>
    <row r="169" spans="1:18">
      <c r="A169" s="14"/>
      <c r="B169" s="9"/>
      <c r="C169" s="10" t="str">
        <f t="shared" si="28"/>
        <v/>
      </c>
      <c r="D169" s="9"/>
      <c r="E169" s="9" t="str">
        <f t="shared" si="29"/>
        <v>JIRAYUT JAIKLA</v>
      </c>
      <c r="F169" s="9"/>
      <c r="G169" s="3"/>
      <c r="H169" s="3"/>
      <c r="I169" s="8"/>
      <c r="J169" s="3"/>
      <c r="K169" s="31" t="s">
        <v>266</v>
      </c>
      <c r="L169" s="3"/>
      <c r="M169" s="8"/>
      <c r="N169" s="3"/>
      <c r="O169" s="8"/>
      <c r="P169" s="3"/>
      <c r="Q169" s="31" t="s">
        <v>266</v>
      </c>
      <c r="R169" s="3"/>
    </row>
    <row r="170" spans="1:18">
      <c r="A170" s="14"/>
      <c r="B170" s="9"/>
      <c r="C170" s="10" t="str">
        <f t="shared" si="28"/>
        <v/>
      </c>
      <c r="D170" s="9"/>
      <c r="E170" s="9" t="str">
        <f t="shared" si="29"/>
        <v>NANTAPAK PRUANGKARN</v>
      </c>
      <c r="F170" s="9"/>
      <c r="G170" s="3"/>
      <c r="H170" s="3"/>
      <c r="I170" s="8"/>
      <c r="J170" s="3"/>
      <c r="K170" s="31" t="s">
        <v>267</v>
      </c>
      <c r="L170" s="3"/>
      <c r="M170" s="8"/>
      <c r="N170" s="3"/>
      <c r="O170" s="8"/>
      <c r="P170" s="3"/>
      <c r="Q170" s="31" t="s">
        <v>267</v>
      </c>
      <c r="R170" s="3"/>
    </row>
    <row r="171" spans="1:18">
      <c r="A171" s="14"/>
      <c r="B171" s="9"/>
      <c r="C171" s="10" t="str">
        <f t="shared" si="28"/>
        <v/>
      </c>
      <c r="D171" s="9"/>
      <c r="E171" s="9" t="str">
        <f t="shared" si="29"/>
        <v>PANCHANOK CHOMCHUEN</v>
      </c>
      <c r="F171" s="9"/>
      <c r="G171" s="3"/>
      <c r="H171" s="3"/>
      <c r="I171" s="8"/>
      <c r="J171" s="3"/>
      <c r="K171" s="31" t="s">
        <v>268</v>
      </c>
      <c r="L171" s="3"/>
      <c r="M171" s="8"/>
      <c r="N171" s="3"/>
      <c r="O171" s="8"/>
      <c r="P171" s="3"/>
      <c r="Q171" s="31" t="s">
        <v>268</v>
      </c>
      <c r="R171" s="3"/>
    </row>
    <row r="172" spans="1:18">
      <c r="A172" s="14"/>
      <c r="B172" s="9"/>
      <c r="C172" s="10"/>
      <c r="D172" s="9"/>
      <c r="E172" s="9" t="str">
        <f t="shared" si="29"/>
        <v>TAWEEWAT TAWEEPASAS</v>
      </c>
      <c r="F172" s="9"/>
      <c r="G172" s="3"/>
      <c r="H172" s="3"/>
      <c r="I172" s="8"/>
      <c r="J172" s="3"/>
      <c r="K172" s="31" t="s">
        <v>269</v>
      </c>
      <c r="L172" s="3"/>
      <c r="M172" s="8"/>
      <c r="N172" s="3"/>
      <c r="O172" s="8"/>
      <c r="P172" s="3"/>
      <c r="Q172" s="31" t="s">
        <v>269</v>
      </c>
      <c r="R172" s="3"/>
    </row>
    <row r="173" spans="1:18">
      <c r="A173" s="14"/>
      <c r="B173" s="9"/>
      <c r="C173" s="10"/>
      <c r="D173" s="9"/>
      <c r="E173" s="9"/>
      <c r="F173" s="9"/>
      <c r="G173" s="3"/>
      <c r="H173" s="3"/>
      <c r="I173" s="36"/>
      <c r="J173" s="3"/>
      <c r="K173" s="31"/>
      <c r="L173" s="3"/>
      <c r="M173" s="8"/>
      <c r="N173" s="8"/>
      <c r="O173" s="21"/>
      <c r="P173" s="3"/>
      <c r="Q173" s="3"/>
      <c r="R173" s="3"/>
    </row>
    <row r="174" spans="1:18">
      <c r="A174" s="14"/>
      <c r="B174" s="11"/>
      <c r="C174" s="12"/>
      <c r="D174" s="11"/>
      <c r="E174" s="11"/>
      <c r="F174" s="11"/>
      <c r="G174" s="3"/>
      <c r="H174" s="3"/>
      <c r="I174" s="36"/>
      <c r="J174" s="3"/>
      <c r="K174" s="31"/>
      <c r="L174" s="3"/>
      <c r="M174" s="8"/>
      <c r="N174" s="8"/>
      <c r="O174" s="21"/>
      <c r="P174" s="3"/>
      <c r="Q174" s="3"/>
      <c r="R174" s="3"/>
    </row>
    <row r="175" spans="1:18">
      <c r="A175" s="14"/>
      <c r="B175" s="9"/>
      <c r="C175" s="10"/>
      <c r="D175" s="9"/>
      <c r="E175" s="9"/>
      <c r="F175" s="9"/>
      <c r="G175" s="3"/>
      <c r="H175" s="3"/>
      <c r="I175" s="36"/>
      <c r="J175" s="3"/>
      <c r="K175" s="31"/>
      <c r="L175" s="3"/>
      <c r="M175" s="8"/>
      <c r="N175" s="8"/>
      <c r="O175" s="21"/>
      <c r="P175" s="3"/>
      <c r="Q175" s="3"/>
      <c r="R175" s="3"/>
    </row>
    <row r="176" spans="1:18">
      <c r="A176" s="14"/>
      <c r="B176" s="150" t="str">
        <f t="shared" ref="B176:B177" si="30">UPPER(H176)</f>
        <v xml:space="preserve">ASSET </v>
      </c>
      <c r="C176" s="141"/>
      <c r="D176" s="141"/>
      <c r="E176" s="141"/>
      <c r="F176" s="141"/>
      <c r="G176" s="28"/>
      <c r="H176" s="167" t="s">
        <v>208</v>
      </c>
      <c r="I176" s="141"/>
      <c r="J176" s="141"/>
      <c r="K176" s="141"/>
      <c r="L176" s="141"/>
      <c r="M176" s="8"/>
      <c r="N176" s="149" t="s">
        <v>818</v>
      </c>
      <c r="O176" s="141"/>
      <c r="P176" s="141"/>
      <c r="Q176" s="141"/>
      <c r="R176" s="141"/>
    </row>
    <row r="177" spans="1:18">
      <c r="A177" s="14"/>
      <c r="B177" s="146" t="str">
        <f t="shared" si="30"/>
        <v>THE MONK STUDIOS</v>
      </c>
      <c r="C177" s="141"/>
      <c r="D177" s="141"/>
      <c r="E177" s="141"/>
      <c r="F177" s="141"/>
      <c r="G177" s="3"/>
      <c r="H177" s="149" t="s">
        <v>202</v>
      </c>
      <c r="I177" s="141"/>
      <c r="J177" s="141"/>
      <c r="K177" s="141"/>
      <c r="L177" s="141"/>
      <c r="M177" s="8"/>
      <c r="N177" s="149" t="s">
        <v>202</v>
      </c>
      <c r="O177" s="141"/>
      <c r="P177" s="141"/>
      <c r="Q177" s="141"/>
      <c r="R177" s="141"/>
    </row>
    <row r="178" spans="1:18">
      <c r="A178" s="14"/>
      <c r="B178" s="9"/>
      <c r="C178" s="10"/>
      <c r="D178" s="9"/>
      <c r="E178" s="9"/>
      <c r="F178" s="9"/>
      <c r="G178" s="3"/>
      <c r="H178" s="3"/>
      <c r="I178" s="36"/>
      <c r="J178" s="3"/>
      <c r="K178" s="31"/>
      <c r="L178" s="3"/>
      <c r="M178" s="8"/>
      <c r="N178" s="3"/>
      <c r="O178" s="36"/>
      <c r="P178" s="3"/>
      <c r="Q178" s="31"/>
      <c r="R178" s="3"/>
    </row>
    <row r="179" spans="1:18">
      <c r="A179" s="14"/>
      <c r="B179" s="9"/>
      <c r="C179" s="10" t="str">
        <f>UPPER(I179)</f>
        <v>GROOMING SUPERVISOR</v>
      </c>
      <c r="D179" s="9"/>
      <c r="E179" s="9" t="str">
        <f>UPPER(K179)</f>
        <v>PHURINUT TANGCHAROEN</v>
      </c>
      <c r="F179" s="9"/>
      <c r="G179" s="3"/>
      <c r="H179" s="3"/>
      <c r="I179" s="36" t="s">
        <v>270</v>
      </c>
      <c r="J179" s="3"/>
      <c r="K179" s="31" t="s">
        <v>271</v>
      </c>
      <c r="L179" s="3"/>
      <c r="M179" s="8"/>
      <c r="N179" s="3"/>
      <c r="O179" s="36" t="s">
        <v>270</v>
      </c>
      <c r="P179" s="3"/>
      <c r="Q179" s="31" t="s">
        <v>271</v>
      </c>
      <c r="R179" s="3"/>
    </row>
    <row r="180" spans="1:18">
      <c r="A180" s="14"/>
      <c r="B180" s="9"/>
      <c r="C180" s="10"/>
      <c r="D180" s="9"/>
      <c r="E180" s="9"/>
      <c r="F180" s="9"/>
      <c r="G180" s="3"/>
      <c r="H180" s="3"/>
      <c r="I180" s="36"/>
      <c r="J180" s="3"/>
      <c r="K180" s="31"/>
      <c r="L180" s="3"/>
      <c r="M180" s="8"/>
      <c r="N180" s="3"/>
      <c r="O180" s="36"/>
      <c r="P180" s="3"/>
      <c r="Q180" s="31"/>
      <c r="R180" s="3"/>
    </row>
    <row r="181" spans="1:18">
      <c r="A181" s="14"/>
      <c r="B181" s="9"/>
      <c r="C181" s="10" t="str">
        <f t="shared" ref="C181:C184" si="31">UPPER(I181)</f>
        <v>GROOMING ARTIST</v>
      </c>
      <c r="D181" s="9"/>
      <c r="E181" s="9" t="str">
        <f t="shared" ref="E181:E185" si="32">UPPER(K181)</f>
        <v>BUDSARAPORN WAICHUENCHORM</v>
      </c>
      <c r="F181" s="9"/>
      <c r="G181" s="3"/>
      <c r="H181" s="3"/>
      <c r="I181" s="36" t="s">
        <v>272</v>
      </c>
      <c r="J181" s="3"/>
      <c r="K181" s="31" t="s">
        <v>273</v>
      </c>
      <c r="L181" s="3"/>
      <c r="M181" s="8"/>
      <c r="N181" s="3"/>
      <c r="O181" s="36" t="s">
        <v>272</v>
      </c>
      <c r="P181" s="3"/>
      <c r="Q181" s="31" t="s">
        <v>273</v>
      </c>
      <c r="R181" s="3"/>
    </row>
    <row r="182" spans="1:18">
      <c r="A182" s="14"/>
      <c r="B182" s="9"/>
      <c r="C182" s="10" t="str">
        <f t="shared" si="31"/>
        <v/>
      </c>
      <c r="D182" s="9"/>
      <c r="E182" s="9" t="str">
        <f t="shared" si="32"/>
        <v>PRAEWPAN SAEPUNG</v>
      </c>
      <c r="F182" s="9"/>
      <c r="G182" s="3"/>
      <c r="H182" s="3"/>
      <c r="I182" s="8"/>
      <c r="J182" s="3"/>
      <c r="K182" s="39" t="s">
        <v>274</v>
      </c>
      <c r="L182" s="3"/>
      <c r="M182" s="8"/>
      <c r="N182" s="3"/>
      <c r="O182" s="8"/>
      <c r="P182" s="3"/>
      <c r="Q182" s="39" t="s">
        <v>274</v>
      </c>
      <c r="R182" s="3"/>
    </row>
    <row r="183" spans="1:18">
      <c r="A183" s="14"/>
      <c r="B183" s="9"/>
      <c r="C183" s="10" t="str">
        <f t="shared" si="31"/>
        <v/>
      </c>
      <c r="D183" s="9"/>
      <c r="E183" s="9" t="str">
        <f t="shared" si="32"/>
        <v>VANLIPHA KAEWKHAO</v>
      </c>
      <c r="F183" s="9"/>
      <c r="G183" s="3"/>
      <c r="H183" s="3"/>
      <c r="I183" s="8"/>
      <c r="J183" s="3"/>
      <c r="K183" s="31" t="s">
        <v>275</v>
      </c>
      <c r="L183" s="3"/>
      <c r="M183" s="8"/>
      <c r="N183" s="3"/>
      <c r="O183" s="8"/>
      <c r="P183" s="3"/>
      <c r="Q183" s="31" t="s">
        <v>275</v>
      </c>
      <c r="R183" s="3"/>
    </row>
    <row r="184" spans="1:18">
      <c r="A184" s="14"/>
      <c r="B184" s="9"/>
      <c r="C184" s="10" t="str">
        <f t="shared" si="31"/>
        <v/>
      </c>
      <c r="D184" s="9"/>
      <c r="E184" s="9" t="str">
        <f t="shared" si="32"/>
        <v>PATIPARN KAWINCHAN</v>
      </c>
      <c r="F184" s="9"/>
      <c r="G184" s="3"/>
      <c r="H184" s="3"/>
      <c r="I184" s="8"/>
      <c r="J184" s="3"/>
      <c r="K184" s="31" t="s">
        <v>276</v>
      </c>
      <c r="L184" s="3"/>
      <c r="M184" s="8"/>
      <c r="N184" s="3"/>
      <c r="O184" s="8"/>
      <c r="P184" s="3"/>
      <c r="Q184" s="31" t="s">
        <v>276</v>
      </c>
      <c r="R184" s="3"/>
    </row>
    <row r="185" spans="1:18">
      <c r="A185" s="14"/>
      <c r="B185" s="9"/>
      <c r="C185" s="10"/>
      <c r="D185" s="9"/>
      <c r="E185" s="9" t="str">
        <f t="shared" si="32"/>
        <v>YOTIN TONGBANTURNG</v>
      </c>
      <c r="F185" s="9"/>
      <c r="G185" s="3"/>
      <c r="H185" s="3"/>
      <c r="I185" s="8"/>
      <c r="J185" s="3"/>
      <c r="K185" s="31" t="s">
        <v>277</v>
      </c>
      <c r="L185" s="3"/>
      <c r="M185" s="8"/>
      <c r="N185" s="3"/>
      <c r="O185" s="8"/>
      <c r="P185" s="3"/>
      <c r="Q185" s="31" t="s">
        <v>277</v>
      </c>
      <c r="R185" s="3"/>
    </row>
    <row r="186" spans="1:18">
      <c r="A186" s="14"/>
      <c r="B186" s="9"/>
      <c r="C186" s="10"/>
      <c r="D186" s="9"/>
      <c r="E186" s="9"/>
      <c r="F186" s="9"/>
      <c r="G186" s="3"/>
      <c r="H186" s="3"/>
      <c r="I186" s="8"/>
      <c r="J186" s="3"/>
      <c r="K186" s="31"/>
      <c r="L186" s="3"/>
      <c r="M186" s="8"/>
      <c r="N186" s="8"/>
      <c r="O186" s="21"/>
      <c r="P186" s="3"/>
      <c r="Q186" s="3"/>
      <c r="R186" s="3"/>
    </row>
    <row r="187" spans="1:18">
      <c r="A187" s="14"/>
      <c r="B187" s="11"/>
      <c r="C187" s="12"/>
      <c r="D187" s="11"/>
      <c r="E187" s="11"/>
      <c r="F187" s="11"/>
      <c r="G187" s="3"/>
      <c r="H187" s="3"/>
      <c r="I187" s="8"/>
      <c r="J187" s="3"/>
      <c r="K187" s="31"/>
      <c r="L187" s="3"/>
      <c r="M187" s="8"/>
      <c r="N187" s="8"/>
      <c r="O187" s="21"/>
      <c r="P187" s="3"/>
      <c r="Q187" s="3"/>
      <c r="R187" s="3"/>
    </row>
    <row r="188" spans="1:18">
      <c r="A188" s="14"/>
      <c r="B188" s="9"/>
      <c r="C188" s="10"/>
      <c r="D188" s="9"/>
      <c r="E188" s="9"/>
      <c r="F188" s="9"/>
      <c r="G188" s="3"/>
      <c r="H188" s="3"/>
      <c r="I188" s="8"/>
      <c r="J188" s="3"/>
      <c r="K188" s="31"/>
      <c r="L188" s="3"/>
      <c r="M188" s="8"/>
      <c r="N188" s="8"/>
      <c r="O188" s="21"/>
      <c r="P188" s="3"/>
      <c r="Q188" s="3"/>
      <c r="R188" s="3"/>
    </row>
    <row r="189" spans="1:18">
      <c r="A189" s="14"/>
      <c r="B189" s="150" t="str">
        <f>UPPER(H189)</f>
        <v>LAYOUT</v>
      </c>
      <c r="C189" s="141"/>
      <c r="D189" s="141"/>
      <c r="E189" s="141"/>
      <c r="F189" s="141"/>
      <c r="G189" s="28"/>
      <c r="H189" s="167" t="s">
        <v>278</v>
      </c>
      <c r="I189" s="141"/>
      <c r="J189" s="141"/>
      <c r="K189" s="141"/>
      <c r="L189" s="141"/>
      <c r="M189" s="29"/>
      <c r="N189" s="149" t="s">
        <v>829</v>
      </c>
      <c r="O189" s="141"/>
      <c r="P189" s="141"/>
      <c r="Q189" s="141"/>
      <c r="R189" s="141"/>
    </row>
    <row r="190" spans="1:18">
      <c r="A190" s="14"/>
      <c r="B190" s="9"/>
      <c r="C190" s="10" t="str">
        <f>UPPER(I190)</f>
        <v>LAYOUT DIRECTOR</v>
      </c>
      <c r="D190" s="9"/>
      <c r="E190" s="9" t="str">
        <f>UPPER(K190)</f>
        <v>KYUNGMIN KIM</v>
      </c>
      <c r="F190" s="9"/>
      <c r="G190" s="3"/>
      <c r="H190" s="3"/>
      <c r="I190" s="8" t="s">
        <v>279</v>
      </c>
      <c r="J190" s="3"/>
      <c r="K190" s="3" t="s">
        <v>280</v>
      </c>
      <c r="L190" s="3"/>
      <c r="M190" s="8"/>
      <c r="N190" s="8"/>
      <c r="O190" s="21" t="s">
        <v>830</v>
      </c>
      <c r="P190" s="3"/>
      <c r="Q190" s="3" t="s">
        <v>831</v>
      </c>
      <c r="R190" s="3"/>
    </row>
    <row r="191" spans="1:18">
      <c r="A191" s="14"/>
      <c r="B191" s="9"/>
      <c r="C191" s="10"/>
      <c r="D191" s="9"/>
      <c r="E191" s="9"/>
      <c r="F191" s="9"/>
      <c r="G191" s="3"/>
      <c r="H191" s="3"/>
      <c r="I191" s="8"/>
      <c r="J191" s="3"/>
      <c r="K191" s="31"/>
      <c r="L191" s="3"/>
      <c r="M191" s="8"/>
      <c r="N191" s="8"/>
      <c r="O191" s="21"/>
      <c r="P191" s="3"/>
      <c r="Q191" s="3"/>
      <c r="R191" s="3"/>
    </row>
    <row r="192" spans="1:18">
      <c r="A192" s="14"/>
      <c r="B192" s="9"/>
      <c r="C192" s="10"/>
      <c r="D192" s="9"/>
      <c r="E192" s="9"/>
      <c r="F192" s="9"/>
      <c r="G192" s="3"/>
      <c r="H192" s="3"/>
      <c r="I192" s="8"/>
      <c r="J192" s="3"/>
      <c r="K192" s="31"/>
      <c r="L192" s="3"/>
      <c r="M192" s="8"/>
      <c r="N192" s="8"/>
      <c r="O192" s="21"/>
      <c r="P192" s="3"/>
      <c r="Q192" s="3"/>
      <c r="R192" s="3"/>
    </row>
    <row r="193" spans="1:18">
      <c r="A193" s="14"/>
      <c r="B193" s="146" t="str">
        <f>UPPER(H193)</f>
        <v>THE MONK STUDIOS</v>
      </c>
      <c r="C193" s="141"/>
      <c r="D193" s="141"/>
      <c r="E193" s="141"/>
      <c r="F193" s="141"/>
      <c r="G193" s="3"/>
      <c r="H193" s="149" t="s">
        <v>202</v>
      </c>
      <c r="I193" s="141"/>
      <c r="J193" s="141"/>
      <c r="K193" s="141"/>
      <c r="L193" s="141"/>
      <c r="M193" s="8"/>
      <c r="N193" s="149" t="s">
        <v>202</v>
      </c>
      <c r="O193" s="141"/>
      <c r="P193" s="141"/>
      <c r="Q193" s="141"/>
      <c r="R193" s="141"/>
    </row>
    <row r="194" spans="1:18">
      <c r="A194" s="14"/>
      <c r="B194" s="9"/>
      <c r="C194" s="10" t="str">
        <f>UPPER(I194)</f>
        <v>LAYOUT SUPERVISOR</v>
      </c>
      <c r="D194" s="9"/>
      <c r="E194" s="9" t="str">
        <f>UPPER(K194)</f>
        <v>NITAT	WIMANJUNT</v>
      </c>
      <c r="F194" s="9"/>
      <c r="G194" s="3"/>
      <c r="H194" s="3"/>
      <c r="I194" s="36" t="s">
        <v>281</v>
      </c>
      <c r="J194" s="3"/>
      <c r="K194" s="31" t="s">
        <v>282</v>
      </c>
      <c r="L194" s="3"/>
      <c r="M194" s="8"/>
      <c r="N194" s="3"/>
      <c r="O194" s="36" t="s">
        <v>281</v>
      </c>
      <c r="P194" s="3"/>
      <c r="Q194" s="31" t="s">
        <v>282</v>
      </c>
      <c r="R194" s="3"/>
    </row>
    <row r="195" spans="1:18">
      <c r="A195" s="14"/>
      <c r="B195" s="9"/>
      <c r="C195" s="10"/>
      <c r="D195" s="9"/>
      <c r="E195" s="9"/>
      <c r="F195" s="9"/>
      <c r="G195" s="3"/>
      <c r="H195" s="3"/>
      <c r="I195" s="36"/>
      <c r="J195" s="3"/>
      <c r="K195" s="31"/>
      <c r="L195" s="3"/>
      <c r="M195" s="8"/>
      <c r="N195" s="3"/>
      <c r="O195" s="36"/>
      <c r="P195" s="3"/>
      <c r="Q195" s="31"/>
      <c r="R195" s="3"/>
    </row>
    <row r="196" spans="1:18">
      <c r="A196" s="14"/>
      <c r="B196" s="9"/>
      <c r="C196" s="10" t="str">
        <f t="shared" ref="C196:C201" si="33">UPPER(I196)</f>
        <v>LAYOUT ARTIST</v>
      </c>
      <c r="D196" s="9"/>
      <c r="E196" s="9" t="str">
        <f t="shared" ref="E196:E201" si="34">UPPER(K196)</f>
        <v>PIYAPHON	SRIPHONGNGAM</v>
      </c>
      <c r="F196" s="9"/>
      <c r="G196" s="3"/>
      <c r="H196" s="3"/>
      <c r="I196" s="36" t="s">
        <v>283</v>
      </c>
      <c r="J196" s="3"/>
      <c r="K196" s="31" t="s">
        <v>284</v>
      </c>
      <c r="L196" s="3"/>
      <c r="M196" s="8"/>
      <c r="N196" s="3"/>
      <c r="O196" s="36" t="s">
        <v>283</v>
      </c>
      <c r="P196" s="3"/>
      <c r="Q196" s="31" t="s">
        <v>284</v>
      </c>
      <c r="R196" s="3"/>
    </row>
    <row r="197" spans="1:18">
      <c r="A197" s="14"/>
      <c r="B197" s="9"/>
      <c r="C197" s="10" t="str">
        <f t="shared" si="33"/>
        <v/>
      </c>
      <c r="D197" s="9"/>
      <c r="E197" s="9" t="str">
        <f t="shared" si="34"/>
        <v>PANYA	NATEKOBKUA</v>
      </c>
      <c r="F197" s="9"/>
      <c r="G197" s="3"/>
      <c r="H197" s="3"/>
      <c r="I197" s="8"/>
      <c r="J197" s="3"/>
      <c r="K197" s="31" t="s">
        <v>285</v>
      </c>
      <c r="L197" s="3"/>
      <c r="M197" s="8"/>
      <c r="N197" s="3"/>
      <c r="O197" s="8"/>
      <c r="P197" s="3"/>
      <c r="Q197" s="31" t="s">
        <v>285</v>
      </c>
      <c r="R197" s="3"/>
    </row>
    <row r="198" spans="1:18">
      <c r="A198" s="14"/>
      <c r="B198" s="9"/>
      <c r="C198" s="10" t="str">
        <f t="shared" si="33"/>
        <v/>
      </c>
      <c r="D198" s="9"/>
      <c r="E198" s="9" t="str">
        <f t="shared" si="34"/>
        <v>CHONLATHORN	PHUSRI</v>
      </c>
      <c r="F198" s="9"/>
      <c r="G198" s="3"/>
      <c r="H198" s="3"/>
      <c r="I198" s="8"/>
      <c r="J198" s="3"/>
      <c r="K198" s="31" t="s">
        <v>286</v>
      </c>
      <c r="L198" s="3"/>
      <c r="M198" s="8"/>
      <c r="N198" s="3"/>
      <c r="O198" s="8"/>
      <c r="P198" s="3"/>
      <c r="Q198" s="31" t="s">
        <v>286</v>
      </c>
      <c r="R198" s="3"/>
    </row>
    <row r="199" spans="1:18">
      <c r="A199" s="14"/>
      <c r="B199" s="9"/>
      <c r="C199" s="10" t="str">
        <f t="shared" si="33"/>
        <v/>
      </c>
      <c r="D199" s="9"/>
      <c r="E199" s="9" t="str">
        <f t="shared" si="34"/>
        <v>NOPPARAT	WANGSIN</v>
      </c>
      <c r="F199" s="9"/>
      <c r="G199" s="3"/>
      <c r="H199" s="3"/>
      <c r="I199" s="8"/>
      <c r="J199" s="3"/>
      <c r="K199" s="31" t="s">
        <v>287</v>
      </c>
      <c r="L199" s="3"/>
      <c r="M199" s="8"/>
      <c r="N199" s="3"/>
      <c r="O199" s="8"/>
      <c r="P199" s="3"/>
      <c r="Q199" s="31" t="s">
        <v>287</v>
      </c>
      <c r="R199" s="3"/>
    </row>
    <row r="200" spans="1:18">
      <c r="A200" s="14"/>
      <c r="B200" s="9"/>
      <c r="C200" s="10" t="str">
        <f t="shared" si="33"/>
        <v/>
      </c>
      <c r="D200" s="9"/>
      <c r="E200" s="9" t="str">
        <f t="shared" si="34"/>
        <v>KANYANEE	DUANGNAPA</v>
      </c>
      <c r="F200" s="9"/>
      <c r="G200" s="3"/>
      <c r="H200" s="3"/>
      <c r="I200" s="8"/>
      <c r="J200" s="3"/>
      <c r="K200" s="31" t="s">
        <v>288</v>
      </c>
      <c r="L200" s="3"/>
      <c r="M200" s="8"/>
      <c r="N200" s="3"/>
      <c r="O200" s="8"/>
      <c r="P200" s="3"/>
      <c r="Q200" s="31" t="s">
        <v>288</v>
      </c>
      <c r="R200" s="3"/>
    </row>
    <row r="201" spans="1:18">
      <c r="A201" s="14"/>
      <c r="B201" s="9"/>
      <c r="C201" s="10" t="str">
        <f t="shared" si="33"/>
        <v/>
      </c>
      <c r="D201" s="9"/>
      <c r="E201" s="9" t="str">
        <f t="shared" si="34"/>
        <v>PHIRAPHON	PAKAPHONGPHAN</v>
      </c>
      <c r="F201" s="9"/>
      <c r="G201" s="3"/>
      <c r="H201" s="3"/>
      <c r="I201" s="8"/>
      <c r="J201" s="3"/>
      <c r="K201" s="31" t="s">
        <v>289</v>
      </c>
      <c r="L201" s="3"/>
      <c r="M201" s="8"/>
      <c r="N201" s="3"/>
      <c r="O201" s="8"/>
      <c r="P201" s="3"/>
      <c r="Q201" s="31" t="s">
        <v>289</v>
      </c>
      <c r="R201" s="3"/>
    </row>
    <row r="202" spans="1:18">
      <c r="A202" s="14"/>
      <c r="B202" s="9"/>
      <c r="C202" s="10"/>
      <c r="D202" s="9"/>
      <c r="E202" s="9"/>
      <c r="F202" s="9"/>
      <c r="G202" s="3"/>
      <c r="H202" s="3"/>
      <c r="I202" s="8"/>
      <c r="J202" s="3"/>
      <c r="K202" s="31"/>
      <c r="L202" s="3"/>
      <c r="M202" s="8"/>
      <c r="N202" s="8"/>
      <c r="O202" s="21"/>
      <c r="P202" s="3"/>
      <c r="Q202" s="3"/>
      <c r="R202" s="3"/>
    </row>
    <row r="203" spans="1:18">
      <c r="A203" s="14"/>
      <c r="B203" s="11"/>
      <c r="C203" s="12" t="str">
        <f>UPPER(I203)</f>
        <v/>
      </c>
      <c r="D203" s="11"/>
      <c r="E203" s="11" t="str">
        <f>UPPER(K203)</f>
        <v/>
      </c>
      <c r="F203" s="11"/>
      <c r="G203" s="3"/>
      <c r="H203" s="3"/>
      <c r="I203" s="8"/>
      <c r="J203" s="3"/>
      <c r="K203" s="13"/>
      <c r="L203" s="3"/>
      <c r="M203" s="8"/>
      <c r="N203" s="8"/>
      <c r="O203" s="21"/>
      <c r="P203" s="3"/>
      <c r="Q203" s="3"/>
      <c r="R203" s="3"/>
    </row>
    <row r="204" spans="1:18">
      <c r="A204" s="14"/>
      <c r="B204" s="6"/>
      <c r="C204" s="6"/>
      <c r="D204" s="6"/>
      <c r="E204" s="6"/>
      <c r="F204" s="6"/>
      <c r="G204" s="3"/>
      <c r="H204" s="7"/>
      <c r="I204" s="8"/>
      <c r="J204" s="7"/>
      <c r="K204" s="13"/>
      <c r="L204" s="7"/>
      <c r="M204" s="8"/>
      <c r="N204" s="8"/>
      <c r="O204" s="21"/>
      <c r="P204" s="3"/>
      <c r="Q204" s="3"/>
      <c r="R204" s="3"/>
    </row>
    <row r="205" spans="1:18">
      <c r="A205" s="14"/>
      <c r="B205" s="150" t="str">
        <f>UPPER(H205)</f>
        <v>ANIMATION</v>
      </c>
      <c r="C205" s="141"/>
      <c r="D205" s="141"/>
      <c r="E205" s="141"/>
      <c r="F205" s="141"/>
      <c r="G205" s="28"/>
      <c r="H205" s="167" t="s">
        <v>290</v>
      </c>
      <c r="I205" s="141"/>
      <c r="J205" s="141"/>
      <c r="K205" s="141"/>
      <c r="L205" s="141"/>
      <c r="M205" s="29"/>
      <c r="N205" s="149" t="s">
        <v>832</v>
      </c>
      <c r="O205" s="141"/>
      <c r="P205" s="141"/>
      <c r="Q205" s="141"/>
      <c r="R205" s="141"/>
    </row>
    <row r="206" spans="1:18">
      <c r="A206" s="14"/>
      <c r="B206" s="9"/>
      <c r="C206" s="10" t="str">
        <f>UPPER(I206)</f>
        <v>ANIMATION DIRECTOR</v>
      </c>
      <c r="D206" s="9"/>
      <c r="E206" s="9" t="str">
        <f>UPPER(K206)</f>
        <v>MINCHEOL CHOI</v>
      </c>
      <c r="F206" s="9"/>
      <c r="G206" s="3"/>
      <c r="H206" s="3"/>
      <c r="I206" s="8" t="s">
        <v>291</v>
      </c>
      <c r="J206" s="3"/>
      <c r="K206" s="3" t="s">
        <v>613</v>
      </c>
      <c r="L206" s="3"/>
      <c r="M206" s="8"/>
      <c r="N206" s="3"/>
      <c r="O206" s="8" t="s">
        <v>833</v>
      </c>
      <c r="P206" s="3"/>
      <c r="Q206" s="3" t="s">
        <v>954</v>
      </c>
      <c r="R206" s="3"/>
    </row>
    <row r="207" spans="1:18">
      <c r="A207" s="14"/>
      <c r="B207" s="9"/>
      <c r="C207" s="10"/>
      <c r="D207" s="9"/>
      <c r="E207" s="9"/>
      <c r="F207" s="9"/>
      <c r="G207" s="3"/>
      <c r="H207" s="3"/>
      <c r="I207" s="8"/>
      <c r="J207" s="3"/>
      <c r="K207" s="13"/>
      <c r="L207" s="3"/>
      <c r="M207" s="8"/>
      <c r="N207" s="8"/>
      <c r="O207" s="21"/>
      <c r="P207" s="3"/>
      <c r="Q207" s="3"/>
      <c r="R207" s="3"/>
    </row>
    <row r="208" spans="1:18">
      <c r="A208" s="14"/>
      <c r="B208" s="9"/>
      <c r="C208" s="10" t="str">
        <f>UPPER(I208)</f>
        <v/>
      </c>
      <c r="D208" s="9"/>
      <c r="E208" s="9" t="str">
        <f t="shared" ref="E208:E209" si="35">UPPER(K208)</f>
        <v/>
      </c>
      <c r="F208" s="9"/>
      <c r="G208" s="3"/>
      <c r="H208" s="3"/>
      <c r="I208" s="5"/>
      <c r="J208" s="5"/>
      <c r="K208" s="5"/>
      <c r="L208" s="3"/>
      <c r="M208" s="8"/>
      <c r="N208" s="8"/>
      <c r="O208" s="21"/>
      <c r="P208" s="3"/>
      <c r="Q208" s="3"/>
      <c r="R208" s="3"/>
    </row>
    <row r="209" spans="1:18">
      <c r="A209" s="14"/>
      <c r="B209" s="9"/>
      <c r="C209" s="10"/>
      <c r="D209" s="9"/>
      <c r="E209" s="9" t="str">
        <f t="shared" si="35"/>
        <v/>
      </c>
      <c r="F209" s="9"/>
      <c r="G209" s="3"/>
      <c r="H209" s="3"/>
      <c r="I209" s="5"/>
      <c r="J209" s="5"/>
      <c r="K209" s="5"/>
      <c r="L209" s="3"/>
      <c r="M209" s="8"/>
      <c r="N209" s="8"/>
      <c r="O209" s="21"/>
      <c r="P209" s="3"/>
      <c r="Q209" s="3"/>
      <c r="R209" s="3"/>
    </row>
    <row r="210" spans="1:18">
      <c r="A210" s="14"/>
      <c r="B210" s="146" t="str">
        <f>UPPER(H210)</f>
        <v>THE MONK STUDIOS</v>
      </c>
      <c r="C210" s="141"/>
      <c r="D210" s="141"/>
      <c r="E210" s="141"/>
      <c r="F210" s="141"/>
      <c r="G210" s="3"/>
      <c r="H210" s="149" t="s">
        <v>202</v>
      </c>
      <c r="I210" s="141"/>
      <c r="J210" s="141"/>
      <c r="K210" s="141"/>
      <c r="L210" s="141"/>
      <c r="M210" s="8"/>
      <c r="N210" s="149" t="s">
        <v>202</v>
      </c>
      <c r="O210" s="141"/>
      <c r="P210" s="141"/>
      <c r="Q210" s="141"/>
      <c r="R210" s="141"/>
    </row>
    <row r="211" spans="1:18">
      <c r="A211" s="14"/>
      <c r="B211" s="9"/>
      <c r="C211" s="10" t="str">
        <f t="shared" ref="C211:C217" si="36">UPPER(I211)</f>
        <v>ANIMATION DIRECTOR</v>
      </c>
      <c r="D211" s="9"/>
      <c r="E211" s="9" t="str">
        <f t="shared" ref="E211:E228" si="37">UPPER(K211)</f>
        <v>SUPAPORN KLONGPHAJONKIT</v>
      </c>
      <c r="F211" s="9"/>
      <c r="G211" s="3"/>
      <c r="H211" s="3"/>
      <c r="I211" s="36" t="s">
        <v>291</v>
      </c>
      <c r="J211" s="3"/>
      <c r="K211" s="31" t="s">
        <v>303</v>
      </c>
      <c r="L211" s="3"/>
      <c r="M211" s="8"/>
      <c r="N211" s="3"/>
      <c r="O211" s="36" t="s">
        <v>291</v>
      </c>
      <c r="P211" s="3"/>
      <c r="Q211" s="31" t="s">
        <v>303</v>
      </c>
      <c r="R211" s="3"/>
    </row>
    <row r="212" spans="1:18">
      <c r="A212" s="14"/>
      <c r="B212" s="9"/>
      <c r="C212" s="10" t="str">
        <f t="shared" si="36"/>
        <v/>
      </c>
      <c r="D212" s="9"/>
      <c r="E212" s="9" t="str">
        <f t="shared" si="37"/>
        <v/>
      </c>
      <c r="F212" s="9"/>
      <c r="G212" s="3"/>
      <c r="H212" s="3"/>
      <c r="I212" s="36"/>
      <c r="J212" s="3"/>
      <c r="K212" s="31"/>
      <c r="L212" s="3"/>
      <c r="M212" s="8"/>
      <c r="N212" s="3"/>
      <c r="O212" s="36"/>
      <c r="P212" s="3"/>
      <c r="Q212" s="31"/>
      <c r="R212" s="3"/>
    </row>
    <row r="213" spans="1:18">
      <c r="A213" s="14"/>
      <c r="B213" s="9"/>
      <c r="C213" s="10" t="str">
        <f t="shared" si="36"/>
        <v>ANIMATION SUPERVISOR</v>
      </c>
      <c r="D213" s="9"/>
      <c r="E213" s="9" t="str">
        <f t="shared" si="37"/>
        <v>PHAKAMAS PHASUK</v>
      </c>
      <c r="F213" s="9"/>
      <c r="G213" s="3"/>
      <c r="H213" s="3"/>
      <c r="I213" s="36" t="s">
        <v>293</v>
      </c>
      <c r="J213" s="3"/>
      <c r="K213" s="31" t="s">
        <v>614</v>
      </c>
      <c r="L213" s="3"/>
      <c r="M213" s="8"/>
      <c r="N213" s="3"/>
      <c r="O213" s="36" t="s">
        <v>293</v>
      </c>
      <c r="P213" s="3"/>
      <c r="Q213" s="31" t="s">
        <v>614</v>
      </c>
      <c r="R213" s="3"/>
    </row>
    <row r="214" spans="1:18">
      <c r="A214" s="14"/>
      <c r="B214" s="9"/>
      <c r="C214" s="10" t="str">
        <f t="shared" si="36"/>
        <v/>
      </c>
      <c r="D214" s="9"/>
      <c r="E214" s="9" t="str">
        <f t="shared" si="37"/>
        <v>SASIN POLITANONT</v>
      </c>
      <c r="F214" s="9"/>
      <c r="G214" s="3"/>
      <c r="H214" s="3"/>
      <c r="I214" s="36"/>
      <c r="J214" s="3"/>
      <c r="K214" s="31" t="s">
        <v>615</v>
      </c>
      <c r="L214" s="3"/>
      <c r="M214" s="8"/>
      <c r="N214" s="3"/>
      <c r="O214" s="36"/>
      <c r="P214" s="3"/>
      <c r="Q214" s="31" t="s">
        <v>615</v>
      </c>
      <c r="R214" s="3"/>
    </row>
    <row r="215" spans="1:18">
      <c r="A215" s="14"/>
      <c r="B215" s="9"/>
      <c r="C215" s="10" t="str">
        <f t="shared" si="36"/>
        <v/>
      </c>
      <c r="D215" s="9"/>
      <c r="E215" s="9" t="str">
        <f t="shared" si="37"/>
        <v/>
      </c>
      <c r="F215" s="9"/>
      <c r="G215" s="3"/>
      <c r="H215" s="3"/>
      <c r="I215" s="36"/>
      <c r="J215" s="3"/>
      <c r="K215" s="31"/>
      <c r="L215" s="3"/>
      <c r="M215" s="8"/>
      <c r="N215" s="3"/>
      <c r="O215" s="36"/>
      <c r="P215" s="3"/>
      <c r="Q215" s="31"/>
      <c r="R215" s="3"/>
    </row>
    <row r="216" spans="1:18">
      <c r="A216" s="14"/>
      <c r="B216" s="9"/>
      <c r="C216" s="10" t="str">
        <f t="shared" si="36"/>
        <v>ANIMATOR</v>
      </c>
      <c r="D216" s="9"/>
      <c r="E216" s="9" t="str">
        <f t="shared" si="37"/>
        <v>CHAIYAPAT KIATTHAVEEPHONG</v>
      </c>
      <c r="F216" s="9"/>
      <c r="G216" s="3"/>
      <c r="H216" s="3"/>
      <c r="I216" s="36" t="s">
        <v>296</v>
      </c>
      <c r="J216" s="3"/>
      <c r="K216" s="31" t="s">
        <v>616</v>
      </c>
      <c r="L216" s="3"/>
      <c r="M216" s="8"/>
      <c r="N216" s="3"/>
      <c r="O216" s="36" t="s">
        <v>296</v>
      </c>
      <c r="P216" s="3"/>
      <c r="Q216" s="31" t="s">
        <v>616</v>
      </c>
      <c r="R216" s="3"/>
    </row>
    <row r="217" spans="1:18">
      <c r="A217" s="14"/>
      <c r="B217" s="9"/>
      <c r="C217" s="10" t="str">
        <f t="shared" si="36"/>
        <v/>
      </c>
      <c r="D217" s="9"/>
      <c r="E217" s="9" t="str">
        <f t="shared" si="37"/>
        <v>CHAOWARAT SANG-OAN</v>
      </c>
      <c r="F217" s="9"/>
      <c r="G217" s="3"/>
      <c r="H217" s="3"/>
      <c r="I217" s="8"/>
      <c r="J217" s="3"/>
      <c r="K217" s="31" t="s">
        <v>617</v>
      </c>
      <c r="L217" s="3"/>
      <c r="M217" s="8"/>
      <c r="N217" s="3"/>
      <c r="O217" s="8"/>
      <c r="P217" s="3"/>
      <c r="Q217" s="31" t="s">
        <v>617</v>
      </c>
      <c r="R217" s="3"/>
    </row>
    <row r="218" spans="1:18">
      <c r="A218" s="14"/>
      <c r="B218" s="9"/>
      <c r="C218" s="10"/>
      <c r="D218" s="9"/>
      <c r="E218" s="9" t="str">
        <f t="shared" si="37"/>
        <v>DUANGPORN WONGKAEW</v>
      </c>
      <c r="F218" s="9"/>
      <c r="G218" s="3"/>
      <c r="H218" s="3"/>
      <c r="I218" s="8"/>
      <c r="J218" s="3"/>
      <c r="K218" s="31" t="s">
        <v>618</v>
      </c>
      <c r="L218" s="3"/>
      <c r="M218" s="8"/>
      <c r="N218" s="3"/>
      <c r="O218" s="8"/>
      <c r="P218" s="3"/>
      <c r="Q218" s="31" t="s">
        <v>618</v>
      </c>
      <c r="R218" s="3"/>
    </row>
    <row r="219" spans="1:18">
      <c r="A219" s="14"/>
      <c r="B219" s="9"/>
      <c r="C219" s="10"/>
      <c r="D219" s="9"/>
      <c r="E219" s="9" t="str">
        <f t="shared" si="37"/>
        <v>KITTICHAI BOETBO</v>
      </c>
      <c r="F219" s="9"/>
      <c r="G219" s="3"/>
      <c r="H219" s="3"/>
      <c r="I219" s="8"/>
      <c r="J219" s="3"/>
      <c r="K219" s="31" t="s">
        <v>619</v>
      </c>
      <c r="L219" s="3"/>
      <c r="M219" s="8"/>
      <c r="N219" s="3"/>
      <c r="O219" s="8"/>
      <c r="P219" s="3"/>
      <c r="Q219" s="31" t="s">
        <v>619</v>
      </c>
      <c r="R219" s="3"/>
    </row>
    <row r="220" spans="1:18">
      <c r="A220" s="14"/>
      <c r="B220" s="9"/>
      <c r="C220" s="10"/>
      <c r="D220" s="9"/>
      <c r="E220" s="9" t="str">
        <f t="shared" si="37"/>
        <v>SURACHED SIRIPRASERT</v>
      </c>
      <c r="F220" s="9"/>
      <c r="G220" s="3"/>
      <c r="H220" s="3"/>
      <c r="I220" s="8"/>
      <c r="J220" s="3"/>
      <c r="K220" s="31" t="s">
        <v>620</v>
      </c>
      <c r="L220" s="3"/>
      <c r="M220" s="8"/>
      <c r="N220" s="3"/>
      <c r="O220" s="8"/>
      <c r="P220" s="3"/>
      <c r="Q220" s="31" t="s">
        <v>620</v>
      </c>
      <c r="R220" s="3"/>
    </row>
    <row r="221" spans="1:18">
      <c r="A221" s="14"/>
      <c r="B221" s="9"/>
      <c r="C221" s="10"/>
      <c r="D221" s="9"/>
      <c r="E221" s="9" t="str">
        <f t="shared" si="37"/>
        <v>NATTAPON HONGTHONG</v>
      </c>
      <c r="F221" s="9"/>
      <c r="G221" s="3"/>
      <c r="H221" s="3"/>
      <c r="I221" s="8"/>
      <c r="J221" s="3"/>
      <c r="K221" s="31" t="s">
        <v>621</v>
      </c>
      <c r="L221" s="3"/>
      <c r="M221" s="8"/>
      <c r="N221" s="3"/>
      <c r="O221" s="8"/>
      <c r="P221" s="3"/>
      <c r="Q221" s="31" t="s">
        <v>621</v>
      </c>
      <c r="R221" s="3"/>
    </row>
    <row r="222" spans="1:18">
      <c r="A222" s="14"/>
      <c r="B222" s="9"/>
      <c r="C222" s="10"/>
      <c r="D222" s="9"/>
      <c r="E222" s="9" t="str">
        <f t="shared" si="37"/>
        <v>NAVATEP DANKAO</v>
      </c>
      <c r="F222" s="9"/>
      <c r="G222" s="3"/>
      <c r="H222" s="3"/>
      <c r="I222" s="8"/>
      <c r="J222" s="3"/>
      <c r="K222" s="31" t="s">
        <v>315</v>
      </c>
      <c r="L222" s="3"/>
      <c r="M222" s="8"/>
      <c r="N222" s="3"/>
      <c r="O222" s="8"/>
      <c r="P222" s="3"/>
      <c r="Q222" s="31" t="s">
        <v>315</v>
      </c>
      <c r="R222" s="3"/>
    </row>
    <row r="223" spans="1:18">
      <c r="A223" s="14"/>
      <c r="B223" s="9"/>
      <c r="C223" s="10"/>
      <c r="D223" s="9"/>
      <c r="E223" s="9" t="str">
        <f t="shared" si="37"/>
        <v>PAKARACHON RODKLUM</v>
      </c>
      <c r="F223" s="9"/>
      <c r="G223" s="3"/>
      <c r="H223" s="3"/>
      <c r="I223" s="8"/>
      <c r="J223" s="3"/>
      <c r="K223" s="31" t="s">
        <v>622</v>
      </c>
      <c r="L223" s="3"/>
      <c r="M223" s="8"/>
      <c r="N223" s="3"/>
      <c r="O223" s="8"/>
      <c r="P223" s="3"/>
      <c r="Q223" s="31" t="s">
        <v>622</v>
      </c>
      <c r="R223" s="3"/>
    </row>
    <row r="224" spans="1:18">
      <c r="A224" s="14"/>
      <c r="B224" s="9"/>
      <c r="C224" s="10"/>
      <c r="D224" s="9"/>
      <c r="E224" s="9" t="str">
        <f t="shared" si="37"/>
        <v>PANUPONG TIPMONTA</v>
      </c>
      <c r="F224" s="9"/>
      <c r="G224" s="3"/>
      <c r="H224" s="3"/>
      <c r="I224" s="8"/>
      <c r="J224" s="3"/>
      <c r="K224" s="31" t="s">
        <v>623</v>
      </c>
      <c r="L224" s="3"/>
      <c r="M224" s="8"/>
      <c r="N224" s="3"/>
      <c r="O224" s="8"/>
      <c r="P224" s="3"/>
      <c r="Q224" s="31" t="s">
        <v>623</v>
      </c>
      <c r="R224" s="3"/>
    </row>
    <row r="225" spans="1:18">
      <c r="A225" s="14"/>
      <c r="B225" s="9"/>
      <c r="C225" s="10"/>
      <c r="D225" s="9"/>
      <c r="E225" s="9" t="str">
        <f t="shared" si="37"/>
        <v>THANAPOL TIAMJAN</v>
      </c>
      <c r="F225" s="9"/>
      <c r="G225" s="3"/>
      <c r="H225" s="3"/>
      <c r="I225" s="8"/>
      <c r="J225" s="3"/>
      <c r="K225" s="31" t="s">
        <v>624</v>
      </c>
      <c r="L225" s="3"/>
      <c r="M225" s="8"/>
      <c r="N225" s="3"/>
      <c r="O225" s="8"/>
      <c r="P225" s="3"/>
      <c r="Q225" s="31" t="s">
        <v>624</v>
      </c>
      <c r="R225" s="3"/>
    </row>
    <row r="226" spans="1:18">
      <c r="A226" s="14"/>
      <c r="B226" s="9"/>
      <c r="C226" s="10"/>
      <c r="D226" s="9"/>
      <c r="E226" s="9" t="str">
        <f t="shared" si="37"/>
        <v>PARANPAT NGAMTHARANAKIT</v>
      </c>
      <c r="F226" s="9"/>
      <c r="G226" s="3"/>
      <c r="H226" s="3"/>
      <c r="I226" s="8"/>
      <c r="J226" s="3"/>
      <c r="K226" s="31" t="s">
        <v>625</v>
      </c>
      <c r="L226" s="3"/>
      <c r="M226" s="8"/>
      <c r="N226" s="3"/>
      <c r="O226" s="8"/>
      <c r="P226" s="3"/>
      <c r="Q226" s="31" t="s">
        <v>625</v>
      </c>
      <c r="R226" s="3"/>
    </row>
    <row r="227" spans="1:18">
      <c r="A227" s="14"/>
      <c r="B227" s="9"/>
      <c r="C227" s="10"/>
      <c r="D227" s="9"/>
      <c r="E227" s="9" t="str">
        <f t="shared" si="37"/>
        <v>PASIN NAKIN</v>
      </c>
      <c r="F227" s="9"/>
      <c r="G227" s="3"/>
      <c r="H227" s="3"/>
      <c r="I227" s="8"/>
      <c r="J227" s="3"/>
      <c r="K227" s="31" t="s">
        <v>626</v>
      </c>
      <c r="L227" s="3"/>
      <c r="M227" s="8"/>
      <c r="N227" s="3"/>
      <c r="O227" s="8"/>
      <c r="P227" s="3"/>
      <c r="Q227" s="31" t="s">
        <v>626</v>
      </c>
      <c r="R227" s="3"/>
    </row>
    <row r="228" spans="1:18">
      <c r="A228" s="14"/>
      <c r="B228" s="9"/>
      <c r="C228" s="10"/>
      <c r="D228" s="9"/>
      <c r="E228" s="9" t="str">
        <f t="shared" si="37"/>
        <v>PIMLADA SATIANPAKIRANAKORN</v>
      </c>
      <c r="F228" s="9"/>
      <c r="G228" s="3"/>
      <c r="H228" s="3"/>
      <c r="I228" s="8"/>
      <c r="J228" s="3"/>
      <c r="K228" s="31" t="s">
        <v>627</v>
      </c>
      <c r="L228" s="3"/>
      <c r="M228" s="8"/>
      <c r="N228" s="3"/>
      <c r="O228" s="8"/>
      <c r="P228" s="3"/>
      <c r="Q228" s="31" t="s">
        <v>627</v>
      </c>
      <c r="R228" s="3"/>
    </row>
    <row r="229" spans="1:18">
      <c r="A229" s="14"/>
      <c r="B229" s="9"/>
      <c r="C229" s="10"/>
      <c r="D229" s="9"/>
      <c r="E229" s="9"/>
      <c r="F229" s="9"/>
      <c r="G229" s="3"/>
      <c r="H229" s="3"/>
      <c r="I229" s="8"/>
      <c r="J229" s="3"/>
      <c r="K229" s="13"/>
      <c r="L229" s="3"/>
      <c r="M229" s="8"/>
      <c r="N229" s="8"/>
      <c r="O229" s="21"/>
      <c r="P229" s="3"/>
      <c r="Q229" s="3"/>
      <c r="R229" s="3"/>
    </row>
    <row r="230" spans="1:18">
      <c r="A230" s="14"/>
      <c r="B230" s="26"/>
      <c r="C230" s="26"/>
      <c r="D230" s="26"/>
      <c r="E230" s="26"/>
      <c r="F230" s="26"/>
      <c r="G230" s="3"/>
      <c r="H230" s="5"/>
      <c r="I230" s="5"/>
      <c r="J230" s="5"/>
      <c r="K230" s="5"/>
      <c r="L230" s="5"/>
      <c r="M230" s="8"/>
      <c r="N230" s="8"/>
      <c r="O230" s="21"/>
      <c r="P230" s="3"/>
      <c r="Q230" s="3"/>
      <c r="R230" s="3"/>
    </row>
    <row r="231" spans="1:18">
      <c r="A231" s="14"/>
      <c r="B231" s="6"/>
      <c r="C231" s="6"/>
      <c r="D231" s="6"/>
      <c r="E231" s="6"/>
      <c r="F231" s="6"/>
      <c r="G231" s="3"/>
      <c r="H231" s="5"/>
      <c r="I231" s="5"/>
      <c r="J231" s="5"/>
      <c r="K231" s="5"/>
      <c r="L231" s="5"/>
      <c r="M231" s="8"/>
      <c r="N231" s="8"/>
      <c r="O231" s="21"/>
      <c r="P231" s="3"/>
      <c r="Q231" s="3"/>
      <c r="R231" s="3"/>
    </row>
    <row r="232" spans="1:18">
      <c r="A232" s="14"/>
      <c r="B232" s="150" t="str">
        <f t="shared" ref="B232:B233" si="38">UPPER(H232)</f>
        <v>ANIMATION</v>
      </c>
      <c r="C232" s="141"/>
      <c r="D232" s="141"/>
      <c r="E232" s="141"/>
      <c r="F232" s="141"/>
      <c r="G232" s="28"/>
      <c r="H232" s="167" t="s">
        <v>290</v>
      </c>
      <c r="I232" s="141"/>
      <c r="J232" s="141"/>
      <c r="K232" s="141"/>
      <c r="L232" s="141"/>
      <c r="M232" s="8"/>
      <c r="N232" s="149" t="s">
        <v>832</v>
      </c>
      <c r="O232" s="141"/>
      <c r="P232" s="141"/>
      <c r="Q232" s="141"/>
      <c r="R232" s="141"/>
    </row>
    <row r="233" spans="1:18">
      <c r="A233" s="14"/>
      <c r="B233" s="146" t="str">
        <f t="shared" si="38"/>
        <v>THE MONK STUDIOS</v>
      </c>
      <c r="C233" s="141"/>
      <c r="D233" s="141"/>
      <c r="E233" s="141"/>
      <c r="F233" s="141"/>
      <c r="G233" s="3"/>
      <c r="H233" s="149" t="s">
        <v>202</v>
      </c>
      <c r="I233" s="141"/>
      <c r="J233" s="141"/>
      <c r="K233" s="141"/>
      <c r="L233" s="141"/>
      <c r="M233" s="8"/>
      <c r="N233" s="149" t="s">
        <v>202</v>
      </c>
      <c r="O233" s="141"/>
      <c r="P233" s="141"/>
      <c r="Q233" s="141"/>
      <c r="R233" s="141"/>
    </row>
    <row r="234" spans="1:18">
      <c r="A234" s="14"/>
      <c r="B234" s="9"/>
      <c r="C234" s="10"/>
      <c r="D234" s="9"/>
      <c r="E234" s="9"/>
      <c r="F234" s="9"/>
      <c r="G234" s="3"/>
      <c r="H234" s="3"/>
      <c r="I234" s="36"/>
      <c r="J234" s="3"/>
      <c r="K234" s="31"/>
      <c r="L234" s="3"/>
      <c r="M234" s="8"/>
      <c r="N234" s="3"/>
      <c r="O234" s="36"/>
      <c r="P234" s="3"/>
      <c r="Q234" s="31"/>
      <c r="R234" s="3"/>
    </row>
    <row r="235" spans="1:18">
      <c r="A235" s="14"/>
      <c r="B235" s="9"/>
      <c r="C235" s="10" t="str">
        <f>UPPER(I235)</f>
        <v>ANIMATOR</v>
      </c>
      <c r="D235" s="9"/>
      <c r="E235" s="9" t="str">
        <f t="shared" ref="E235:E238" si="39">UPPER(K235)</f>
        <v>JUTHAMAS POOCHAPUNTH</v>
      </c>
      <c r="F235" s="9"/>
      <c r="G235" s="3"/>
      <c r="H235" s="3"/>
      <c r="I235" s="36" t="s">
        <v>296</v>
      </c>
      <c r="J235" s="3"/>
      <c r="K235" s="31" t="s">
        <v>628</v>
      </c>
      <c r="L235" s="3"/>
      <c r="M235" s="8"/>
      <c r="N235" s="3"/>
      <c r="O235" s="36" t="s">
        <v>296</v>
      </c>
      <c r="P235" s="3"/>
      <c r="Q235" s="31" t="s">
        <v>628</v>
      </c>
      <c r="R235" s="3"/>
    </row>
    <row r="236" spans="1:18">
      <c r="A236" s="14"/>
      <c r="B236" s="9"/>
      <c r="C236" s="10"/>
      <c r="D236" s="9"/>
      <c r="E236" s="9" t="str">
        <f t="shared" si="39"/>
        <v>CHAIYAPAK PANAVIBOONPON</v>
      </c>
      <c r="F236" s="9"/>
      <c r="G236" s="3"/>
      <c r="H236" s="3"/>
      <c r="I236" s="8"/>
      <c r="J236" s="3"/>
      <c r="K236" s="31" t="s">
        <v>629</v>
      </c>
      <c r="L236" s="3"/>
      <c r="M236" s="8"/>
      <c r="N236" s="3"/>
      <c r="O236" s="8"/>
      <c r="P236" s="3"/>
      <c r="Q236" s="31" t="s">
        <v>629</v>
      </c>
      <c r="R236" s="3"/>
    </row>
    <row r="237" spans="1:18">
      <c r="A237" s="14"/>
      <c r="B237" s="9"/>
      <c r="C237" s="10" t="str">
        <f t="shared" ref="C237:C238" si="40">UPPER(I237)</f>
        <v/>
      </c>
      <c r="D237" s="9"/>
      <c r="E237" s="9" t="str">
        <f t="shared" si="39"/>
        <v>SUPHAT PINKAEW</v>
      </c>
      <c r="F237" s="9"/>
      <c r="G237" s="3"/>
      <c r="H237" s="3"/>
      <c r="I237" s="8"/>
      <c r="J237" s="3"/>
      <c r="K237" s="31" t="s">
        <v>630</v>
      </c>
      <c r="L237" s="3"/>
      <c r="M237" s="8"/>
      <c r="N237" s="3"/>
      <c r="O237" s="8"/>
      <c r="P237" s="3"/>
      <c r="Q237" s="31" t="s">
        <v>630</v>
      </c>
      <c r="R237" s="3"/>
    </row>
    <row r="238" spans="1:18">
      <c r="A238" s="14"/>
      <c r="B238" s="9"/>
      <c r="C238" s="10" t="str">
        <f t="shared" si="40"/>
        <v/>
      </c>
      <c r="D238" s="9"/>
      <c r="E238" s="9" t="str">
        <f t="shared" si="39"/>
        <v>WORAPOT PONCHAICHAROENKIT</v>
      </c>
      <c r="F238" s="9"/>
      <c r="G238" s="3"/>
      <c r="H238" s="3"/>
      <c r="I238" s="8"/>
      <c r="J238" s="3"/>
      <c r="K238" s="31" t="s">
        <v>631</v>
      </c>
      <c r="L238" s="3"/>
      <c r="M238" s="8"/>
      <c r="N238" s="3"/>
      <c r="O238" s="8"/>
      <c r="P238" s="3"/>
      <c r="Q238" s="31" t="s">
        <v>631</v>
      </c>
      <c r="R238" s="3"/>
    </row>
    <row r="239" spans="1:18">
      <c r="A239" s="14"/>
      <c r="B239" s="9"/>
      <c r="C239" s="10"/>
      <c r="D239" s="9"/>
      <c r="E239" s="9"/>
      <c r="F239" s="9"/>
      <c r="G239" s="3"/>
      <c r="H239" s="3"/>
      <c r="I239" s="8"/>
      <c r="J239" s="3"/>
      <c r="K239" s="31"/>
      <c r="L239" s="3"/>
      <c r="M239" s="8"/>
      <c r="N239" s="8"/>
      <c r="O239" s="21"/>
      <c r="P239" s="3"/>
      <c r="Q239" s="3"/>
      <c r="R239" s="3"/>
    </row>
    <row r="240" spans="1:18">
      <c r="A240" s="14"/>
      <c r="B240" s="11"/>
      <c r="C240" s="12" t="str">
        <f>UPPER(I240)</f>
        <v/>
      </c>
      <c r="D240" s="11"/>
      <c r="E240" s="11" t="str">
        <f>UPPER(K240)</f>
        <v/>
      </c>
      <c r="F240" s="11"/>
      <c r="G240" s="3"/>
      <c r="H240" s="3"/>
      <c r="I240" s="8"/>
      <c r="J240" s="3"/>
      <c r="K240" s="13"/>
      <c r="L240" s="3"/>
      <c r="M240" s="3"/>
      <c r="N240" s="3"/>
      <c r="O240" s="21"/>
      <c r="P240" s="3"/>
      <c r="Q240" s="3"/>
      <c r="R240" s="3"/>
    </row>
    <row r="241" spans="1:18">
      <c r="A241" s="14"/>
      <c r="B241" s="6"/>
      <c r="C241" s="6"/>
      <c r="D241" s="6"/>
      <c r="E241" s="6"/>
      <c r="F241" s="6"/>
      <c r="G241" s="3"/>
      <c r="H241" s="7"/>
      <c r="I241" s="8"/>
      <c r="J241" s="7"/>
      <c r="K241" s="13"/>
      <c r="L241" s="7"/>
      <c r="M241" s="8"/>
      <c r="N241" s="8"/>
      <c r="O241" s="21"/>
      <c r="P241" s="3"/>
      <c r="Q241" s="3"/>
      <c r="R241" s="3"/>
    </row>
    <row r="242" spans="1:18">
      <c r="A242" s="14"/>
      <c r="B242" s="150" t="str">
        <f>UPPER(H242)</f>
        <v>LIGHTING / VFX / COMPOSITING</v>
      </c>
      <c r="C242" s="141"/>
      <c r="D242" s="141"/>
      <c r="E242" s="141"/>
      <c r="F242" s="141"/>
      <c r="G242" s="28"/>
      <c r="H242" s="167" t="s">
        <v>330</v>
      </c>
      <c r="I242" s="141"/>
      <c r="J242" s="141"/>
      <c r="K242" s="141"/>
      <c r="L242" s="141"/>
      <c r="M242" s="29"/>
      <c r="N242" s="149" t="s">
        <v>845</v>
      </c>
      <c r="O242" s="141"/>
      <c r="P242" s="141"/>
      <c r="Q242" s="141"/>
      <c r="R242" s="141"/>
    </row>
    <row r="243" spans="1:18">
      <c r="A243" s="14"/>
      <c r="B243" s="9"/>
      <c r="C243" s="10" t="str">
        <f t="shared" ref="C243:C252" si="41">UPPER(I243)</f>
        <v>VFX SUPERVISOR</v>
      </c>
      <c r="D243" s="9"/>
      <c r="E243" s="9" t="str">
        <f t="shared" ref="E243:E252" si="42">UPPER(K243)</f>
        <v>HYEONGKI KIM</v>
      </c>
      <c r="F243" s="9"/>
      <c r="G243" s="3"/>
      <c r="H243" s="3"/>
      <c r="I243" s="8" t="s">
        <v>331</v>
      </c>
      <c r="J243" s="3"/>
      <c r="K243" s="13" t="s">
        <v>332</v>
      </c>
      <c r="L243" s="3"/>
      <c r="M243" s="8"/>
      <c r="N243" s="8"/>
      <c r="O243" s="8" t="s">
        <v>846</v>
      </c>
      <c r="P243" s="3"/>
      <c r="Q243" s="3" t="s">
        <v>847</v>
      </c>
      <c r="R243" s="3"/>
    </row>
    <row r="244" spans="1:18">
      <c r="A244" s="14"/>
      <c r="B244" s="9"/>
      <c r="C244" s="10" t="str">
        <f t="shared" si="41"/>
        <v/>
      </c>
      <c r="D244" s="9"/>
      <c r="E244" s="9" t="str">
        <f t="shared" si="42"/>
        <v/>
      </c>
      <c r="F244" s="9"/>
      <c r="G244" s="3"/>
      <c r="H244" s="3"/>
      <c r="I244" s="8"/>
      <c r="J244" s="3"/>
      <c r="K244" s="13"/>
      <c r="L244" s="3"/>
      <c r="M244" s="8"/>
      <c r="N244" s="8"/>
      <c r="O244" s="8"/>
      <c r="P244" s="3"/>
      <c r="Q244" s="3"/>
      <c r="R244" s="3"/>
    </row>
    <row r="245" spans="1:18">
      <c r="A245" s="14"/>
      <c r="B245" s="9"/>
      <c r="C245" s="10" t="str">
        <f t="shared" si="41"/>
        <v>LIGHTING SUPERVISOR</v>
      </c>
      <c r="D245" s="9"/>
      <c r="E245" s="9" t="str">
        <f t="shared" si="42"/>
        <v>TAE-IN LEE</v>
      </c>
      <c r="F245" s="9"/>
      <c r="G245" s="3"/>
      <c r="H245" s="3"/>
      <c r="I245" s="8" t="s">
        <v>333</v>
      </c>
      <c r="J245" s="3"/>
      <c r="K245" s="13" t="s">
        <v>334</v>
      </c>
      <c r="L245" s="3"/>
      <c r="M245" s="8"/>
      <c r="N245" s="8"/>
      <c r="O245" s="8" t="s">
        <v>848</v>
      </c>
      <c r="P245" s="3"/>
      <c r="Q245" s="3" t="s">
        <v>849</v>
      </c>
      <c r="R245" s="3"/>
    </row>
    <row r="246" spans="1:18">
      <c r="A246" s="14"/>
      <c r="B246" s="9"/>
      <c r="C246" s="10" t="str">
        <f t="shared" si="41"/>
        <v>LIGHTING ARTIST</v>
      </c>
      <c r="D246" s="9"/>
      <c r="E246" s="9" t="str">
        <f t="shared" si="42"/>
        <v>BYEONGHYEON HWANG</v>
      </c>
      <c r="F246" s="9"/>
      <c r="G246" s="3"/>
      <c r="H246" s="3"/>
      <c r="I246" s="8" t="s">
        <v>335</v>
      </c>
      <c r="J246" s="3"/>
      <c r="K246" s="13" t="s">
        <v>336</v>
      </c>
      <c r="L246" s="3"/>
      <c r="M246" s="8"/>
      <c r="N246" s="8"/>
      <c r="O246" s="8" t="s">
        <v>850</v>
      </c>
      <c r="P246" s="3"/>
      <c r="Q246" s="3" t="s">
        <v>851</v>
      </c>
      <c r="R246" s="3"/>
    </row>
    <row r="247" spans="1:18">
      <c r="A247" s="14"/>
      <c r="B247" s="9"/>
      <c r="C247" s="10" t="str">
        <f t="shared" si="41"/>
        <v/>
      </c>
      <c r="D247" s="9"/>
      <c r="E247" s="9" t="str">
        <f t="shared" si="42"/>
        <v/>
      </c>
      <c r="F247" s="9"/>
      <c r="G247" s="3"/>
      <c r="H247" s="3"/>
      <c r="I247" s="8"/>
      <c r="J247" s="3"/>
      <c r="K247" s="13"/>
      <c r="L247" s="3"/>
      <c r="M247" s="8"/>
      <c r="N247" s="8"/>
      <c r="O247" s="8"/>
      <c r="P247" s="3"/>
      <c r="Q247" s="3"/>
      <c r="R247" s="3"/>
    </row>
    <row r="248" spans="1:18">
      <c r="A248" s="14"/>
      <c r="B248" s="9"/>
      <c r="C248" s="10" t="str">
        <f t="shared" si="41"/>
        <v>FX SUPERVISOR</v>
      </c>
      <c r="D248" s="9"/>
      <c r="E248" s="9" t="str">
        <f t="shared" si="42"/>
        <v>SEWANG KIM</v>
      </c>
      <c r="F248" s="9"/>
      <c r="G248" s="3"/>
      <c r="H248" s="3"/>
      <c r="I248" s="8" t="s">
        <v>337</v>
      </c>
      <c r="J248" s="3"/>
      <c r="K248" s="13" t="s">
        <v>338</v>
      </c>
      <c r="L248" s="3"/>
      <c r="M248" s="8"/>
      <c r="N248" s="8"/>
      <c r="O248" s="8" t="s">
        <v>852</v>
      </c>
      <c r="P248" s="3"/>
      <c r="Q248" s="3" t="s">
        <v>853</v>
      </c>
      <c r="R248" s="3"/>
    </row>
    <row r="249" spans="1:18">
      <c r="A249" s="14"/>
      <c r="B249" s="9"/>
      <c r="C249" s="10" t="str">
        <f t="shared" si="41"/>
        <v>FX ARTIST</v>
      </c>
      <c r="D249" s="9"/>
      <c r="E249" s="9" t="str">
        <f t="shared" si="42"/>
        <v>SAEBOM OH</v>
      </c>
      <c r="F249" s="9"/>
      <c r="G249" s="3"/>
      <c r="H249" s="3"/>
      <c r="I249" s="8" t="s">
        <v>339</v>
      </c>
      <c r="J249" s="3"/>
      <c r="K249" s="13" t="s">
        <v>340</v>
      </c>
      <c r="L249" s="3"/>
      <c r="M249" s="8"/>
      <c r="N249" s="8"/>
      <c r="O249" s="8" t="s">
        <v>854</v>
      </c>
      <c r="P249" s="3"/>
      <c r="Q249" s="137" t="s">
        <v>855</v>
      </c>
      <c r="R249" s="3"/>
    </row>
    <row r="250" spans="1:18">
      <c r="A250" s="14"/>
      <c r="B250" s="9"/>
      <c r="C250" s="10" t="str">
        <f t="shared" si="41"/>
        <v/>
      </c>
      <c r="D250" s="9"/>
      <c r="E250" s="9" t="str">
        <f t="shared" si="42"/>
        <v/>
      </c>
      <c r="F250" s="9"/>
      <c r="G250" s="3"/>
      <c r="H250" s="3"/>
      <c r="I250" s="8"/>
      <c r="J250" s="3"/>
      <c r="K250" s="13"/>
      <c r="L250" s="3"/>
      <c r="M250" s="8"/>
      <c r="N250" s="8"/>
      <c r="O250" s="8"/>
      <c r="P250" s="3"/>
      <c r="Q250" s="3"/>
      <c r="R250" s="3"/>
    </row>
    <row r="251" spans="1:18">
      <c r="A251" s="14"/>
      <c r="B251" s="9"/>
      <c r="C251" s="10" t="str">
        <f t="shared" si="41"/>
        <v>COMPOSITING SUPERVISOR</v>
      </c>
      <c r="D251" s="9"/>
      <c r="E251" s="40" t="str">
        <f t="shared" si="42"/>
        <v>YOONHEE JUNG</v>
      </c>
      <c r="F251" s="9"/>
      <c r="G251" s="3"/>
      <c r="H251" s="3"/>
      <c r="I251" s="8" t="s">
        <v>341</v>
      </c>
      <c r="J251" s="3"/>
      <c r="K251" s="13" t="s">
        <v>342</v>
      </c>
      <c r="L251" s="3"/>
      <c r="M251" s="3"/>
      <c r="N251" s="3"/>
      <c r="O251" s="8" t="s">
        <v>856</v>
      </c>
      <c r="P251" s="3"/>
      <c r="Q251" s="3" t="s">
        <v>857</v>
      </c>
      <c r="R251" s="3"/>
    </row>
    <row r="252" spans="1:18">
      <c r="A252" s="14"/>
      <c r="B252" s="9"/>
      <c r="C252" s="10" t="str">
        <f t="shared" si="41"/>
        <v>COMPOSITING ARTIST</v>
      </c>
      <c r="D252" s="9"/>
      <c r="E252" s="9" t="str">
        <f t="shared" si="42"/>
        <v>NAMMIN KIM</v>
      </c>
      <c r="F252" s="9"/>
      <c r="G252" s="3"/>
      <c r="H252" s="3"/>
      <c r="I252" s="8" t="s">
        <v>343</v>
      </c>
      <c r="J252" s="3"/>
      <c r="K252" s="13" t="s">
        <v>344</v>
      </c>
      <c r="L252" s="3"/>
      <c r="M252" s="8"/>
      <c r="N252" s="8"/>
      <c r="O252" s="8" t="s">
        <v>858</v>
      </c>
      <c r="P252" s="3"/>
      <c r="Q252" s="3" t="s">
        <v>859</v>
      </c>
      <c r="R252" s="3"/>
    </row>
    <row r="253" spans="1:18">
      <c r="A253" s="14"/>
      <c r="B253" s="9"/>
      <c r="C253" s="10"/>
      <c r="D253" s="9"/>
      <c r="E253" s="9"/>
      <c r="F253" s="9"/>
      <c r="G253" s="3"/>
      <c r="H253" s="3"/>
      <c r="I253" s="8"/>
      <c r="J253" s="3"/>
      <c r="K253" s="13"/>
      <c r="L253" s="3"/>
      <c r="M253" s="8"/>
      <c r="N253" s="8"/>
      <c r="O253" s="21"/>
      <c r="P253" s="3"/>
      <c r="Q253" s="3"/>
      <c r="R253" s="3"/>
    </row>
    <row r="254" spans="1:18">
      <c r="A254" s="14"/>
      <c r="B254" s="26"/>
      <c r="C254" s="26"/>
      <c r="D254" s="26"/>
      <c r="E254" s="26"/>
      <c r="F254" s="26"/>
      <c r="G254" s="3"/>
      <c r="H254" s="5"/>
      <c r="I254" s="5"/>
      <c r="J254" s="5"/>
      <c r="K254" s="5"/>
      <c r="L254" s="5"/>
      <c r="M254" s="8"/>
      <c r="N254" s="8"/>
      <c r="O254" s="21"/>
      <c r="P254" s="3"/>
      <c r="Q254" s="3"/>
      <c r="R254" s="3"/>
    </row>
    <row r="255" spans="1:18">
      <c r="A255" s="14"/>
      <c r="B255" s="6"/>
      <c r="C255" s="6"/>
      <c r="D255" s="6"/>
      <c r="E255" s="6"/>
      <c r="F255" s="6"/>
      <c r="G255" s="3"/>
      <c r="H255" s="5"/>
      <c r="I255" s="5"/>
      <c r="J255" s="5"/>
      <c r="K255" s="5"/>
      <c r="L255" s="5"/>
      <c r="M255" s="8"/>
      <c r="N255" s="8"/>
      <c r="O255" s="21"/>
      <c r="P255" s="3"/>
      <c r="Q255" s="3"/>
      <c r="R255" s="3"/>
    </row>
    <row r="256" spans="1:18">
      <c r="A256" s="14"/>
      <c r="B256" s="150" t="str">
        <f t="shared" ref="B256:B257" si="43">UPPER(H256)</f>
        <v>LIGHTING / VFX / COMPOSITING</v>
      </c>
      <c r="C256" s="141"/>
      <c r="D256" s="141"/>
      <c r="E256" s="141"/>
      <c r="F256" s="141"/>
      <c r="G256" s="28"/>
      <c r="H256" s="167" t="s">
        <v>330</v>
      </c>
      <c r="I256" s="141"/>
      <c r="J256" s="141"/>
      <c r="K256" s="141"/>
      <c r="L256" s="141"/>
      <c r="M256" s="8"/>
      <c r="N256" s="149" t="s">
        <v>845</v>
      </c>
      <c r="O256" s="141"/>
      <c r="P256" s="141"/>
      <c r="Q256" s="141"/>
      <c r="R256" s="141"/>
    </row>
    <row r="257" spans="1:18">
      <c r="A257" s="14"/>
      <c r="B257" s="146" t="str">
        <f t="shared" si="43"/>
        <v>THE MONK STUDIOS</v>
      </c>
      <c r="C257" s="141"/>
      <c r="D257" s="141"/>
      <c r="E257" s="141"/>
      <c r="F257" s="141"/>
      <c r="G257" s="3"/>
      <c r="H257" s="149" t="s">
        <v>202</v>
      </c>
      <c r="I257" s="141"/>
      <c r="J257" s="141"/>
      <c r="K257" s="141"/>
      <c r="L257" s="141"/>
      <c r="M257" s="8"/>
      <c r="N257" s="149" t="s">
        <v>202</v>
      </c>
      <c r="O257" s="141"/>
      <c r="P257" s="141"/>
      <c r="Q257" s="141"/>
      <c r="R257" s="141"/>
    </row>
    <row r="258" spans="1:18">
      <c r="A258" s="14"/>
      <c r="B258" s="9"/>
      <c r="C258" s="10"/>
      <c r="D258" s="9"/>
      <c r="E258" s="9"/>
      <c r="F258" s="9"/>
      <c r="G258" s="3"/>
      <c r="H258" s="3"/>
      <c r="I258" s="36"/>
      <c r="J258" s="3"/>
      <c r="K258" s="22"/>
      <c r="L258" s="3"/>
      <c r="M258" s="8"/>
      <c r="N258" s="3"/>
      <c r="O258" s="36"/>
      <c r="P258" s="3"/>
      <c r="Q258" s="22"/>
      <c r="R258" s="3"/>
    </row>
    <row r="259" spans="1:18">
      <c r="A259" s="14"/>
      <c r="B259" s="9"/>
      <c r="C259" s="10" t="str">
        <f>UPPER(I259)</f>
        <v>CFX SUPERVISOR</v>
      </c>
      <c r="D259" s="9"/>
      <c r="E259" s="41" t="str">
        <f>UPPER(K259)</f>
        <v>KORRAPAT TANGSUTTHIWONG</v>
      </c>
      <c r="F259" s="9"/>
      <c r="G259" s="3"/>
      <c r="H259" s="3"/>
      <c r="I259" s="36" t="s">
        <v>345</v>
      </c>
      <c r="J259" s="3"/>
      <c r="K259" s="22" t="s">
        <v>346</v>
      </c>
      <c r="L259" s="3"/>
      <c r="M259" s="8"/>
      <c r="N259" s="3"/>
      <c r="O259" s="36" t="s">
        <v>345</v>
      </c>
      <c r="P259" s="3"/>
      <c r="Q259" s="22" t="s">
        <v>346</v>
      </c>
      <c r="R259" s="3"/>
    </row>
    <row r="260" spans="1:18">
      <c r="A260" s="14"/>
      <c r="B260" s="9"/>
      <c r="C260" s="10"/>
      <c r="D260" s="9"/>
      <c r="E260" s="9"/>
      <c r="F260" s="9"/>
      <c r="G260" s="3"/>
      <c r="H260" s="3"/>
      <c r="I260" s="36"/>
      <c r="J260" s="3"/>
      <c r="K260" s="22"/>
      <c r="L260" s="3"/>
      <c r="M260" s="8"/>
      <c r="N260" s="3"/>
      <c r="O260" s="36"/>
      <c r="P260" s="3"/>
      <c r="Q260" s="22"/>
      <c r="R260" s="3"/>
    </row>
    <row r="261" spans="1:18">
      <c r="A261" s="14"/>
      <c r="B261" s="9"/>
      <c r="C261" s="10" t="str">
        <f>UPPER(I261)</f>
        <v>CFX ARTIST</v>
      </c>
      <c r="D261" s="9"/>
      <c r="E261" s="9" t="str">
        <f t="shared" ref="E261:E267" si="44">UPPER(K261)</f>
        <v>CHERMAR WITOONWUTTIKUL</v>
      </c>
      <c r="F261" s="9"/>
      <c r="G261" s="3"/>
      <c r="H261" s="3"/>
      <c r="I261" s="36" t="s">
        <v>349</v>
      </c>
      <c r="J261" s="3"/>
      <c r="K261" s="22" t="s">
        <v>350</v>
      </c>
      <c r="L261" s="3"/>
      <c r="M261" s="8"/>
      <c r="N261" s="3"/>
      <c r="O261" s="36" t="s">
        <v>349</v>
      </c>
      <c r="P261" s="3"/>
      <c r="Q261" s="22" t="s">
        <v>350</v>
      </c>
      <c r="R261" s="3"/>
    </row>
    <row r="262" spans="1:18">
      <c r="A262" s="14"/>
      <c r="B262" s="9"/>
      <c r="C262" s="10"/>
      <c r="D262" s="9"/>
      <c r="E262" s="9" t="str">
        <f t="shared" si="44"/>
        <v>KOMSON SEECHAN</v>
      </c>
      <c r="F262" s="9"/>
      <c r="G262" s="3"/>
      <c r="H262" s="3"/>
      <c r="I262" s="36"/>
      <c r="J262" s="3"/>
      <c r="K262" s="22" t="s">
        <v>351</v>
      </c>
      <c r="L262" s="3"/>
      <c r="M262" s="8"/>
      <c r="N262" s="3"/>
      <c r="O262" s="36"/>
      <c r="P262" s="3"/>
      <c r="Q262" s="22" t="s">
        <v>351</v>
      </c>
      <c r="R262" s="3"/>
    </row>
    <row r="263" spans="1:18">
      <c r="A263" s="14"/>
      <c r="B263" s="9"/>
      <c r="C263" s="10" t="str">
        <f t="shared" ref="C263:C267" si="45">UPPER(I263)</f>
        <v/>
      </c>
      <c r="D263" s="9"/>
      <c r="E263" s="9" t="str">
        <f t="shared" si="44"/>
        <v>PREECHAPONG NOPRUMPA</v>
      </c>
      <c r="F263" s="9"/>
      <c r="G263" s="3"/>
      <c r="H263" s="3"/>
      <c r="I263" s="36"/>
      <c r="J263" s="3"/>
      <c r="K263" s="22" t="s">
        <v>352</v>
      </c>
      <c r="L263" s="3"/>
      <c r="M263" s="8"/>
      <c r="N263" s="3"/>
      <c r="O263" s="36"/>
      <c r="P263" s="3"/>
      <c r="Q263" s="22" t="s">
        <v>352</v>
      </c>
      <c r="R263" s="3"/>
    </row>
    <row r="264" spans="1:18">
      <c r="A264" s="14"/>
      <c r="B264" s="9"/>
      <c r="C264" s="10" t="str">
        <f t="shared" si="45"/>
        <v/>
      </c>
      <c r="D264" s="9"/>
      <c r="E264" s="9" t="str">
        <f t="shared" si="44"/>
        <v>SUPPACHAI WONGSALINGKARN</v>
      </c>
      <c r="F264" s="9"/>
      <c r="G264" s="3"/>
      <c r="H264" s="3"/>
      <c r="I264" s="8"/>
      <c r="J264" s="3"/>
      <c r="K264" s="22" t="s">
        <v>353</v>
      </c>
      <c r="L264" s="3"/>
      <c r="M264" s="8"/>
      <c r="N264" s="3"/>
      <c r="O264" s="8"/>
      <c r="P264" s="3"/>
      <c r="Q264" s="22" t="s">
        <v>353</v>
      </c>
      <c r="R264" s="3"/>
    </row>
    <row r="265" spans="1:18">
      <c r="A265" s="14"/>
      <c r="B265" s="9"/>
      <c r="C265" s="10" t="str">
        <f t="shared" si="45"/>
        <v/>
      </c>
      <c r="D265" s="9"/>
      <c r="E265" s="9" t="str">
        <f t="shared" si="44"/>
        <v>THAWATCHAY KAEWPHUY</v>
      </c>
      <c r="F265" s="9"/>
      <c r="G265" s="3"/>
      <c r="H265" s="3"/>
      <c r="I265" s="8"/>
      <c r="J265" s="3"/>
      <c r="K265" s="22" t="s">
        <v>354</v>
      </c>
      <c r="L265" s="3"/>
      <c r="M265" s="8"/>
      <c r="N265" s="3"/>
      <c r="O265" s="8"/>
      <c r="P265" s="3"/>
      <c r="Q265" s="22" t="s">
        <v>354</v>
      </c>
      <c r="R265" s="3"/>
    </row>
    <row r="266" spans="1:18">
      <c r="A266" s="14"/>
      <c r="B266" s="9"/>
      <c r="C266" s="10" t="str">
        <f t="shared" si="45"/>
        <v/>
      </c>
      <c r="D266" s="9"/>
      <c r="E266" s="9" t="str">
        <f t="shared" si="44"/>
        <v>TITTAYANAN WANNUBOL</v>
      </c>
      <c r="F266" s="9"/>
      <c r="G266" s="3"/>
      <c r="H266" s="3"/>
      <c r="I266" s="8"/>
      <c r="J266" s="3"/>
      <c r="K266" s="22" t="s">
        <v>355</v>
      </c>
      <c r="L266" s="3"/>
      <c r="M266" s="8"/>
      <c r="N266" s="3"/>
      <c r="O266" s="8"/>
      <c r="P266" s="3"/>
      <c r="Q266" s="22" t="s">
        <v>355</v>
      </c>
      <c r="R266" s="3"/>
    </row>
    <row r="267" spans="1:18">
      <c r="A267" s="14"/>
      <c r="B267" s="9"/>
      <c r="C267" s="10" t="str">
        <f t="shared" si="45"/>
        <v/>
      </c>
      <c r="D267" s="9"/>
      <c r="E267" s="9" t="str">
        <f t="shared" si="44"/>
        <v>PORNNEEKA THAMWONG</v>
      </c>
      <c r="F267" s="9"/>
      <c r="G267" s="3"/>
      <c r="H267" s="3"/>
      <c r="I267" s="8"/>
      <c r="J267" s="3"/>
      <c r="K267" s="22" t="s">
        <v>356</v>
      </c>
      <c r="L267" s="3"/>
      <c r="M267" s="8"/>
      <c r="N267" s="3"/>
      <c r="O267" s="8"/>
      <c r="P267" s="3"/>
      <c r="Q267" s="22" t="s">
        <v>356</v>
      </c>
      <c r="R267" s="3"/>
    </row>
    <row r="268" spans="1:18">
      <c r="A268" s="14"/>
      <c r="B268" s="9"/>
      <c r="C268" s="10"/>
      <c r="D268" s="9"/>
      <c r="E268" s="9"/>
      <c r="F268" s="9"/>
      <c r="G268" s="3"/>
      <c r="H268" s="3"/>
      <c r="I268" s="8"/>
      <c r="J268" s="3"/>
      <c r="K268" s="31"/>
      <c r="L268" s="3"/>
      <c r="M268" s="8"/>
      <c r="N268" s="8"/>
      <c r="O268" s="21"/>
      <c r="P268" s="3"/>
      <c r="Q268" s="3"/>
      <c r="R268" s="3"/>
    </row>
    <row r="269" spans="1:18">
      <c r="A269" s="14"/>
      <c r="B269" s="11"/>
      <c r="C269" s="12"/>
      <c r="D269" s="11"/>
      <c r="E269" s="11"/>
      <c r="F269" s="11"/>
      <c r="G269" s="3"/>
      <c r="H269" s="3"/>
      <c r="I269" s="36"/>
      <c r="J269" s="3"/>
      <c r="K269" s="31"/>
      <c r="L269" s="3"/>
      <c r="M269" s="8"/>
      <c r="N269" s="8"/>
      <c r="O269" s="21"/>
      <c r="P269" s="3"/>
      <c r="Q269" s="3"/>
      <c r="R269" s="3"/>
    </row>
    <row r="270" spans="1:18">
      <c r="A270" s="14"/>
      <c r="B270" s="17"/>
      <c r="C270" s="17"/>
      <c r="D270" s="17"/>
      <c r="E270" s="17"/>
      <c r="F270" s="17"/>
      <c r="G270" s="28"/>
      <c r="H270" s="18"/>
      <c r="I270" s="18"/>
      <c r="J270" s="18"/>
      <c r="K270" s="18"/>
      <c r="L270" s="18"/>
      <c r="M270" s="8"/>
      <c r="N270" s="8"/>
      <c r="O270" s="21"/>
      <c r="P270" s="3"/>
      <c r="Q270" s="3"/>
      <c r="R270" s="3"/>
    </row>
    <row r="271" spans="1:18">
      <c r="A271" s="14"/>
      <c r="B271" s="150" t="str">
        <f t="shared" ref="B271:B272" si="46">UPPER(H271)</f>
        <v>LIGHTING / VFX / COMPOSITING</v>
      </c>
      <c r="C271" s="141"/>
      <c r="D271" s="141"/>
      <c r="E271" s="141"/>
      <c r="F271" s="141"/>
      <c r="G271" s="28"/>
      <c r="H271" s="167" t="s">
        <v>330</v>
      </c>
      <c r="I271" s="141"/>
      <c r="J271" s="141"/>
      <c r="K271" s="141"/>
      <c r="L271" s="141"/>
      <c r="M271" s="8"/>
      <c r="N271" s="149" t="s">
        <v>845</v>
      </c>
      <c r="O271" s="141"/>
      <c r="P271" s="141"/>
      <c r="Q271" s="141"/>
      <c r="R271" s="141"/>
    </row>
    <row r="272" spans="1:18">
      <c r="A272" s="14"/>
      <c r="B272" s="146" t="str">
        <f t="shared" si="46"/>
        <v>THE MONK STUDIOS</v>
      </c>
      <c r="C272" s="141"/>
      <c r="D272" s="141"/>
      <c r="E272" s="141"/>
      <c r="F272" s="141"/>
      <c r="G272" s="3"/>
      <c r="H272" s="149" t="s">
        <v>202</v>
      </c>
      <c r="I272" s="141"/>
      <c r="J272" s="141"/>
      <c r="K272" s="141"/>
      <c r="L272" s="141"/>
      <c r="M272" s="8"/>
      <c r="N272" s="149" t="s">
        <v>202</v>
      </c>
      <c r="O272" s="141"/>
      <c r="P272" s="141"/>
      <c r="Q272" s="141"/>
      <c r="R272" s="141"/>
    </row>
    <row r="273" spans="1:18">
      <c r="A273" s="14"/>
      <c r="B273" s="9"/>
      <c r="C273" s="10"/>
      <c r="D273" s="9"/>
      <c r="E273" s="9"/>
      <c r="F273" s="9"/>
      <c r="G273" s="3"/>
      <c r="H273" s="3"/>
      <c r="I273" s="36"/>
      <c r="J273" s="3"/>
      <c r="K273" s="31"/>
      <c r="L273" s="3"/>
      <c r="M273" s="8"/>
      <c r="N273" s="3"/>
      <c r="O273" s="36"/>
      <c r="P273" s="3"/>
      <c r="Q273" s="31"/>
      <c r="R273" s="3"/>
    </row>
    <row r="274" spans="1:18">
      <c r="A274" s="14"/>
      <c r="B274" s="9"/>
      <c r="C274" s="10" t="str">
        <f>UPPER(I274)</f>
        <v xml:space="preserve">EFFECT SUPERVISOR </v>
      </c>
      <c r="D274" s="9"/>
      <c r="E274" s="9" t="str">
        <f>UPPER(K274)</f>
        <v>THACHAPONG RUANGROJ</v>
      </c>
      <c r="F274" s="9"/>
      <c r="G274" s="3"/>
      <c r="H274" s="3"/>
      <c r="I274" s="36" t="s">
        <v>357</v>
      </c>
      <c r="J274" s="3"/>
      <c r="K274" s="31" t="s">
        <v>358</v>
      </c>
      <c r="L274" s="3"/>
      <c r="M274" s="8"/>
      <c r="N274" s="3"/>
      <c r="O274" s="36" t="s">
        <v>357</v>
      </c>
      <c r="P274" s="3"/>
      <c r="Q274" s="31" t="s">
        <v>358</v>
      </c>
      <c r="R274" s="3"/>
    </row>
    <row r="275" spans="1:18">
      <c r="A275" s="14"/>
      <c r="B275" s="9"/>
      <c r="C275" s="10"/>
      <c r="D275" s="9"/>
      <c r="E275" s="9"/>
      <c r="F275" s="9"/>
      <c r="G275" s="3"/>
      <c r="H275" s="3"/>
      <c r="I275" s="36"/>
      <c r="J275" s="3"/>
      <c r="K275" s="31"/>
      <c r="L275" s="3"/>
      <c r="M275" s="8"/>
      <c r="N275" s="3"/>
      <c r="O275" s="36"/>
      <c r="P275" s="3"/>
      <c r="Q275" s="31"/>
      <c r="R275" s="3"/>
    </row>
    <row r="276" spans="1:18">
      <c r="A276" s="14"/>
      <c r="B276" s="9"/>
      <c r="C276" s="10" t="str">
        <f>UPPER(I276)</f>
        <v>VFX GENERALIST</v>
      </c>
      <c r="D276" s="9"/>
      <c r="E276" s="9" t="str">
        <f>UPPER(K276)</f>
        <v>PHUONG THANH NAM</v>
      </c>
      <c r="F276" s="9"/>
      <c r="G276" s="3"/>
      <c r="H276" s="3"/>
      <c r="I276" s="36" t="s">
        <v>359</v>
      </c>
      <c r="J276" s="3"/>
      <c r="K276" s="31" t="s">
        <v>360</v>
      </c>
      <c r="L276" s="3"/>
      <c r="M276" s="8"/>
      <c r="N276" s="3"/>
      <c r="O276" s="36" t="s">
        <v>359</v>
      </c>
      <c r="P276" s="3"/>
      <c r="Q276" s="31" t="s">
        <v>360</v>
      </c>
      <c r="R276" s="3"/>
    </row>
    <row r="277" spans="1:18">
      <c r="A277" s="14"/>
      <c r="B277" s="9"/>
      <c r="C277" s="10"/>
      <c r="D277" s="9"/>
      <c r="E277" s="9"/>
      <c r="F277" s="9"/>
      <c r="G277" s="3"/>
      <c r="H277" s="3"/>
      <c r="I277" s="36"/>
      <c r="J277" s="3"/>
      <c r="K277" s="31"/>
      <c r="L277" s="3"/>
      <c r="M277" s="8"/>
      <c r="N277" s="3"/>
      <c r="O277" s="36"/>
      <c r="P277" s="3"/>
      <c r="Q277" s="31"/>
      <c r="R277" s="3"/>
    </row>
    <row r="278" spans="1:18">
      <c r="A278" s="14"/>
      <c r="B278" s="9"/>
      <c r="C278" s="10" t="str">
        <f t="shared" ref="C278:C284" si="47">UPPER(I278)</f>
        <v>EFFECTS ARTIST</v>
      </c>
      <c r="D278" s="9"/>
      <c r="E278" s="9" t="str">
        <f t="shared" ref="E278:E284" si="48">UPPER(K278)</f>
        <v>CHAIPAT WINYOOVIJIT</v>
      </c>
      <c r="F278" s="9"/>
      <c r="G278" s="3"/>
      <c r="H278" s="3"/>
      <c r="I278" s="36" t="s">
        <v>361</v>
      </c>
      <c r="J278" s="3"/>
      <c r="K278" s="31" t="s">
        <v>362</v>
      </c>
      <c r="L278" s="3"/>
      <c r="M278" s="8"/>
      <c r="N278" s="3"/>
      <c r="O278" s="36" t="s">
        <v>361</v>
      </c>
      <c r="P278" s="3"/>
      <c r="Q278" s="31" t="s">
        <v>362</v>
      </c>
      <c r="R278" s="3"/>
    </row>
    <row r="279" spans="1:18">
      <c r="A279" s="14"/>
      <c r="B279" s="9"/>
      <c r="C279" s="10" t="str">
        <f t="shared" si="47"/>
        <v/>
      </c>
      <c r="D279" s="9"/>
      <c r="E279" s="9" t="str">
        <f t="shared" si="48"/>
        <v>NATTAPON KRICHAVONG</v>
      </c>
      <c r="F279" s="9"/>
      <c r="G279" s="3"/>
      <c r="H279" s="3"/>
      <c r="I279" s="8"/>
      <c r="J279" s="3"/>
      <c r="K279" s="31" t="s">
        <v>364</v>
      </c>
      <c r="L279" s="3"/>
      <c r="M279" s="8"/>
      <c r="N279" s="3"/>
      <c r="O279" s="8"/>
      <c r="P279" s="3"/>
      <c r="Q279" s="31" t="s">
        <v>364</v>
      </c>
      <c r="R279" s="3"/>
    </row>
    <row r="280" spans="1:18">
      <c r="A280" s="14"/>
      <c r="B280" s="9"/>
      <c r="C280" s="10" t="str">
        <f t="shared" si="47"/>
        <v/>
      </c>
      <c r="D280" s="9"/>
      <c r="E280" s="9" t="str">
        <f t="shared" si="48"/>
        <v>PIYAPONG JANHALUTAI</v>
      </c>
      <c r="F280" s="9"/>
      <c r="G280" s="3"/>
      <c r="H280" s="3"/>
      <c r="I280" s="36"/>
      <c r="J280" s="3"/>
      <c r="K280" s="31" t="s">
        <v>365</v>
      </c>
      <c r="L280" s="3"/>
      <c r="M280" s="8"/>
      <c r="N280" s="3"/>
      <c r="O280" s="36"/>
      <c r="P280" s="3"/>
      <c r="Q280" s="31" t="s">
        <v>365</v>
      </c>
      <c r="R280" s="3"/>
    </row>
    <row r="281" spans="1:18">
      <c r="A281" s="14"/>
      <c r="B281" s="9"/>
      <c r="C281" s="10" t="str">
        <f t="shared" si="47"/>
        <v/>
      </c>
      <c r="D281" s="9"/>
      <c r="E281" s="9" t="str">
        <f t="shared" si="48"/>
        <v>SILAKORN KONGSUWAN</v>
      </c>
      <c r="F281" s="9"/>
      <c r="G281" s="3"/>
      <c r="H281" s="3"/>
      <c r="I281" s="8"/>
      <c r="J281" s="3"/>
      <c r="K281" s="31" t="s">
        <v>366</v>
      </c>
      <c r="L281" s="3"/>
      <c r="M281" s="8"/>
      <c r="N281" s="3"/>
      <c r="O281" s="8"/>
      <c r="P281" s="3"/>
      <c r="Q281" s="31" t="s">
        <v>366</v>
      </c>
      <c r="R281" s="3"/>
    </row>
    <row r="282" spans="1:18">
      <c r="A282" s="14"/>
      <c r="B282" s="9"/>
      <c r="C282" s="10" t="str">
        <f t="shared" si="47"/>
        <v/>
      </c>
      <c r="D282" s="9"/>
      <c r="E282" s="9" t="str">
        <f t="shared" si="48"/>
        <v>THANAKORN THAEVAKANJANAPHOKHIN</v>
      </c>
      <c r="F282" s="9"/>
      <c r="G282" s="3"/>
      <c r="H282" s="3"/>
      <c r="I282" s="8"/>
      <c r="J282" s="3"/>
      <c r="K282" s="39" t="s">
        <v>368</v>
      </c>
      <c r="L282" s="3"/>
      <c r="M282" s="8"/>
      <c r="N282" s="3"/>
      <c r="O282" s="8"/>
      <c r="P282" s="3"/>
      <c r="Q282" s="39" t="s">
        <v>368</v>
      </c>
      <c r="R282" s="3"/>
    </row>
    <row r="283" spans="1:18">
      <c r="A283" s="14"/>
      <c r="B283" s="9"/>
      <c r="C283" s="10" t="str">
        <f t="shared" si="47"/>
        <v/>
      </c>
      <c r="D283" s="9"/>
      <c r="E283" s="9" t="str">
        <f t="shared" si="48"/>
        <v>WASU LERTAMORNWATTANA</v>
      </c>
      <c r="F283" s="9"/>
      <c r="G283" s="3"/>
      <c r="H283" s="3"/>
      <c r="I283" s="8"/>
      <c r="J283" s="3"/>
      <c r="K283" s="39" t="s">
        <v>370</v>
      </c>
      <c r="L283" s="3"/>
      <c r="M283" s="8"/>
      <c r="N283" s="3"/>
      <c r="O283" s="8"/>
      <c r="P283" s="3"/>
      <c r="Q283" s="39" t="s">
        <v>370</v>
      </c>
      <c r="R283" s="3"/>
    </row>
    <row r="284" spans="1:18">
      <c r="A284" s="14"/>
      <c r="B284" s="9"/>
      <c r="C284" s="10" t="str">
        <f t="shared" si="47"/>
        <v/>
      </c>
      <c r="D284" s="9"/>
      <c r="E284" s="9" t="str">
        <f t="shared" si="48"/>
        <v/>
      </c>
      <c r="F284" s="9"/>
      <c r="G284" s="3"/>
      <c r="H284" s="3"/>
      <c r="I284" s="8"/>
      <c r="J284" s="3"/>
      <c r="K284" s="13"/>
      <c r="L284" s="3"/>
      <c r="M284" s="8"/>
      <c r="N284" s="8"/>
      <c r="O284" s="21"/>
      <c r="P284" s="3"/>
      <c r="Q284" s="3"/>
      <c r="R284" s="3"/>
    </row>
    <row r="285" spans="1:18">
      <c r="A285" s="14"/>
      <c r="B285" s="11"/>
      <c r="C285" s="12"/>
      <c r="D285" s="11"/>
      <c r="E285" s="11"/>
      <c r="F285" s="11"/>
      <c r="G285" s="3"/>
      <c r="H285" s="3"/>
      <c r="I285" s="8"/>
      <c r="J285" s="3"/>
      <c r="K285" s="13"/>
      <c r="L285" s="3"/>
      <c r="M285" s="8"/>
      <c r="N285" s="8"/>
      <c r="O285" s="21"/>
      <c r="P285" s="3"/>
      <c r="Q285" s="3"/>
      <c r="R285" s="3"/>
    </row>
    <row r="286" spans="1:18">
      <c r="A286" s="14"/>
      <c r="B286" s="9"/>
      <c r="C286" s="10"/>
      <c r="D286" s="9"/>
      <c r="E286" s="9"/>
      <c r="F286" s="9"/>
      <c r="G286" s="3"/>
      <c r="H286" s="3"/>
      <c r="I286" s="8"/>
      <c r="J286" s="3"/>
      <c r="K286" s="13"/>
      <c r="L286" s="3"/>
      <c r="M286" s="8"/>
      <c r="N286" s="8"/>
      <c r="O286" s="21"/>
      <c r="P286" s="3"/>
      <c r="Q286" s="3"/>
      <c r="R286" s="3"/>
    </row>
    <row r="287" spans="1:18">
      <c r="A287" s="14"/>
      <c r="B287" s="150" t="str">
        <f t="shared" ref="B287:B288" si="49">UPPER(H287)</f>
        <v>LIGHTING / VFX / COMPOSITING</v>
      </c>
      <c r="C287" s="141"/>
      <c r="D287" s="141"/>
      <c r="E287" s="141"/>
      <c r="F287" s="141"/>
      <c r="G287" s="28"/>
      <c r="H287" s="167" t="s">
        <v>330</v>
      </c>
      <c r="I287" s="141"/>
      <c r="J287" s="141"/>
      <c r="K287" s="141"/>
      <c r="L287" s="141"/>
      <c r="M287" s="8"/>
      <c r="N287" s="149" t="s">
        <v>845</v>
      </c>
      <c r="O287" s="141"/>
      <c r="P287" s="141"/>
      <c r="Q287" s="141"/>
      <c r="R287" s="141"/>
    </row>
    <row r="288" spans="1:18">
      <c r="A288" s="14"/>
      <c r="B288" s="146" t="str">
        <f t="shared" si="49"/>
        <v>THE MONK STUDIOS</v>
      </c>
      <c r="C288" s="141"/>
      <c r="D288" s="141"/>
      <c r="E288" s="141"/>
      <c r="F288" s="141"/>
      <c r="G288" s="3"/>
      <c r="H288" s="149" t="s">
        <v>202</v>
      </c>
      <c r="I288" s="141"/>
      <c r="J288" s="141"/>
      <c r="K288" s="141"/>
      <c r="L288" s="141"/>
      <c r="M288" s="8"/>
      <c r="N288" s="149" t="s">
        <v>202</v>
      </c>
      <c r="O288" s="141"/>
      <c r="P288" s="141"/>
      <c r="Q288" s="141"/>
      <c r="R288" s="141"/>
    </row>
    <row r="289" spans="1:18">
      <c r="A289" s="14"/>
      <c r="B289" s="9"/>
      <c r="C289" s="10"/>
      <c r="D289" s="9"/>
      <c r="E289" s="9"/>
      <c r="F289" s="9"/>
      <c r="G289" s="3"/>
      <c r="H289" s="3"/>
      <c r="I289" s="36"/>
      <c r="J289" s="3"/>
      <c r="K289" s="31"/>
      <c r="L289" s="3"/>
      <c r="M289" s="8"/>
      <c r="N289" s="3"/>
      <c r="O289" s="36"/>
      <c r="P289" s="3"/>
      <c r="Q289" s="31"/>
      <c r="R289" s="3"/>
    </row>
    <row r="290" spans="1:18">
      <c r="A290" s="14"/>
      <c r="B290" s="9"/>
      <c r="C290" s="10" t="str">
        <f>UPPER(I290)</f>
        <v>LIGHTING SUPERVISOR</v>
      </c>
      <c r="D290" s="9"/>
      <c r="E290" s="9" t="str">
        <f>UPPER(K290)</f>
        <v>TIKUMPORN SRISANG-NGAM</v>
      </c>
      <c r="F290" s="9"/>
      <c r="G290" s="3"/>
      <c r="H290" s="3"/>
      <c r="I290" s="36" t="s">
        <v>371</v>
      </c>
      <c r="J290" s="3"/>
      <c r="K290" s="31" t="s">
        <v>372</v>
      </c>
      <c r="L290" s="3"/>
      <c r="M290" s="8"/>
      <c r="N290" s="3"/>
      <c r="O290" s="36" t="s">
        <v>371</v>
      </c>
      <c r="P290" s="3"/>
      <c r="Q290" s="31" t="s">
        <v>372</v>
      </c>
      <c r="R290" s="3"/>
    </row>
    <row r="291" spans="1:18">
      <c r="A291" s="14"/>
      <c r="B291" s="9"/>
      <c r="C291" s="10"/>
      <c r="D291" s="9"/>
      <c r="E291" s="9"/>
      <c r="F291" s="9"/>
      <c r="G291" s="3"/>
      <c r="H291" s="3"/>
      <c r="I291" s="36"/>
      <c r="J291" s="3"/>
      <c r="K291" s="31"/>
      <c r="L291" s="3"/>
      <c r="M291" s="8"/>
      <c r="N291" s="3"/>
      <c r="O291" s="36"/>
      <c r="P291" s="3"/>
      <c r="Q291" s="31"/>
      <c r="R291" s="3"/>
    </row>
    <row r="292" spans="1:18">
      <c r="A292" s="14"/>
      <c r="B292" s="9"/>
      <c r="C292" s="10" t="str">
        <f>UPPER(I292)</f>
        <v>LEAD LIGHTING ARTIST</v>
      </c>
      <c r="D292" s="9"/>
      <c r="E292" s="9" t="str">
        <f>UPPER(K292)</f>
        <v>METEE PALAPHAN</v>
      </c>
      <c r="F292" s="9"/>
      <c r="G292" s="3"/>
      <c r="H292" s="3"/>
      <c r="I292" s="36" t="s">
        <v>373</v>
      </c>
      <c r="J292" s="3"/>
      <c r="K292" s="31" t="s">
        <v>632</v>
      </c>
      <c r="L292" s="3"/>
      <c r="M292" s="8"/>
      <c r="N292" s="3"/>
      <c r="O292" s="36" t="s">
        <v>373</v>
      </c>
      <c r="P292" s="3"/>
      <c r="Q292" s="31" t="s">
        <v>632</v>
      </c>
      <c r="R292" s="3"/>
    </row>
    <row r="293" spans="1:18">
      <c r="A293" s="14"/>
      <c r="B293" s="9"/>
      <c r="C293" s="10"/>
      <c r="D293" s="9"/>
      <c r="E293" s="9"/>
      <c r="F293" s="9"/>
      <c r="G293" s="3"/>
      <c r="H293" s="3"/>
      <c r="I293" s="36"/>
      <c r="J293" s="3"/>
      <c r="K293" s="31"/>
      <c r="L293" s="3"/>
      <c r="M293" s="8"/>
      <c r="N293" s="3"/>
      <c r="O293" s="36"/>
      <c r="P293" s="3"/>
      <c r="Q293" s="31"/>
      <c r="R293" s="3"/>
    </row>
    <row r="294" spans="1:18">
      <c r="A294" s="14"/>
      <c r="B294" s="9"/>
      <c r="C294" s="10" t="str">
        <f t="shared" ref="C294:C305" si="50">UPPER(I294)</f>
        <v>LIGHTING ARTIST</v>
      </c>
      <c r="D294" s="9"/>
      <c r="E294" s="9" t="str">
        <f t="shared" ref="E294:E306" si="51">UPPER(K294)</f>
        <v>PRADTANA KARALOP</v>
      </c>
      <c r="F294" s="9"/>
      <c r="G294" s="3"/>
      <c r="H294" s="3"/>
      <c r="I294" s="36" t="s">
        <v>335</v>
      </c>
      <c r="J294" s="3"/>
      <c r="K294" s="31" t="s">
        <v>376</v>
      </c>
      <c r="L294" s="3"/>
      <c r="M294" s="8"/>
      <c r="N294" s="3"/>
      <c r="O294" s="36" t="s">
        <v>335</v>
      </c>
      <c r="P294" s="3"/>
      <c r="Q294" s="31" t="s">
        <v>376</v>
      </c>
      <c r="R294" s="3"/>
    </row>
    <row r="295" spans="1:18">
      <c r="A295" s="14"/>
      <c r="B295" s="9"/>
      <c r="C295" s="10" t="str">
        <f t="shared" si="50"/>
        <v/>
      </c>
      <c r="D295" s="9"/>
      <c r="E295" s="9" t="str">
        <f t="shared" si="51"/>
        <v>WORRAPAT YIMSUKPAITOON</v>
      </c>
      <c r="F295" s="9"/>
      <c r="G295" s="3"/>
      <c r="H295" s="3"/>
      <c r="I295" s="8"/>
      <c r="J295" s="3"/>
      <c r="K295" s="31" t="s">
        <v>377</v>
      </c>
      <c r="L295" s="3"/>
      <c r="M295" s="8"/>
      <c r="N295" s="3"/>
      <c r="O295" s="8"/>
      <c r="P295" s="3"/>
      <c r="Q295" s="31" t="s">
        <v>377</v>
      </c>
      <c r="R295" s="3"/>
    </row>
    <row r="296" spans="1:18">
      <c r="A296" s="14"/>
      <c r="B296" s="9"/>
      <c r="C296" s="10" t="str">
        <f t="shared" si="50"/>
        <v/>
      </c>
      <c r="D296" s="9"/>
      <c r="E296" s="9" t="str">
        <f t="shared" si="51"/>
        <v>VITTAWAT KITTISUPAT</v>
      </c>
      <c r="F296" s="9"/>
      <c r="G296" s="3"/>
      <c r="H296" s="3"/>
      <c r="I296" s="8"/>
      <c r="J296" s="3"/>
      <c r="K296" s="31" t="s">
        <v>633</v>
      </c>
      <c r="L296" s="3"/>
      <c r="M296" s="8"/>
      <c r="N296" s="3"/>
      <c r="O296" s="8"/>
      <c r="P296" s="3"/>
      <c r="Q296" s="31" t="s">
        <v>633</v>
      </c>
      <c r="R296" s="3"/>
    </row>
    <row r="297" spans="1:18">
      <c r="A297" s="14"/>
      <c r="B297" s="9"/>
      <c r="C297" s="10" t="str">
        <f t="shared" si="50"/>
        <v/>
      </c>
      <c r="D297" s="9"/>
      <c r="E297" s="9" t="str">
        <f t="shared" si="51"/>
        <v>PHANATHON WARATHIP</v>
      </c>
      <c r="F297" s="9"/>
      <c r="G297" s="3"/>
      <c r="H297" s="3"/>
      <c r="I297" s="8"/>
      <c r="J297" s="3"/>
      <c r="K297" s="31" t="s">
        <v>378</v>
      </c>
      <c r="L297" s="3"/>
      <c r="M297" s="8"/>
      <c r="N297" s="3"/>
      <c r="O297" s="8"/>
      <c r="P297" s="3"/>
      <c r="Q297" s="31" t="s">
        <v>378</v>
      </c>
      <c r="R297" s="3"/>
    </row>
    <row r="298" spans="1:18">
      <c r="A298" s="14"/>
      <c r="B298" s="9"/>
      <c r="C298" s="10" t="str">
        <f t="shared" si="50"/>
        <v/>
      </c>
      <c r="D298" s="9"/>
      <c r="E298" s="9" t="str">
        <f t="shared" si="51"/>
        <v>BOONYARAT PONOMCHOENG</v>
      </c>
      <c r="F298" s="9"/>
      <c r="G298" s="3"/>
      <c r="H298" s="3"/>
      <c r="I298" s="8"/>
      <c r="J298" s="3"/>
      <c r="K298" s="31" t="s">
        <v>379</v>
      </c>
      <c r="L298" s="3"/>
      <c r="M298" s="8"/>
      <c r="N298" s="3"/>
      <c r="O298" s="8"/>
      <c r="P298" s="3"/>
      <c r="Q298" s="31" t="s">
        <v>379</v>
      </c>
      <c r="R298" s="3"/>
    </row>
    <row r="299" spans="1:18">
      <c r="A299" s="14"/>
      <c r="B299" s="9"/>
      <c r="C299" s="10" t="str">
        <f t="shared" si="50"/>
        <v/>
      </c>
      <c r="D299" s="9"/>
      <c r="E299" s="9" t="str">
        <f t="shared" si="51"/>
        <v>NUTCHAWEE SREWAI</v>
      </c>
      <c r="F299" s="9"/>
      <c r="G299" s="3"/>
      <c r="H299" s="3"/>
      <c r="I299" s="8"/>
      <c r="J299" s="3"/>
      <c r="K299" s="31" t="s">
        <v>380</v>
      </c>
      <c r="L299" s="3"/>
      <c r="M299" s="8"/>
      <c r="N299" s="3"/>
      <c r="O299" s="8"/>
      <c r="P299" s="3"/>
      <c r="Q299" s="31" t="s">
        <v>380</v>
      </c>
      <c r="R299" s="3"/>
    </row>
    <row r="300" spans="1:18">
      <c r="A300" s="14"/>
      <c r="B300" s="9"/>
      <c r="C300" s="10" t="str">
        <f t="shared" si="50"/>
        <v/>
      </c>
      <c r="D300" s="9"/>
      <c r="E300" s="9" t="str">
        <f t="shared" si="51"/>
        <v>CHANIPORN PORSEELA</v>
      </c>
      <c r="F300" s="9"/>
      <c r="G300" s="3"/>
      <c r="H300" s="3"/>
      <c r="I300" s="8"/>
      <c r="J300" s="3"/>
      <c r="K300" s="31" t="s">
        <v>381</v>
      </c>
      <c r="L300" s="3"/>
      <c r="M300" s="8"/>
      <c r="N300" s="3"/>
      <c r="O300" s="8"/>
      <c r="P300" s="3"/>
      <c r="Q300" s="31" t="s">
        <v>381</v>
      </c>
      <c r="R300" s="3"/>
    </row>
    <row r="301" spans="1:18">
      <c r="A301" s="14"/>
      <c r="B301" s="9"/>
      <c r="C301" s="10" t="str">
        <f t="shared" si="50"/>
        <v/>
      </c>
      <c r="D301" s="9"/>
      <c r="E301" s="9" t="str">
        <f t="shared" si="51"/>
        <v>KORAWIT KARAKORN</v>
      </c>
      <c r="F301" s="9"/>
      <c r="G301" s="3"/>
      <c r="H301" s="3"/>
      <c r="I301" s="8"/>
      <c r="J301" s="3"/>
      <c r="K301" s="31" t="s">
        <v>634</v>
      </c>
      <c r="L301" s="3"/>
      <c r="M301" s="8"/>
      <c r="N301" s="3"/>
      <c r="O301" s="8"/>
      <c r="P301" s="3"/>
      <c r="Q301" s="31" t="s">
        <v>634</v>
      </c>
      <c r="R301" s="3"/>
    </row>
    <row r="302" spans="1:18">
      <c r="A302" s="14"/>
      <c r="B302" s="9"/>
      <c r="C302" s="10" t="str">
        <f t="shared" si="50"/>
        <v/>
      </c>
      <c r="D302" s="9"/>
      <c r="E302" s="9" t="str">
        <f t="shared" si="51"/>
        <v>SUPANIDA KOSIN</v>
      </c>
      <c r="F302" s="9"/>
      <c r="G302" s="3"/>
      <c r="H302" s="3"/>
      <c r="I302" s="8"/>
      <c r="J302" s="3"/>
      <c r="K302" s="31" t="s">
        <v>635</v>
      </c>
      <c r="L302" s="3"/>
      <c r="M302" s="8"/>
      <c r="N302" s="3"/>
      <c r="O302" s="8"/>
      <c r="P302" s="3"/>
      <c r="Q302" s="31" t="s">
        <v>635</v>
      </c>
      <c r="R302" s="3"/>
    </row>
    <row r="303" spans="1:18">
      <c r="A303" s="14"/>
      <c r="B303" s="9"/>
      <c r="C303" s="10" t="str">
        <f t="shared" si="50"/>
        <v/>
      </c>
      <c r="D303" s="9"/>
      <c r="E303" s="9" t="str">
        <f t="shared" si="51"/>
        <v>VARAT SITTINUNTAWAT</v>
      </c>
      <c r="F303" s="9"/>
      <c r="G303" s="3"/>
      <c r="H303" s="3"/>
      <c r="I303" s="8"/>
      <c r="J303" s="3"/>
      <c r="K303" s="31" t="s">
        <v>636</v>
      </c>
      <c r="L303" s="3"/>
      <c r="M303" s="8"/>
      <c r="N303" s="3"/>
      <c r="O303" s="8"/>
      <c r="P303" s="3"/>
      <c r="Q303" s="31" t="s">
        <v>636</v>
      </c>
      <c r="R303" s="3"/>
    </row>
    <row r="304" spans="1:18">
      <c r="A304" s="14"/>
      <c r="B304" s="9"/>
      <c r="C304" s="10" t="str">
        <f t="shared" si="50"/>
        <v/>
      </c>
      <c r="D304" s="9"/>
      <c r="E304" s="9" t="str">
        <f t="shared" si="51"/>
        <v>SUTTIDA BUTMATA</v>
      </c>
      <c r="F304" s="9"/>
      <c r="G304" s="3"/>
      <c r="H304" s="3"/>
      <c r="I304" s="8"/>
      <c r="J304" s="3"/>
      <c r="K304" s="31" t="s">
        <v>637</v>
      </c>
      <c r="L304" s="3"/>
      <c r="M304" s="8"/>
      <c r="N304" s="3"/>
      <c r="O304" s="8"/>
      <c r="P304" s="3"/>
      <c r="Q304" s="31" t="s">
        <v>637</v>
      </c>
      <c r="R304" s="3"/>
    </row>
    <row r="305" spans="1:18">
      <c r="A305" s="14"/>
      <c r="B305" s="9"/>
      <c r="C305" s="10" t="str">
        <f t="shared" si="50"/>
        <v/>
      </c>
      <c r="D305" s="9"/>
      <c r="E305" s="9" t="str">
        <f t="shared" si="51"/>
        <v>TANCHANOK SONGSANG</v>
      </c>
      <c r="F305" s="9"/>
      <c r="G305" s="3"/>
      <c r="H305" s="3"/>
      <c r="I305" s="8"/>
      <c r="J305" s="3"/>
      <c r="K305" s="31" t="s">
        <v>638</v>
      </c>
      <c r="L305" s="3"/>
      <c r="M305" s="8"/>
      <c r="N305" s="3"/>
      <c r="O305" s="8"/>
      <c r="P305" s="3"/>
      <c r="Q305" s="31" t="s">
        <v>638</v>
      </c>
      <c r="R305" s="3"/>
    </row>
    <row r="306" spans="1:18">
      <c r="A306" s="14"/>
      <c r="B306" s="9"/>
      <c r="C306" s="10"/>
      <c r="D306" s="9"/>
      <c r="E306" s="9" t="str">
        <f t="shared" si="51"/>
        <v>LERTLUK SRIJAMORN</v>
      </c>
      <c r="F306" s="9"/>
      <c r="G306" s="3"/>
      <c r="H306" s="3"/>
      <c r="I306" s="8"/>
      <c r="J306" s="3"/>
      <c r="K306" s="31" t="s">
        <v>639</v>
      </c>
      <c r="L306" s="3"/>
      <c r="M306" s="8"/>
      <c r="N306" s="3"/>
      <c r="O306" s="8"/>
      <c r="P306" s="3"/>
      <c r="Q306" s="31" t="s">
        <v>639</v>
      </c>
      <c r="R306" s="3"/>
    </row>
    <row r="307" spans="1:18">
      <c r="A307" s="14"/>
      <c r="B307" s="9"/>
      <c r="C307" s="10"/>
      <c r="D307" s="9"/>
      <c r="E307" s="9"/>
      <c r="F307" s="9"/>
      <c r="G307" s="3"/>
      <c r="H307" s="3"/>
      <c r="I307" s="8"/>
      <c r="J307" s="3"/>
      <c r="K307" s="13"/>
      <c r="L307" s="3"/>
      <c r="M307" s="8"/>
      <c r="N307" s="8"/>
      <c r="O307" s="21"/>
      <c r="P307" s="3"/>
      <c r="Q307" s="3"/>
      <c r="R307" s="3"/>
    </row>
    <row r="308" spans="1:18">
      <c r="A308" s="14"/>
      <c r="B308" s="11"/>
      <c r="C308" s="12"/>
      <c r="D308" s="11"/>
      <c r="E308" s="11"/>
      <c r="F308" s="11"/>
      <c r="G308" s="3"/>
      <c r="H308" s="3"/>
      <c r="I308" s="8"/>
      <c r="J308" s="3"/>
      <c r="K308" s="13"/>
      <c r="L308" s="3"/>
      <c r="M308" s="8"/>
      <c r="N308" s="8"/>
      <c r="O308" s="21"/>
      <c r="P308" s="3"/>
      <c r="Q308" s="3"/>
      <c r="R308" s="3"/>
    </row>
    <row r="309" spans="1:18">
      <c r="A309" s="14"/>
      <c r="B309" s="6"/>
      <c r="C309" s="6"/>
      <c r="D309" s="6"/>
      <c r="E309" s="6"/>
      <c r="F309" s="6"/>
      <c r="G309" s="3"/>
      <c r="H309" s="5"/>
      <c r="I309" s="5"/>
      <c r="J309" s="5"/>
      <c r="K309" s="5"/>
      <c r="L309" s="5"/>
      <c r="M309" s="8"/>
      <c r="N309" s="15"/>
      <c r="O309" s="15"/>
      <c r="P309" s="15"/>
      <c r="Q309" s="15"/>
      <c r="R309" s="15"/>
    </row>
    <row r="310" spans="1:18">
      <c r="A310" s="14"/>
      <c r="B310" s="150" t="str">
        <f>UPPER(H310)</f>
        <v>PIPELINE &amp; SYSTEM</v>
      </c>
      <c r="C310" s="141"/>
      <c r="D310" s="141"/>
      <c r="E310" s="141"/>
      <c r="F310" s="141"/>
      <c r="G310" s="28"/>
      <c r="H310" s="167" t="s">
        <v>387</v>
      </c>
      <c r="I310" s="141"/>
      <c r="J310" s="141"/>
      <c r="K310" s="141"/>
      <c r="L310" s="141"/>
      <c r="M310" s="29"/>
      <c r="N310" s="149" t="s">
        <v>860</v>
      </c>
      <c r="O310" s="141"/>
      <c r="P310" s="141"/>
      <c r="Q310" s="141"/>
      <c r="R310" s="141"/>
    </row>
    <row r="311" spans="1:18">
      <c r="A311" s="14"/>
      <c r="B311" s="9"/>
      <c r="C311" s="10"/>
      <c r="D311" s="9"/>
      <c r="E311" s="9"/>
      <c r="F311" s="9"/>
      <c r="G311" s="3"/>
      <c r="H311" s="3"/>
      <c r="I311" s="8"/>
      <c r="J311" s="3"/>
      <c r="K311" s="13"/>
      <c r="L311" s="3"/>
      <c r="M311" s="8"/>
      <c r="N311" s="3"/>
      <c r="O311" s="8"/>
      <c r="P311" s="3"/>
      <c r="Q311" s="3"/>
      <c r="R311" s="3"/>
    </row>
    <row r="312" spans="1:18">
      <c r="A312" s="14"/>
      <c r="B312" s="9"/>
      <c r="C312" s="10" t="str">
        <f t="shared" ref="C312:C315" si="52">UPPER(I312)</f>
        <v>PIPELINE SUPERVISOR</v>
      </c>
      <c r="D312" s="9"/>
      <c r="E312" s="9" t="str">
        <f t="shared" ref="E312:E315" si="53">UPPER(K312)</f>
        <v>HYUNKYU PARK</v>
      </c>
      <c r="F312" s="9"/>
      <c r="G312" s="3"/>
      <c r="H312" s="3"/>
      <c r="I312" s="8" t="s">
        <v>388</v>
      </c>
      <c r="J312" s="3"/>
      <c r="K312" s="13" t="s">
        <v>389</v>
      </c>
      <c r="L312" s="3"/>
      <c r="M312" s="8"/>
      <c r="N312" s="3"/>
      <c r="O312" s="8" t="s">
        <v>861</v>
      </c>
      <c r="P312" s="3"/>
      <c r="Q312" s="3" t="s">
        <v>862</v>
      </c>
      <c r="R312" s="3"/>
    </row>
    <row r="313" spans="1:18">
      <c r="A313" s="14"/>
      <c r="B313" s="9"/>
      <c r="C313" s="10" t="str">
        <f t="shared" si="52"/>
        <v/>
      </c>
      <c r="D313" s="9"/>
      <c r="E313" s="9" t="str">
        <f t="shared" si="53"/>
        <v/>
      </c>
      <c r="F313" s="9"/>
      <c r="G313" s="3"/>
      <c r="H313" s="3"/>
      <c r="I313" s="8"/>
      <c r="J313" s="3"/>
      <c r="K313" s="13"/>
      <c r="L313" s="3"/>
      <c r="M313" s="8"/>
      <c r="N313" s="3"/>
      <c r="O313" s="8"/>
      <c r="P313" s="3"/>
      <c r="Q313" s="3"/>
      <c r="R313" s="3"/>
    </row>
    <row r="314" spans="1:18">
      <c r="A314" s="14"/>
      <c r="B314" s="9"/>
      <c r="C314" s="10" t="str">
        <f t="shared" si="52"/>
        <v>SYSTEM MANAGER</v>
      </c>
      <c r="D314" s="9"/>
      <c r="E314" s="9" t="str">
        <f t="shared" si="53"/>
        <v>JIWOONG RYU</v>
      </c>
      <c r="F314" s="9"/>
      <c r="G314" s="3"/>
      <c r="H314" s="3"/>
      <c r="I314" s="8" t="s">
        <v>390</v>
      </c>
      <c r="J314" s="3"/>
      <c r="K314" s="13" t="s">
        <v>391</v>
      </c>
      <c r="L314" s="3"/>
      <c r="M314" s="8"/>
      <c r="N314" s="3"/>
      <c r="O314" s="8" t="s">
        <v>863</v>
      </c>
      <c r="P314" s="3"/>
      <c r="Q314" s="3" t="s">
        <v>864</v>
      </c>
      <c r="R314" s="3"/>
    </row>
    <row r="315" spans="1:18">
      <c r="A315" s="14"/>
      <c r="B315" s="9"/>
      <c r="C315" s="10" t="str">
        <f t="shared" si="52"/>
        <v/>
      </c>
      <c r="D315" s="9"/>
      <c r="E315" s="9" t="str">
        <f t="shared" si="53"/>
        <v/>
      </c>
      <c r="F315" s="9"/>
      <c r="G315" s="3"/>
      <c r="H315" s="3"/>
      <c r="I315" s="8"/>
      <c r="J315" s="3"/>
      <c r="K315" s="13"/>
      <c r="L315" s="3"/>
      <c r="M315" s="8"/>
      <c r="N315" s="8"/>
      <c r="O315" s="21"/>
      <c r="P315" s="3"/>
      <c r="Q315" s="3"/>
      <c r="R315" s="3"/>
    </row>
    <row r="316" spans="1:18">
      <c r="A316" s="14"/>
      <c r="B316" s="150" t="str">
        <f>UPPER(H316)</f>
        <v>MANAGEMENT</v>
      </c>
      <c r="C316" s="141"/>
      <c r="D316" s="141"/>
      <c r="E316" s="141"/>
      <c r="F316" s="141"/>
      <c r="G316" s="28"/>
      <c r="H316" s="167" t="s">
        <v>392</v>
      </c>
      <c r="I316" s="141"/>
      <c r="J316" s="141"/>
      <c r="K316" s="141"/>
      <c r="L316" s="141"/>
      <c r="M316" s="29"/>
      <c r="N316" s="149" t="s">
        <v>865</v>
      </c>
      <c r="O316" s="141"/>
      <c r="P316" s="141"/>
      <c r="Q316" s="141"/>
      <c r="R316" s="141"/>
    </row>
    <row r="317" spans="1:18">
      <c r="A317" s="14"/>
      <c r="B317" s="9"/>
      <c r="C317" s="10"/>
      <c r="D317" s="9"/>
      <c r="E317" s="9"/>
      <c r="F317" s="9"/>
      <c r="G317" s="3"/>
      <c r="H317" s="3"/>
      <c r="I317" s="8"/>
      <c r="J317" s="3"/>
      <c r="K317" s="3"/>
      <c r="L317" s="3"/>
      <c r="M317" s="3"/>
      <c r="N317" s="3"/>
      <c r="O317" s="8"/>
      <c r="P317" s="3"/>
      <c r="Q317" s="3"/>
      <c r="R317" s="3"/>
    </row>
    <row r="318" spans="1:18">
      <c r="A318" s="14"/>
      <c r="B318" s="9"/>
      <c r="C318" s="10" t="str">
        <f>UPPER(I318)</f>
        <v>STUDIO MANAGEMENT</v>
      </c>
      <c r="D318" s="9"/>
      <c r="E318" s="9" t="str">
        <f>UPPER(K318)</f>
        <v>SANGWAN SEOK</v>
      </c>
      <c r="F318" s="9"/>
      <c r="G318" s="3"/>
      <c r="H318" s="3"/>
      <c r="I318" s="8" t="s">
        <v>393</v>
      </c>
      <c r="J318" s="3"/>
      <c r="K318" s="3" t="s">
        <v>394</v>
      </c>
      <c r="L318" s="3"/>
      <c r="M318" s="3"/>
      <c r="N318" s="3"/>
      <c r="O318" s="8" t="s">
        <v>866</v>
      </c>
      <c r="P318" s="3"/>
      <c r="Q318" s="3" t="s">
        <v>867</v>
      </c>
      <c r="R318" s="3"/>
    </row>
    <row r="319" spans="1:18">
      <c r="A319" s="14"/>
      <c r="B319" s="146" t="str">
        <f>UPPER(H319)</f>
        <v/>
      </c>
      <c r="C319" s="141"/>
      <c r="D319" s="141"/>
      <c r="E319" s="141"/>
      <c r="F319" s="141"/>
      <c r="G319" s="3"/>
      <c r="H319" s="3"/>
      <c r="I319" s="8"/>
      <c r="J319" s="3"/>
      <c r="K319" s="3"/>
      <c r="L319" s="3"/>
      <c r="M319" s="3"/>
      <c r="N319" s="3"/>
      <c r="O319" s="8"/>
      <c r="P319" s="3"/>
      <c r="Q319" s="3"/>
      <c r="R319" s="3"/>
    </row>
    <row r="320" spans="1:18">
      <c r="A320" s="14"/>
      <c r="B320" s="9"/>
      <c r="C320" s="10" t="str">
        <f t="shared" ref="C320:C324" si="54">UPPER(I320)</f>
        <v>SUPERVISING PRODUCER</v>
      </c>
      <c r="D320" s="9"/>
      <c r="E320" s="9" t="str">
        <f t="shared" ref="E320:E330" si="55">UPPER(K320)</f>
        <v>JARIN SOHN</v>
      </c>
      <c r="F320" s="9"/>
      <c r="G320" s="3"/>
      <c r="H320" s="3"/>
      <c r="I320" s="8" t="s">
        <v>395</v>
      </c>
      <c r="J320" s="3"/>
      <c r="K320" s="3" t="s">
        <v>396</v>
      </c>
      <c r="L320" s="3"/>
      <c r="M320" s="8"/>
      <c r="N320" s="3"/>
      <c r="O320" s="8" t="s">
        <v>868</v>
      </c>
      <c r="P320" s="3"/>
      <c r="Q320" s="3" t="s">
        <v>869</v>
      </c>
      <c r="R320" s="3"/>
    </row>
    <row r="321" spans="1:18">
      <c r="A321" s="14"/>
      <c r="B321" s="9"/>
      <c r="C321" s="10" t="str">
        <f t="shared" si="54"/>
        <v/>
      </c>
      <c r="D321" s="9"/>
      <c r="E321" s="9" t="str">
        <f t="shared" si="55"/>
        <v/>
      </c>
      <c r="F321" s="9"/>
      <c r="G321" s="3"/>
      <c r="H321" s="3"/>
      <c r="I321" s="8"/>
      <c r="J321" s="3"/>
      <c r="K321" s="3"/>
      <c r="L321" s="3"/>
      <c r="M321" s="8"/>
      <c r="N321" s="3"/>
      <c r="O321" s="8"/>
      <c r="P321" s="3"/>
      <c r="Q321" s="3"/>
      <c r="R321" s="3"/>
    </row>
    <row r="322" spans="1:18">
      <c r="A322" s="14"/>
      <c r="B322" s="6"/>
      <c r="C322" s="10" t="str">
        <f t="shared" si="54"/>
        <v>IP BUSINESS</v>
      </c>
      <c r="D322" s="9"/>
      <c r="E322" s="9" t="str">
        <f t="shared" si="55"/>
        <v>YEOMIN YOON</v>
      </c>
      <c r="F322" s="6"/>
      <c r="G322" s="3"/>
      <c r="H322" s="3"/>
      <c r="I322" s="8" t="s">
        <v>397</v>
      </c>
      <c r="J322" s="3"/>
      <c r="K322" s="3" t="s">
        <v>398</v>
      </c>
      <c r="L322" s="3"/>
      <c r="M322" s="8"/>
      <c r="N322" s="3"/>
      <c r="O322" s="8" t="s">
        <v>870</v>
      </c>
      <c r="P322" s="3"/>
      <c r="Q322" s="3" t="s">
        <v>871</v>
      </c>
      <c r="R322" s="3"/>
    </row>
    <row r="323" spans="1:18">
      <c r="A323" s="14"/>
      <c r="B323" s="9"/>
      <c r="C323" s="10" t="str">
        <f t="shared" si="54"/>
        <v/>
      </c>
      <c r="D323" s="9"/>
      <c r="E323" s="9" t="str">
        <f t="shared" si="55"/>
        <v>SANGWON NAM</v>
      </c>
      <c r="F323" s="9"/>
      <c r="G323" s="3"/>
      <c r="H323" s="3"/>
      <c r="I323" s="8"/>
      <c r="J323" s="3"/>
      <c r="K323" s="3" t="s">
        <v>399</v>
      </c>
      <c r="L323" s="3"/>
      <c r="M323" s="8"/>
      <c r="N323" s="3"/>
      <c r="O323" s="8"/>
      <c r="P323" s="3"/>
      <c r="Q323" s="3" t="s">
        <v>872</v>
      </c>
      <c r="R323" s="3"/>
    </row>
    <row r="324" spans="1:18">
      <c r="A324" s="14"/>
      <c r="B324" s="9"/>
      <c r="C324" s="10" t="str">
        <f t="shared" si="54"/>
        <v/>
      </c>
      <c r="D324" s="9"/>
      <c r="E324" s="9" t="str">
        <f t="shared" si="55"/>
        <v xml:space="preserve">GAHYUN BAIK </v>
      </c>
      <c r="F324" s="9"/>
      <c r="G324" s="3"/>
      <c r="H324" s="3"/>
      <c r="I324" s="8"/>
      <c r="J324" s="3"/>
      <c r="K324" s="3" t="s">
        <v>400</v>
      </c>
      <c r="L324" s="3"/>
      <c r="M324" s="8"/>
      <c r="N324" s="3"/>
      <c r="O324" s="8"/>
      <c r="P324" s="3"/>
      <c r="Q324" s="3" t="s">
        <v>873</v>
      </c>
      <c r="R324" s="3"/>
    </row>
    <row r="325" spans="1:18">
      <c r="A325" s="14"/>
      <c r="B325" s="9"/>
      <c r="C325" s="10"/>
      <c r="D325" s="9"/>
      <c r="E325" s="9" t="str">
        <f t="shared" si="55"/>
        <v>HANNA BANG</v>
      </c>
      <c r="F325" s="9"/>
      <c r="G325" s="3"/>
      <c r="H325" s="3"/>
      <c r="I325" s="8"/>
      <c r="J325" s="3"/>
      <c r="K325" s="3" t="s">
        <v>874</v>
      </c>
      <c r="L325" s="3"/>
      <c r="M325" s="8"/>
      <c r="N325" s="3"/>
      <c r="O325" s="8"/>
      <c r="P325" s="3"/>
      <c r="Q325" s="3" t="s">
        <v>875</v>
      </c>
      <c r="R325" s="3"/>
    </row>
    <row r="326" spans="1:18">
      <c r="A326" s="14"/>
      <c r="B326" s="9"/>
      <c r="C326" s="10" t="str">
        <f t="shared" ref="C326:C330" si="56">UPPER(I326)</f>
        <v/>
      </c>
      <c r="D326" s="9"/>
      <c r="E326" s="9" t="str">
        <f t="shared" si="55"/>
        <v/>
      </c>
      <c r="F326" s="9"/>
      <c r="G326" s="3"/>
      <c r="H326" s="3"/>
      <c r="I326" s="8"/>
      <c r="J326" s="3"/>
      <c r="K326" s="3"/>
      <c r="L326" s="3"/>
      <c r="M326" s="8"/>
      <c r="N326" s="3"/>
      <c r="O326" s="8"/>
      <c r="P326" s="3"/>
      <c r="Q326" s="3"/>
      <c r="R326" s="3"/>
    </row>
    <row r="327" spans="1:18">
      <c r="A327" s="14"/>
      <c r="B327" s="9"/>
      <c r="C327" s="10" t="str">
        <f t="shared" si="56"/>
        <v>ACCOUNTING</v>
      </c>
      <c r="D327" s="9"/>
      <c r="E327" s="9" t="str">
        <f t="shared" si="55"/>
        <v>JAEHWAN SHIN</v>
      </c>
      <c r="F327" s="9"/>
      <c r="G327" s="3"/>
      <c r="H327" s="3"/>
      <c r="I327" s="8" t="s">
        <v>401</v>
      </c>
      <c r="J327" s="3"/>
      <c r="K327" s="3" t="s">
        <v>402</v>
      </c>
      <c r="L327" s="3"/>
      <c r="M327" s="8"/>
      <c r="N327" s="3"/>
      <c r="O327" s="8" t="s">
        <v>876</v>
      </c>
      <c r="P327" s="3"/>
      <c r="Q327" s="3" t="s">
        <v>877</v>
      </c>
      <c r="R327" s="3"/>
    </row>
    <row r="328" spans="1:18">
      <c r="A328" s="14"/>
      <c r="B328" s="9"/>
      <c r="C328" s="10" t="str">
        <f t="shared" si="56"/>
        <v/>
      </c>
      <c r="D328" s="9"/>
      <c r="E328" s="9" t="str">
        <f t="shared" si="55"/>
        <v/>
      </c>
      <c r="F328" s="9"/>
      <c r="G328" s="3"/>
      <c r="H328" s="3"/>
      <c r="I328" s="8"/>
      <c r="J328" s="3"/>
      <c r="K328" s="3"/>
      <c r="L328" s="3"/>
      <c r="M328" s="8"/>
      <c r="N328" s="8"/>
      <c r="O328" s="21"/>
      <c r="P328" s="3"/>
      <c r="Q328" s="3"/>
      <c r="R328" s="3"/>
    </row>
    <row r="329" spans="1:18">
      <c r="A329" s="14"/>
      <c r="B329" s="9"/>
      <c r="C329" s="10" t="str">
        <f t="shared" si="56"/>
        <v>HUMAN RESOURCES</v>
      </c>
      <c r="D329" s="9"/>
      <c r="E329" s="9" t="str">
        <f t="shared" si="55"/>
        <v>JIN KIM</v>
      </c>
      <c r="F329" s="9"/>
      <c r="G329" s="3"/>
      <c r="H329" s="3"/>
      <c r="I329" s="8" t="s">
        <v>403</v>
      </c>
      <c r="J329" s="3"/>
      <c r="K329" s="3" t="s">
        <v>404</v>
      </c>
      <c r="L329" s="3"/>
      <c r="M329" s="8"/>
      <c r="N329" s="8"/>
      <c r="O329" s="8" t="s">
        <v>878</v>
      </c>
      <c r="P329" s="3"/>
      <c r="Q329" s="3" t="s">
        <v>879</v>
      </c>
      <c r="R329" s="3"/>
    </row>
    <row r="330" spans="1:18">
      <c r="A330" s="14"/>
      <c r="B330" s="9"/>
      <c r="C330" s="10" t="str">
        <f t="shared" si="56"/>
        <v/>
      </c>
      <c r="D330" s="9"/>
      <c r="E330" s="9" t="str">
        <f t="shared" si="55"/>
        <v/>
      </c>
      <c r="F330" s="9"/>
      <c r="G330" s="3"/>
      <c r="H330" s="3"/>
      <c r="I330" s="8"/>
      <c r="J330" s="3"/>
      <c r="K330" s="3"/>
      <c r="L330" s="3"/>
      <c r="M330" s="8"/>
      <c r="N330" s="20"/>
      <c r="O330" s="21"/>
      <c r="P330" s="20"/>
      <c r="Q330" s="20"/>
      <c r="R330" s="20"/>
    </row>
    <row r="331" spans="1:18">
      <c r="A331" s="14"/>
      <c r="B331" s="11"/>
      <c r="C331" s="12"/>
      <c r="D331" s="11"/>
      <c r="E331" s="11"/>
      <c r="F331" s="11"/>
      <c r="G331" s="3"/>
      <c r="H331" s="3"/>
      <c r="I331" s="8"/>
      <c r="J331" s="3"/>
      <c r="K331" s="13"/>
      <c r="L331" s="3"/>
      <c r="M331" s="3"/>
      <c r="N331" s="3"/>
      <c r="O331" s="21"/>
      <c r="P331" s="3"/>
      <c r="Q331" s="3"/>
      <c r="R331" s="3"/>
    </row>
    <row r="332" spans="1:18">
      <c r="A332" s="14"/>
      <c r="B332" s="42"/>
      <c r="C332" s="10" t="str">
        <f>UPPER(I332)</f>
        <v/>
      </c>
      <c r="D332" s="9"/>
      <c r="E332" s="9" t="str">
        <f>UPPER(K332)</f>
        <v/>
      </c>
      <c r="F332" s="42"/>
      <c r="G332" s="3"/>
      <c r="H332" s="8"/>
      <c r="I332" s="8"/>
      <c r="J332" s="8"/>
      <c r="K332" s="13"/>
      <c r="L332" s="8"/>
      <c r="M332" s="12"/>
      <c r="N332" s="12"/>
      <c r="O332" s="21"/>
      <c r="P332" s="3"/>
      <c r="Q332" s="3"/>
      <c r="R332" s="3"/>
    </row>
    <row r="333" spans="1:18">
      <c r="A333" s="14"/>
      <c r="B333" s="150" t="str">
        <f t="shared" ref="B333:B334" si="57">UPPER(H333)</f>
        <v>ADDITIONAL ARTISTS</v>
      </c>
      <c r="C333" s="141"/>
      <c r="D333" s="141"/>
      <c r="E333" s="141"/>
      <c r="F333" s="141"/>
      <c r="G333" s="28"/>
      <c r="H333" s="167" t="s">
        <v>405</v>
      </c>
      <c r="I333" s="141"/>
      <c r="J333" s="141"/>
      <c r="K333" s="141"/>
      <c r="L333" s="141"/>
      <c r="M333" s="43"/>
      <c r="N333" s="149" t="s">
        <v>880</v>
      </c>
      <c r="O333" s="141"/>
      <c r="P333" s="141"/>
      <c r="Q333" s="141"/>
      <c r="R333" s="141"/>
    </row>
    <row r="334" spans="1:18">
      <c r="A334" s="14"/>
      <c r="B334" s="165" t="str">
        <f t="shared" si="57"/>
        <v>YGGDRAZIL GROUP PUBLIC CO., LTD.</v>
      </c>
      <c r="C334" s="141"/>
      <c r="D334" s="141"/>
      <c r="E334" s="141"/>
      <c r="F334" s="141"/>
      <c r="G334" s="44"/>
      <c r="H334" s="168" t="s">
        <v>406</v>
      </c>
      <c r="I334" s="141"/>
      <c r="J334" s="141"/>
      <c r="K334" s="141"/>
      <c r="L334" s="141"/>
      <c r="M334" s="45"/>
      <c r="N334" s="145" t="s">
        <v>406</v>
      </c>
      <c r="O334" s="141"/>
      <c r="P334" s="141"/>
      <c r="Q334" s="141"/>
      <c r="R334" s="141"/>
    </row>
    <row r="335" spans="1:18">
      <c r="A335" s="14"/>
      <c r="B335" s="9"/>
      <c r="C335" s="10"/>
      <c r="D335" s="9"/>
      <c r="E335" s="9"/>
      <c r="F335" s="9"/>
      <c r="G335" s="3"/>
      <c r="H335" s="13"/>
      <c r="I335" s="8"/>
      <c r="J335" s="3"/>
      <c r="K335" s="3"/>
      <c r="L335" s="3"/>
      <c r="M335" s="12"/>
      <c r="N335" s="12"/>
      <c r="O335" s="21"/>
      <c r="P335" s="3"/>
      <c r="Q335" s="20"/>
      <c r="R335" s="3"/>
    </row>
    <row r="336" spans="1:18">
      <c r="A336" s="14"/>
      <c r="B336" s="9"/>
      <c r="C336" s="10" t="str">
        <f>UPPER(I336)</f>
        <v>ANIMATION DIRECTOR</v>
      </c>
      <c r="D336" s="9"/>
      <c r="E336" s="9" t="str">
        <f>UPPER(K336)</f>
        <v>PAIRATCH LERTKAJORNWONG</v>
      </c>
      <c r="F336" s="9"/>
      <c r="G336" s="3"/>
      <c r="H336" s="13"/>
      <c r="I336" s="8" t="s">
        <v>291</v>
      </c>
      <c r="J336" s="3"/>
      <c r="K336" s="3" t="s">
        <v>407</v>
      </c>
      <c r="L336" s="3"/>
      <c r="M336" s="12"/>
      <c r="N336" s="12"/>
      <c r="O336" s="8" t="s">
        <v>291</v>
      </c>
      <c r="P336" s="3"/>
      <c r="Q336" s="3" t="s">
        <v>407</v>
      </c>
      <c r="R336" s="3"/>
    </row>
    <row r="337" spans="1:18">
      <c r="A337" s="14"/>
      <c r="B337" s="6"/>
      <c r="C337" s="6"/>
      <c r="D337" s="6"/>
      <c r="E337" s="6"/>
      <c r="F337" s="6"/>
      <c r="G337" s="3"/>
      <c r="H337" s="5"/>
      <c r="I337" s="5"/>
      <c r="J337" s="5"/>
      <c r="K337" s="5"/>
      <c r="L337" s="5"/>
      <c r="M337" s="12"/>
      <c r="N337" s="12"/>
      <c r="O337" s="21"/>
      <c r="P337" s="3"/>
      <c r="Q337" s="3"/>
      <c r="R337" s="3"/>
    </row>
    <row r="338" spans="1:18">
      <c r="A338" s="14"/>
      <c r="B338" s="42"/>
      <c r="C338" s="10" t="str">
        <f t="shared" ref="C338:C354" si="58">UPPER(I338)</f>
        <v>ASSET SUPERVISOR</v>
      </c>
      <c r="D338" s="9"/>
      <c r="E338" s="9" t="str">
        <f t="shared" ref="E338:E355" si="59">UPPER(K338)</f>
        <v>PANUWAT BOVORNSIRISARP</v>
      </c>
      <c r="F338" s="42"/>
      <c r="G338" s="3"/>
      <c r="H338" s="8"/>
      <c r="I338" s="8" t="s">
        <v>209</v>
      </c>
      <c r="J338" s="8"/>
      <c r="K338" s="2" t="s">
        <v>408</v>
      </c>
      <c r="L338" s="8"/>
      <c r="M338" s="12"/>
      <c r="N338" s="12"/>
      <c r="O338" s="21" t="s">
        <v>209</v>
      </c>
      <c r="P338" s="21"/>
      <c r="Q338" s="2" t="s">
        <v>408</v>
      </c>
      <c r="R338" s="8"/>
    </row>
    <row r="339" spans="1:18">
      <c r="A339" s="14"/>
      <c r="B339" s="42"/>
      <c r="C339" s="10" t="str">
        <f t="shared" si="58"/>
        <v>LEAD ASSET</v>
      </c>
      <c r="D339" s="9"/>
      <c r="E339" s="9" t="str">
        <f t="shared" si="59"/>
        <v>PRADTANA TARWONG</v>
      </c>
      <c r="F339" s="42"/>
      <c r="G339" s="3"/>
      <c r="H339" s="8"/>
      <c r="I339" s="8" t="s">
        <v>409</v>
      </c>
      <c r="J339" s="8"/>
      <c r="K339" s="2" t="s">
        <v>410</v>
      </c>
      <c r="L339" s="8"/>
      <c r="M339" s="12"/>
      <c r="N339" s="12"/>
      <c r="O339" s="21"/>
      <c r="P339" s="21"/>
      <c r="Q339" s="2"/>
      <c r="R339" s="8"/>
    </row>
    <row r="340" spans="1:18">
      <c r="A340" s="14"/>
      <c r="B340" s="42"/>
      <c r="C340" s="10" t="str">
        <f t="shared" si="58"/>
        <v>ASSET ARTIST</v>
      </c>
      <c r="D340" s="9"/>
      <c r="E340" s="9" t="str">
        <f t="shared" si="59"/>
        <v>PUCHIT YOTWICHAI</v>
      </c>
      <c r="F340" s="42"/>
      <c r="G340" s="3"/>
      <c r="H340" s="8"/>
      <c r="I340" s="8" t="s">
        <v>411</v>
      </c>
      <c r="J340" s="8"/>
      <c r="K340" s="2" t="s">
        <v>412</v>
      </c>
      <c r="L340" s="8"/>
      <c r="M340" s="12"/>
      <c r="N340" s="12"/>
      <c r="O340" s="21" t="s">
        <v>409</v>
      </c>
      <c r="P340" s="21"/>
      <c r="Q340" s="2" t="s">
        <v>410</v>
      </c>
      <c r="R340" s="8"/>
    </row>
    <row r="341" spans="1:18">
      <c r="A341" s="14"/>
      <c r="B341" s="42"/>
      <c r="C341" s="10" t="str">
        <f t="shared" si="58"/>
        <v/>
      </c>
      <c r="D341" s="9"/>
      <c r="E341" s="9" t="str">
        <f t="shared" si="59"/>
        <v>RITHIKEAT TEACHO</v>
      </c>
      <c r="F341" s="42"/>
      <c r="G341" s="3"/>
      <c r="H341" s="8"/>
      <c r="I341" s="8"/>
      <c r="J341" s="8"/>
      <c r="K341" s="2" t="s">
        <v>413</v>
      </c>
      <c r="L341" s="8"/>
      <c r="M341" s="12"/>
      <c r="N341" s="12"/>
      <c r="O341" s="21"/>
      <c r="P341" s="21"/>
      <c r="Q341" s="2"/>
      <c r="R341" s="8"/>
    </row>
    <row r="342" spans="1:18">
      <c r="A342" s="14"/>
      <c r="B342" s="42"/>
      <c r="C342" s="10" t="str">
        <f t="shared" si="58"/>
        <v/>
      </c>
      <c r="D342" s="9"/>
      <c r="E342" s="9" t="str">
        <f t="shared" si="59"/>
        <v>JAKKRIT JAROENSUK</v>
      </c>
      <c r="F342" s="42"/>
      <c r="G342" s="3"/>
      <c r="H342" s="8"/>
      <c r="I342" s="8"/>
      <c r="J342" s="8"/>
      <c r="K342" s="2" t="s">
        <v>414</v>
      </c>
      <c r="L342" s="8"/>
      <c r="M342" s="12"/>
      <c r="N342" s="12"/>
      <c r="O342" s="21" t="s">
        <v>411</v>
      </c>
      <c r="P342" s="21"/>
      <c r="Q342" s="2" t="s">
        <v>412</v>
      </c>
      <c r="R342" s="8"/>
    </row>
    <row r="343" spans="1:18">
      <c r="A343" s="14"/>
      <c r="B343" s="42"/>
      <c r="C343" s="10" t="str">
        <f t="shared" si="58"/>
        <v/>
      </c>
      <c r="D343" s="9"/>
      <c r="E343" s="9" t="str">
        <f t="shared" si="59"/>
        <v>NAWAPAS MAINKOON</v>
      </c>
      <c r="F343" s="42"/>
      <c r="G343" s="3"/>
      <c r="H343" s="8"/>
      <c r="I343" s="8"/>
      <c r="J343" s="8"/>
      <c r="K343" s="2" t="s">
        <v>415</v>
      </c>
      <c r="L343" s="8"/>
      <c r="M343" s="12"/>
      <c r="N343" s="12"/>
      <c r="O343" s="21"/>
      <c r="P343" s="21"/>
      <c r="Q343" s="2" t="s">
        <v>413</v>
      </c>
      <c r="R343" s="8"/>
    </row>
    <row r="344" spans="1:18">
      <c r="A344" s="14"/>
      <c r="B344" s="42"/>
      <c r="C344" s="10" t="str">
        <f t="shared" si="58"/>
        <v/>
      </c>
      <c r="D344" s="9"/>
      <c r="E344" s="9" t="str">
        <f t="shared" si="59"/>
        <v>THARIT BANCHANURAT</v>
      </c>
      <c r="F344" s="42"/>
      <c r="G344" s="3"/>
      <c r="H344" s="8"/>
      <c r="I344" s="8"/>
      <c r="J344" s="3"/>
      <c r="K344" s="2" t="s">
        <v>416</v>
      </c>
      <c r="L344" s="8"/>
      <c r="M344" s="12"/>
      <c r="N344" s="12"/>
      <c r="O344" s="21"/>
      <c r="P344" s="21"/>
      <c r="Q344" s="2" t="s">
        <v>414</v>
      </c>
      <c r="R344" s="8"/>
    </row>
    <row r="345" spans="1:18">
      <c r="A345" s="14"/>
      <c r="B345" s="42"/>
      <c r="C345" s="10" t="str">
        <f t="shared" si="58"/>
        <v/>
      </c>
      <c r="D345" s="9"/>
      <c r="E345" s="9" t="str">
        <f t="shared" si="59"/>
        <v>PALINEE ANURATANAPRASIT</v>
      </c>
      <c r="F345" s="42"/>
      <c r="G345" s="3"/>
      <c r="H345" s="8"/>
      <c r="I345" s="8"/>
      <c r="J345" s="3"/>
      <c r="K345" s="2" t="s">
        <v>417</v>
      </c>
      <c r="L345" s="8"/>
      <c r="M345" s="12"/>
      <c r="N345" s="12"/>
      <c r="O345" s="21"/>
      <c r="P345" s="21"/>
      <c r="Q345" s="2" t="s">
        <v>415</v>
      </c>
      <c r="R345" s="8"/>
    </row>
    <row r="346" spans="1:18">
      <c r="A346" s="14"/>
      <c r="B346" s="42"/>
      <c r="C346" s="10" t="str">
        <f t="shared" si="58"/>
        <v/>
      </c>
      <c r="D346" s="9"/>
      <c r="E346" s="9" t="str">
        <f t="shared" si="59"/>
        <v>PHARUNYOO PROMKORN</v>
      </c>
      <c r="F346" s="42"/>
      <c r="G346" s="3"/>
      <c r="H346" s="8"/>
      <c r="I346" s="8"/>
      <c r="J346" s="3"/>
      <c r="K346" s="2" t="s">
        <v>418</v>
      </c>
      <c r="L346" s="8"/>
      <c r="M346" s="12"/>
      <c r="N346" s="12"/>
      <c r="O346" s="21"/>
      <c r="P346" s="20"/>
      <c r="Q346" s="2" t="s">
        <v>416</v>
      </c>
      <c r="R346" s="8"/>
    </row>
    <row r="347" spans="1:18">
      <c r="A347" s="14"/>
      <c r="B347" s="42"/>
      <c r="C347" s="10" t="str">
        <f t="shared" si="58"/>
        <v/>
      </c>
      <c r="D347" s="9"/>
      <c r="E347" s="9" t="str">
        <f t="shared" si="59"/>
        <v>CHANANKARN KANTA</v>
      </c>
      <c r="F347" s="42"/>
      <c r="G347" s="3"/>
      <c r="H347" s="8"/>
      <c r="I347" s="8"/>
      <c r="J347" s="3"/>
      <c r="K347" s="2" t="s">
        <v>419</v>
      </c>
      <c r="L347" s="8"/>
      <c r="M347" s="12"/>
      <c r="N347" s="12"/>
      <c r="O347" s="21"/>
      <c r="P347" s="20"/>
      <c r="Q347" s="2" t="s">
        <v>417</v>
      </c>
      <c r="R347" s="8"/>
    </row>
    <row r="348" spans="1:18">
      <c r="A348" s="14"/>
      <c r="B348" s="42"/>
      <c r="C348" s="10" t="str">
        <f t="shared" si="58"/>
        <v/>
      </c>
      <c r="D348" s="9"/>
      <c r="E348" s="9" t="str">
        <f t="shared" si="59"/>
        <v>CHANAPAT THUETRONG</v>
      </c>
      <c r="F348" s="42"/>
      <c r="G348" s="3"/>
      <c r="H348" s="8"/>
      <c r="I348" s="8"/>
      <c r="J348" s="3"/>
      <c r="K348" s="2" t="s">
        <v>420</v>
      </c>
      <c r="L348" s="8"/>
      <c r="M348" s="12"/>
      <c r="N348" s="12"/>
      <c r="O348" s="21"/>
      <c r="P348" s="20"/>
      <c r="Q348" s="2" t="s">
        <v>418</v>
      </c>
      <c r="R348" s="8"/>
    </row>
    <row r="349" spans="1:18">
      <c r="A349" s="14"/>
      <c r="B349" s="42"/>
      <c r="C349" s="10" t="str">
        <f t="shared" si="58"/>
        <v/>
      </c>
      <c r="D349" s="9"/>
      <c r="E349" s="9" t="str">
        <f t="shared" si="59"/>
        <v>TARIGAN SUKONTAGON</v>
      </c>
      <c r="F349" s="42"/>
      <c r="G349" s="3"/>
      <c r="H349" s="8"/>
      <c r="I349" s="8"/>
      <c r="J349" s="3"/>
      <c r="K349" s="2" t="s">
        <v>421</v>
      </c>
      <c r="L349" s="8"/>
      <c r="M349" s="12"/>
      <c r="N349" s="12"/>
      <c r="O349" s="21"/>
      <c r="P349" s="20"/>
      <c r="Q349" s="2" t="s">
        <v>419</v>
      </c>
      <c r="R349" s="8"/>
    </row>
    <row r="350" spans="1:18">
      <c r="A350" s="14"/>
      <c r="B350" s="42"/>
      <c r="C350" s="10" t="str">
        <f t="shared" si="58"/>
        <v/>
      </c>
      <c r="D350" s="9"/>
      <c r="E350" s="9" t="str">
        <f t="shared" si="59"/>
        <v>WATCHARAPOL PANYAPITAKKUL</v>
      </c>
      <c r="F350" s="42"/>
      <c r="G350" s="3"/>
      <c r="H350" s="8"/>
      <c r="I350" s="8"/>
      <c r="J350" s="3"/>
      <c r="K350" s="2" t="s">
        <v>422</v>
      </c>
      <c r="L350" s="8"/>
      <c r="M350" s="12"/>
      <c r="N350" s="12"/>
      <c r="O350" s="21"/>
      <c r="P350" s="20"/>
      <c r="Q350" s="2" t="s">
        <v>420</v>
      </c>
      <c r="R350" s="8"/>
    </row>
    <row r="351" spans="1:18">
      <c r="A351" s="14"/>
      <c r="B351" s="42"/>
      <c r="C351" s="10" t="str">
        <f t="shared" si="58"/>
        <v/>
      </c>
      <c r="D351" s="9"/>
      <c r="E351" s="9" t="str">
        <f t="shared" si="59"/>
        <v>PRAPABHORN POOMSIRI</v>
      </c>
      <c r="F351" s="42"/>
      <c r="G351" s="3"/>
      <c r="H351" s="8"/>
      <c r="I351" s="8"/>
      <c r="J351" s="3"/>
      <c r="K351" s="2" t="s">
        <v>423</v>
      </c>
      <c r="L351" s="8"/>
      <c r="M351" s="12"/>
      <c r="N351" s="12"/>
      <c r="O351" s="21"/>
      <c r="P351" s="20"/>
      <c r="Q351" s="2" t="s">
        <v>421</v>
      </c>
      <c r="R351" s="8"/>
    </row>
    <row r="352" spans="1:18">
      <c r="A352" s="14"/>
      <c r="B352" s="42"/>
      <c r="C352" s="10" t="str">
        <f t="shared" si="58"/>
        <v/>
      </c>
      <c r="D352" s="9"/>
      <c r="E352" s="9" t="str">
        <f t="shared" si="59"/>
        <v>BAVORNSAK UDOMCHIMPLEE</v>
      </c>
      <c r="F352" s="42"/>
      <c r="G352" s="3"/>
      <c r="H352" s="8"/>
      <c r="I352" s="8"/>
      <c r="J352" s="3"/>
      <c r="K352" s="2" t="s">
        <v>424</v>
      </c>
      <c r="L352" s="8"/>
      <c r="M352" s="12"/>
      <c r="N352" s="12"/>
      <c r="O352" s="21"/>
      <c r="P352" s="20"/>
      <c r="Q352" s="2" t="s">
        <v>422</v>
      </c>
      <c r="R352" s="8"/>
    </row>
    <row r="353" spans="1:18">
      <c r="A353" s="14"/>
      <c r="B353" s="42"/>
      <c r="C353" s="10" t="str">
        <f t="shared" si="58"/>
        <v/>
      </c>
      <c r="D353" s="9"/>
      <c r="E353" s="9" t="str">
        <f t="shared" si="59"/>
        <v/>
      </c>
      <c r="F353" s="42"/>
      <c r="G353" s="3"/>
      <c r="H353" s="8"/>
      <c r="I353" s="8"/>
      <c r="J353" s="3"/>
      <c r="K353" s="3"/>
      <c r="L353" s="8"/>
      <c r="M353" s="12"/>
      <c r="N353" s="12"/>
      <c r="O353" s="21"/>
      <c r="P353" s="20"/>
      <c r="Q353" s="2" t="s">
        <v>423</v>
      </c>
      <c r="R353" s="8"/>
    </row>
    <row r="354" spans="1:18">
      <c r="A354" s="14"/>
      <c r="B354" s="11"/>
      <c r="C354" s="12" t="str">
        <f t="shared" si="58"/>
        <v/>
      </c>
      <c r="D354" s="11"/>
      <c r="E354" s="11" t="str">
        <f t="shared" si="59"/>
        <v/>
      </c>
      <c r="F354" s="11"/>
      <c r="G354" s="3"/>
      <c r="H354" s="3"/>
      <c r="I354" s="8"/>
      <c r="J354" s="3"/>
      <c r="K354" s="13"/>
      <c r="L354" s="3"/>
      <c r="M354" s="3"/>
      <c r="N354" s="12"/>
      <c r="O354" s="21"/>
      <c r="P354" s="20"/>
      <c r="Q354" s="2" t="s">
        <v>424</v>
      </c>
      <c r="R354" s="8"/>
    </row>
    <row r="355" spans="1:18">
      <c r="A355" s="14"/>
      <c r="B355" s="9" t="str">
        <f t="shared" ref="B355:C355" si="60">UPPER(H355)</f>
        <v/>
      </c>
      <c r="C355" s="10" t="str">
        <f t="shared" si="60"/>
        <v/>
      </c>
      <c r="D355" s="9"/>
      <c r="E355" s="9" t="str">
        <f t="shared" si="59"/>
        <v/>
      </c>
      <c r="F355" s="9"/>
      <c r="G355" s="3"/>
      <c r="H355" s="3"/>
      <c r="I355" s="8"/>
      <c r="J355" s="3"/>
      <c r="K355" s="13"/>
      <c r="L355" s="3"/>
      <c r="M355" s="8"/>
      <c r="N355" s="8"/>
      <c r="O355" s="21"/>
      <c r="P355" s="3"/>
      <c r="Q355" s="3"/>
      <c r="R355" s="3"/>
    </row>
    <row r="356" spans="1:18">
      <c r="A356" s="14"/>
      <c r="B356" s="150" t="str">
        <f>UPPER(H356)</f>
        <v>VOICE RECORDING</v>
      </c>
      <c r="C356" s="141"/>
      <c r="D356" s="141"/>
      <c r="E356" s="141"/>
      <c r="F356" s="141"/>
      <c r="G356" s="28"/>
      <c r="H356" s="167" t="s">
        <v>425</v>
      </c>
      <c r="I356" s="141"/>
      <c r="J356" s="141"/>
      <c r="K356" s="141"/>
      <c r="L356" s="141"/>
      <c r="M356" s="29"/>
      <c r="N356" s="149" t="s">
        <v>881</v>
      </c>
      <c r="O356" s="141"/>
      <c r="P356" s="141"/>
      <c r="Q356" s="141"/>
      <c r="R356" s="141"/>
    </row>
    <row r="357" spans="1:18">
      <c r="A357" s="14"/>
      <c r="B357" s="9"/>
      <c r="C357" s="10" t="str">
        <f t="shared" ref="C357:C369" si="61">UPPER(I357)</f>
        <v>VOICE DIRECTOR</v>
      </c>
      <c r="D357" s="9"/>
      <c r="E357" s="9" t="str">
        <f t="shared" ref="E357:E369" si="62">UPPER(K357)</f>
        <v>TOM WAYLAND</v>
      </c>
      <c r="F357" s="9"/>
      <c r="G357" s="3"/>
      <c r="H357" s="3"/>
      <c r="I357" s="36" t="s">
        <v>426</v>
      </c>
      <c r="J357" s="2"/>
      <c r="K357" s="2" t="s">
        <v>58</v>
      </c>
      <c r="L357" s="3"/>
      <c r="M357" s="8"/>
      <c r="N357" s="3"/>
      <c r="O357" s="8" t="s">
        <v>882</v>
      </c>
      <c r="P357" s="3"/>
      <c r="Q357" s="3" t="s">
        <v>883</v>
      </c>
      <c r="R357" s="3"/>
    </row>
    <row r="358" spans="1:18">
      <c r="A358" s="14"/>
      <c r="B358" s="9"/>
      <c r="C358" s="10" t="str">
        <f t="shared" si="61"/>
        <v/>
      </c>
      <c r="D358" s="9"/>
      <c r="E358" s="9" t="str">
        <f t="shared" si="62"/>
        <v/>
      </c>
      <c r="F358" s="9"/>
      <c r="G358" s="3"/>
      <c r="H358" s="3"/>
      <c r="I358" s="2"/>
      <c r="J358" s="2"/>
      <c r="K358" s="2"/>
      <c r="L358" s="3"/>
      <c r="M358" s="8"/>
      <c r="N358" s="3"/>
      <c r="O358" s="8"/>
      <c r="P358" s="3"/>
      <c r="Q358" s="3"/>
      <c r="R358" s="3"/>
    </row>
    <row r="359" spans="1:18">
      <c r="A359" s="14"/>
      <c r="B359" s="9"/>
      <c r="C359" s="10" t="str">
        <f t="shared" si="61"/>
        <v>RECORDING ENGINEER</v>
      </c>
      <c r="D359" s="9"/>
      <c r="E359" s="9" t="str">
        <f t="shared" si="62"/>
        <v>DOMINIC DUNN</v>
      </c>
      <c r="F359" s="9"/>
      <c r="G359" s="3"/>
      <c r="H359" s="3"/>
      <c r="I359" s="36" t="s">
        <v>427</v>
      </c>
      <c r="J359" s="2"/>
      <c r="K359" s="2" t="s">
        <v>428</v>
      </c>
      <c r="L359" s="3"/>
      <c r="M359" s="8"/>
      <c r="N359" s="3"/>
      <c r="O359" s="8" t="s">
        <v>884</v>
      </c>
      <c r="P359" s="3"/>
      <c r="Q359" s="3" t="s">
        <v>885</v>
      </c>
      <c r="R359" s="3"/>
    </row>
    <row r="360" spans="1:18">
      <c r="A360" s="14"/>
      <c r="B360" s="9"/>
      <c r="C360" s="10" t="str">
        <f t="shared" si="61"/>
        <v/>
      </c>
      <c r="D360" s="9"/>
      <c r="E360" s="9" t="str">
        <f t="shared" si="62"/>
        <v>FAHAD RAHMAN</v>
      </c>
      <c r="F360" s="9"/>
      <c r="G360" s="3"/>
      <c r="H360" s="3"/>
      <c r="I360" s="2"/>
      <c r="J360" s="2"/>
      <c r="K360" s="2" t="s">
        <v>429</v>
      </c>
      <c r="L360" s="3"/>
      <c r="M360" s="8"/>
      <c r="N360" s="3"/>
      <c r="O360" s="8"/>
      <c r="P360" s="3"/>
      <c r="Q360" s="3"/>
      <c r="R360" s="3"/>
    </row>
    <row r="361" spans="1:18">
      <c r="A361" s="14"/>
      <c r="B361" s="9"/>
      <c r="C361" s="10" t="str">
        <f t="shared" si="61"/>
        <v/>
      </c>
      <c r="D361" s="9"/>
      <c r="E361" s="9" t="str">
        <f t="shared" si="62"/>
        <v>TOM WAYLAND</v>
      </c>
      <c r="F361" s="9"/>
      <c r="G361" s="3"/>
      <c r="H361" s="3"/>
      <c r="I361" s="2"/>
      <c r="J361" s="2"/>
      <c r="K361" s="2" t="s">
        <v>58</v>
      </c>
      <c r="L361" s="3"/>
      <c r="M361" s="8"/>
      <c r="N361" s="3"/>
      <c r="O361" s="8" t="s">
        <v>886</v>
      </c>
      <c r="P361" s="3"/>
      <c r="Q361" s="3" t="s">
        <v>885</v>
      </c>
      <c r="R361" s="3"/>
    </row>
    <row r="362" spans="1:18">
      <c r="A362" s="14"/>
      <c r="B362" s="9"/>
      <c r="C362" s="10" t="str">
        <f t="shared" si="61"/>
        <v/>
      </c>
      <c r="D362" s="9"/>
      <c r="E362" s="9" t="str">
        <f t="shared" si="62"/>
        <v/>
      </c>
      <c r="F362" s="9"/>
      <c r="G362" s="3"/>
      <c r="H362" s="3"/>
      <c r="I362" s="2"/>
      <c r="J362" s="2"/>
      <c r="K362" s="2"/>
      <c r="L362" s="3"/>
      <c r="M362" s="8"/>
      <c r="N362" s="3"/>
      <c r="O362" s="8"/>
      <c r="P362" s="3"/>
      <c r="Q362" s="3"/>
      <c r="R362" s="3"/>
    </row>
    <row r="363" spans="1:18">
      <c r="A363" s="14"/>
      <c r="B363" s="9"/>
      <c r="C363" s="10" t="str">
        <f t="shared" si="61"/>
        <v>VOICE CASTING</v>
      </c>
      <c r="D363" s="9"/>
      <c r="E363" s="9" t="str">
        <f t="shared" si="62"/>
        <v>TOM WAYLAND</v>
      </c>
      <c r="F363" s="9"/>
      <c r="G363" s="3"/>
      <c r="H363" s="3"/>
      <c r="I363" s="36" t="s">
        <v>430</v>
      </c>
      <c r="J363" s="2"/>
      <c r="K363" s="2" t="s">
        <v>58</v>
      </c>
      <c r="L363" s="3"/>
      <c r="M363" s="8"/>
      <c r="N363" s="3"/>
      <c r="O363" s="8" t="s">
        <v>887</v>
      </c>
      <c r="P363" s="3"/>
      <c r="Q363" s="3" t="s">
        <v>885</v>
      </c>
      <c r="R363" s="3"/>
    </row>
    <row r="364" spans="1:18">
      <c r="A364" s="14"/>
      <c r="B364" s="9"/>
      <c r="C364" s="10" t="str">
        <f t="shared" si="61"/>
        <v/>
      </c>
      <c r="D364" s="9"/>
      <c r="E364" s="9" t="str">
        <f t="shared" si="62"/>
        <v/>
      </c>
      <c r="F364" s="9"/>
      <c r="G364" s="3"/>
      <c r="H364" s="3"/>
      <c r="I364" s="2"/>
      <c r="J364" s="2"/>
      <c r="K364" s="2"/>
      <c r="L364" s="3"/>
      <c r="M364" s="8"/>
      <c r="N364" s="20"/>
      <c r="O364" s="21"/>
      <c r="P364" s="20"/>
      <c r="Q364" s="47"/>
      <c r="R364" s="3"/>
    </row>
    <row r="365" spans="1:18">
      <c r="A365" s="14"/>
      <c r="B365" s="9"/>
      <c r="C365" s="10" t="str">
        <f t="shared" si="61"/>
        <v>RECORDED BY</v>
      </c>
      <c r="D365" s="9"/>
      <c r="E365" s="9" t="str">
        <f t="shared" si="62"/>
        <v>3BEEP, NYC</v>
      </c>
      <c r="F365" s="9"/>
      <c r="G365" s="3"/>
      <c r="H365" s="3"/>
      <c r="I365" s="36" t="s">
        <v>431</v>
      </c>
      <c r="J365" s="2"/>
      <c r="K365" s="2" t="s">
        <v>432</v>
      </c>
      <c r="L365" s="3"/>
      <c r="M365" s="8"/>
      <c r="N365" s="20"/>
      <c r="O365" s="21"/>
      <c r="P365" s="20"/>
      <c r="Q365" s="47"/>
      <c r="R365" s="3"/>
    </row>
    <row r="366" spans="1:18">
      <c r="A366" s="14"/>
      <c r="B366" s="9"/>
      <c r="C366" s="10" t="str">
        <f t="shared" si="61"/>
        <v/>
      </c>
      <c r="D366" s="9"/>
      <c r="E366" s="9" t="str">
        <f t="shared" si="62"/>
        <v/>
      </c>
      <c r="F366" s="9"/>
      <c r="G366" s="3"/>
      <c r="H366" s="3"/>
      <c r="I366" s="2"/>
      <c r="J366" s="2"/>
      <c r="K366" s="2"/>
      <c r="L366" s="3"/>
      <c r="M366" s="8"/>
      <c r="N366" s="20"/>
      <c r="O366" s="21"/>
      <c r="P366" s="20"/>
      <c r="Q366" s="47"/>
      <c r="R366" s="3"/>
    </row>
    <row r="367" spans="1:18">
      <c r="A367" s="14"/>
      <c r="B367" s="9"/>
      <c r="C367" s="10" t="str">
        <f t="shared" si="61"/>
        <v>PRODUCER FOR  3BEEP</v>
      </c>
      <c r="D367" s="9"/>
      <c r="E367" s="9" t="str">
        <f t="shared" si="62"/>
        <v>TIM WERENKO</v>
      </c>
      <c r="F367" s="9"/>
      <c r="G367" s="3"/>
      <c r="H367" s="3"/>
      <c r="I367" s="36" t="s">
        <v>433</v>
      </c>
      <c r="J367" s="2"/>
      <c r="K367" s="2" t="s">
        <v>434</v>
      </c>
      <c r="L367" s="3"/>
      <c r="M367" s="8"/>
      <c r="N367" s="20"/>
      <c r="O367" s="21"/>
      <c r="P367" s="20"/>
      <c r="Q367" s="47"/>
      <c r="R367" s="3"/>
    </row>
    <row r="368" spans="1:18">
      <c r="A368" s="14"/>
      <c r="B368" s="9"/>
      <c r="C368" s="10" t="str">
        <f t="shared" si="61"/>
        <v/>
      </c>
      <c r="D368" s="9"/>
      <c r="E368" s="9" t="str">
        <f t="shared" si="62"/>
        <v>TOM WAYLAND</v>
      </c>
      <c r="F368" s="9"/>
      <c r="G368" s="3"/>
      <c r="H368" s="3"/>
      <c r="I368" s="2"/>
      <c r="J368" s="2"/>
      <c r="K368" s="2" t="s">
        <v>58</v>
      </c>
      <c r="L368" s="3"/>
      <c r="M368" s="8"/>
      <c r="N368" s="20"/>
      <c r="O368" s="21"/>
      <c r="P368" s="20"/>
      <c r="Q368" s="47"/>
      <c r="R368" s="3"/>
    </row>
    <row r="369" spans="1:18">
      <c r="A369" s="14"/>
      <c r="B369" s="9"/>
      <c r="C369" s="10" t="str">
        <f t="shared" si="61"/>
        <v/>
      </c>
      <c r="D369" s="9"/>
      <c r="E369" s="9" t="str">
        <f t="shared" si="62"/>
        <v/>
      </c>
      <c r="F369" s="9"/>
      <c r="G369" s="3"/>
      <c r="H369" s="3"/>
      <c r="I369" s="8"/>
      <c r="J369" s="3"/>
      <c r="K369" s="13"/>
      <c r="L369" s="3"/>
      <c r="M369" s="8"/>
      <c r="N369" s="8"/>
      <c r="O369" s="21"/>
      <c r="P369" s="3"/>
      <c r="Q369" s="3"/>
      <c r="R369" s="3"/>
    </row>
    <row r="370" spans="1:18">
      <c r="A370" s="14"/>
      <c r="B370" s="11"/>
      <c r="C370" s="12"/>
      <c r="D370" s="11"/>
      <c r="E370" s="11"/>
      <c r="F370" s="11"/>
      <c r="G370" s="3"/>
      <c r="H370" s="3"/>
      <c r="I370" s="8"/>
      <c r="J370" s="3"/>
      <c r="K370" s="13"/>
      <c r="L370" s="3"/>
      <c r="M370" s="3"/>
      <c r="N370" s="3"/>
      <c r="O370" s="21"/>
      <c r="P370" s="3"/>
      <c r="Q370" s="3"/>
      <c r="R370" s="3"/>
    </row>
    <row r="371" spans="1:18">
      <c r="A371" s="14"/>
      <c r="B371" s="6"/>
      <c r="C371" s="6"/>
      <c r="D371" s="6"/>
      <c r="E371" s="6"/>
      <c r="F371" s="6"/>
      <c r="G371" s="3"/>
      <c r="H371" s="5"/>
      <c r="I371" s="5"/>
      <c r="J371" s="5"/>
      <c r="K371" s="5"/>
      <c r="L371" s="5"/>
      <c r="M371" s="8"/>
      <c r="N371" s="8"/>
      <c r="O371" s="21"/>
      <c r="P371" s="3"/>
      <c r="Q371" s="3"/>
      <c r="R371" s="3"/>
    </row>
    <row r="372" spans="1:18">
      <c r="A372" s="14"/>
      <c r="B372" s="150" t="str">
        <f>UPPER(H372)</f>
        <v>POST PRODUCTION / ORIGINAL SCORES &amp; SONGS</v>
      </c>
      <c r="C372" s="141"/>
      <c r="D372" s="141"/>
      <c r="E372" s="141"/>
      <c r="F372" s="141"/>
      <c r="G372" s="28"/>
      <c r="H372" s="167" t="s">
        <v>435</v>
      </c>
      <c r="I372" s="141"/>
      <c r="J372" s="141"/>
      <c r="K372" s="141"/>
      <c r="L372" s="141"/>
      <c r="M372" s="29"/>
      <c r="N372" s="149" t="s">
        <v>888</v>
      </c>
      <c r="O372" s="141"/>
      <c r="P372" s="141"/>
      <c r="Q372" s="141"/>
      <c r="R372" s="141"/>
    </row>
    <row r="373" spans="1:18">
      <c r="A373" s="14"/>
      <c r="B373" s="9"/>
      <c r="C373" s="10" t="str">
        <f t="shared" ref="C373:C375" si="63">UPPER(I373)</f>
        <v>AUDIO POST PRODUCTION</v>
      </c>
      <c r="D373" s="9"/>
      <c r="E373" s="9" t="str">
        <f t="shared" ref="E373:E375" si="64">UPPER(K373)</f>
        <v>DOONG SOUND</v>
      </c>
      <c r="F373" s="9"/>
      <c r="G373" s="3"/>
      <c r="H373" s="3"/>
      <c r="I373" s="8" t="s">
        <v>436</v>
      </c>
      <c r="J373" s="3"/>
      <c r="K373" s="3" t="s">
        <v>437</v>
      </c>
      <c r="L373" s="3"/>
      <c r="M373" s="8"/>
      <c r="N373" s="3"/>
      <c r="O373" s="8" t="s">
        <v>889</v>
      </c>
      <c r="P373" s="3"/>
      <c r="Q373" s="3" t="s">
        <v>883</v>
      </c>
      <c r="R373" s="3"/>
    </row>
    <row r="374" spans="1:18">
      <c r="A374" s="14"/>
      <c r="B374" s="6"/>
      <c r="C374" s="10" t="str">
        <f t="shared" si="63"/>
        <v>SOUND SUPERVISOR</v>
      </c>
      <c r="D374" s="9"/>
      <c r="E374" s="9" t="str">
        <f t="shared" si="64"/>
        <v>JEONGYOUNG PARK</v>
      </c>
      <c r="F374" s="6"/>
      <c r="G374" s="3"/>
      <c r="H374" s="3"/>
      <c r="I374" s="8" t="s">
        <v>438</v>
      </c>
      <c r="J374" s="3"/>
      <c r="K374" s="3" t="s">
        <v>439</v>
      </c>
      <c r="L374" s="3"/>
      <c r="M374" s="8"/>
      <c r="N374" s="3"/>
      <c r="O374" s="8" t="s">
        <v>890</v>
      </c>
      <c r="P374" s="3"/>
      <c r="Q374" s="3" t="s">
        <v>891</v>
      </c>
      <c r="R374" s="3"/>
    </row>
    <row r="375" spans="1:18">
      <c r="A375" s="14"/>
      <c r="B375" s="6"/>
      <c r="C375" s="10" t="str">
        <f t="shared" si="63"/>
        <v>SOUND PRODUCTION MANAGER</v>
      </c>
      <c r="D375" s="9"/>
      <c r="E375" s="9" t="str">
        <f t="shared" si="64"/>
        <v>HYEJEONG HWANG</v>
      </c>
      <c r="F375" s="6"/>
      <c r="G375" s="3"/>
      <c r="H375" s="3"/>
      <c r="I375" s="8" t="s">
        <v>440</v>
      </c>
      <c r="J375" s="3"/>
      <c r="K375" s="3" t="s">
        <v>441</v>
      </c>
      <c r="L375" s="3"/>
      <c r="M375" s="8"/>
      <c r="N375" s="3"/>
      <c r="O375" s="8" t="s">
        <v>892</v>
      </c>
      <c r="P375" s="3"/>
      <c r="Q375" s="3" t="s">
        <v>885</v>
      </c>
      <c r="R375" s="3"/>
    </row>
    <row r="376" spans="1:18">
      <c r="A376" s="14"/>
      <c r="B376" s="6"/>
      <c r="C376" s="6"/>
      <c r="D376" s="6"/>
      <c r="E376" s="6"/>
      <c r="F376" s="6"/>
      <c r="G376" s="3"/>
      <c r="H376" s="3"/>
      <c r="I376" s="8"/>
      <c r="J376" s="3"/>
      <c r="K376" s="3"/>
      <c r="L376" s="3"/>
      <c r="M376" s="8"/>
      <c r="N376" s="8"/>
      <c r="O376" s="21"/>
      <c r="P376" s="3"/>
      <c r="Q376" s="3"/>
      <c r="R376" s="3"/>
    </row>
    <row r="377" spans="1:18">
      <c r="A377" s="14"/>
      <c r="B377" s="6"/>
      <c r="C377" s="6"/>
      <c r="D377" s="6"/>
      <c r="E377" s="6"/>
      <c r="F377" s="6"/>
      <c r="G377" s="3"/>
      <c r="H377" s="3"/>
      <c r="I377" s="8"/>
      <c r="J377" s="3"/>
      <c r="K377" s="3"/>
      <c r="L377" s="3"/>
      <c r="M377" s="8"/>
      <c r="N377" s="147"/>
      <c r="O377" s="141"/>
      <c r="P377" s="141"/>
      <c r="Q377" s="141"/>
      <c r="R377" s="141"/>
    </row>
    <row r="378" spans="1:18">
      <c r="A378" s="14"/>
      <c r="B378" s="146" t="str">
        <f>UPPER(H378)</f>
        <v>SOUND</v>
      </c>
      <c r="C378" s="141"/>
      <c r="D378" s="141"/>
      <c r="E378" s="141"/>
      <c r="F378" s="141"/>
      <c r="G378" s="3"/>
      <c r="H378" s="149" t="s">
        <v>442</v>
      </c>
      <c r="I378" s="141"/>
      <c r="J378" s="141"/>
      <c r="K378" s="141"/>
      <c r="L378" s="141"/>
      <c r="M378" s="8"/>
      <c r="N378" s="149" t="s">
        <v>893</v>
      </c>
      <c r="O378" s="141"/>
      <c r="P378" s="141"/>
      <c r="Q378" s="141"/>
      <c r="R378" s="141"/>
    </row>
    <row r="379" spans="1:18">
      <c r="A379" s="14"/>
      <c r="B379" s="9"/>
      <c r="C379" s="10" t="str">
        <f t="shared" ref="C379:C381" si="65">UPPER(I379)</f>
        <v>CHIEF SOUND DESIGNER &amp; EFFECTS &amp; EDITOR</v>
      </c>
      <c r="D379" s="9"/>
      <c r="E379" s="9" t="str">
        <f t="shared" ref="E379:E381" si="66">UPPER(K379)</f>
        <v>HYEJEONG HWANG</v>
      </c>
      <c r="F379" s="9"/>
      <c r="G379" s="3"/>
      <c r="H379" s="8"/>
      <c r="I379" s="8" t="s">
        <v>443</v>
      </c>
      <c r="J379" s="3"/>
      <c r="K379" s="3" t="s">
        <v>441</v>
      </c>
      <c r="L379" s="3"/>
      <c r="M379" s="8"/>
      <c r="N379" s="3"/>
      <c r="O379" s="8" t="s">
        <v>894</v>
      </c>
      <c r="P379" s="3"/>
      <c r="Q379" s="3" t="s">
        <v>885</v>
      </c>
      <c r="R379" s="3"/>
    </row>
    <row r="380" spans="1:18">
      <c r="A380" s="14"/>
      <c r="B380" s="9"/>
      <c r="C380" s="10" t="str">
        <f t="shared" si="65"/>
        <v>VOICE EDITOR</v>
      </c>
      <c r="D380" s="9"/>
      <c r="E380" s="9" t="str">
        <f t="shared" si="66"/>
        <v>HYEJEONG HWANG</v>
      </c>
      <c r="F380" s="9"/>
      <c r="G380" s="3"/>
      <c r="H380" s="8"/>
      <c r="I380" s="8" t="s">
        <v>444</v>
      </c>
      <c r="J380" s="3"/>
      <c r="K380" s="3" t="s">
        <v>441</v>
      </c>
      <c r="L380" s="3"/>
      <c r="M380" s="8"/>
      <c r="N380" s="3"/>
      <c r="O380" s="8" t="s">
        <v>895</v>
      </c>
      <c r="P380" s="3"/>
      <c r="Q380" s="3" t="s">
        <v>885</v>
      </c>
      <c r="R380" s="3"/>
    </row>
    <row r="381" spans="1:18">
      <c r="A381" s="14"/>
      <c r="B381" s="9"/>
      <c r="C381" s="10" t="str">
        <f t="shared" si="65"/>
        <v>MIXING &amp; MASTERING</v>
      </c>
      <c r="D381" s="9"/>
      <c r="E381" s="9" t="str">
        <f t="shared" si="66"/>
        <v>HYEJEONG HWANG</v>
      </c>
      <c r="F381" s="9"/>
      <c r="G381" s="3"/>
      <c r="H381" s="8"/>
      <c r="I381" s="8" t="s">
        <v>445</v>
      </c>
      <c r="J381" s="3"/>
      <c r="K381" s="3" t="s">
        <v>441</v>
      </c>
      <c r="L381" s="3"/>
      <c r="M381" s="8"/>
      <c r="N381" s="3"/>
      <c r="O381" s="8" t="s">
        <v>896</v>
      </c>
      <c r="P381" s="3"/>
      <c r="Q381" s="3" t="s">
        <v>885</v>
      </c>
      <c r="R381" s="3"/>
    </row>
    <row r="382" spans="1:18">
      <c r="A382" s="14"/>
      <c r="B382" s="9"/>
      <c r="C382" s="9"/>
      <c r="D382" s="9"/>
      <c r="E382" s="9"/>
      <c r="F382" s="9"/>
      <c r="G382" s="3"/>
      <c r="H382" s="8"/>
      <c r="I382" s="8"/>
      <c r="J382" s="3"/>
      <c r="K382" s="3" t="s">
        <v>439</v>
      </c>
      <c r="L382" s="3"/>
      <c r="M382" s="8"/>
      <c r="N382" s="3"/>
      <c r="O382" s="8"/>
      <c r="P382" s="3"/>
      <c r="Q382" s="3" t="s">
        <v>891</v>
      </c>
      <c r="R382" s="3"/>
    </row>
    <row r="383" spans="1:18">
      <c r="A383" s="14"/>
      <c r="B383" s="9"/>
      <c r="C383" s="9"/>
      <c r="D383" s="9"/>
      <c r="E383" s="9"/>
      <c r="F383" s="9"/>
      <c r="G383" s="3"/>
      <c r="H383" s="8"/>
      <c r="I383" s="8"/>
      <c r="J383" s="3"/>
      <c r="K383" s="3"/>
      <c r="L383" s="3"/>
      <c r="M383" s="8"/>
      <c r="N383" s="147"/>
      <c r="O383" s="141"/>
      <c r="P383" s="141"/>
      <c r="Q383" s="141"/>
      <c r="R383" s="141"/>
    </row>
    <row r="384" spans="1:18">
      <c r="A384" s="14"/>
      <c r="B384" s="9"/>
      <c r="C384" s="9"/>
      <c r="D384" s="9"/>
      <c r="E384" s="9"/>
      <c r="F384" s="9"/>
      <c r="G384" s="3"/>
      <c r="H384" s="8"/>
      <c r="I384" s="8"/>
      <c r="J384" s="3"/>
      <c r="K384" s="3"/>
      <c r="L384" s="3"/>
      <c r="M384" s="8"/>
      <c r="N384" s="8"/>
      <c r="O384" s="21"/>
      <c r="P384" s="3"/>
      <c r="Q384" s="3"/>
      <c r="R384" s="3"/>
    </row>
    <row r="385" spans="1:18">
      <c r="A385" s="14"/>
      <c r="B385" s="146" t="str">
        <f>UPPER(H385)</f>
        <v>ORIGINAL SCORE</v>
      </c>
      <c r="C385" s="141"/>
      <c r="D385" s="141"/>
      <c r="E385" s="141"/>
      <c r="F385" s="141"/>
      <c r="G385" s="3"/>
      <c r="H385" s="149" t="s">
        <v>446</v>
      </c>
      <c r="I385" s="141"/>
      <c r="J385" s="141"/>
      <c r="K385" s="141"/>
      <c r="L385" s="141"/>
      <c r="M385" s="8"/>
      <c r="N385" s="149" t="s">
        <v>897</v>
      </c>
      <c r="O385" s="141"/>
      <c r="P385" s="141"/>
      <c r="Q385" s="141"/>
      <c r="R385" s="141"/>
    </row>
    <row r="386" spans="1:18">
      <c r="A386" s="14"/>
      <c r="B386" s="9"/>
      <c r="C386" s="10" t="str">
        <f>UPPER(I386)</f>
        <v>MUSIC SUPERVISOR</v>
      </c>
      <c r="D386" s="9"/>
      <c r="E386" s="9" t="str">
        <f t="shared" ref="E386:E395" si="67">UPPER(K386)</f>
        <v>YOONHO KIM</v>
      </c>
      <c r="F386" s="9"/>
      <c r="G386" s="3"/>
      <c r="H386" s="8"/>
      <c r="I386" s="8" t="s">
        <v>447</v>
      </c>
      <c r="J386" s="3"/>
      <c r="K386" s="3" t="s">
        <v>448</v>
      </c>
      <c r="L386" s="3"/>
      <c r="M386" s="8"/>
      <c r="N386" s="3"/>
      <c r="O386" s="8" t="s">
        <v>898</v>
      </c>
      <c r="P386" s="3"/>
      <c r="Q386" s="3" t="s">
        <v>899</v>
      </c>
      <c r="R386" s="3"/>
    </row>
    <row r="387" spans="1:18">
      <c r="A387" s="14"/>
      <c r="B387" s="9"/>
      <c r="C387" s="9"/>
      <c r="D387" s="9"/>
      <c r="E387" s="9" t="str">
        <f t="shared" si="67"/>
        <v>SIEUN KIM</v>
      </c>
      <c r="F387" s="9"/>
      <c r="G387" s="3"/>
      <c r="H387" s="8"/>
      <c r="I387" s="8" t="s">
        <v>449</v>
      </c>
      <c r="J387" s="3"/>
      <c r="K387" s="3" t="s">
        <v>450</v>
      </c>
      <c r="L387" s="3"/>
      <c r="M387" s="8"/>
      <c r="N387" s="3"/>
      <c r="O387" s="8" t="s">
        <v>900</v>
      </c>
      <c r="P387" s="3"/>
      <c r="Q387" s="3" t="s">
        <v>901</v>
      </c>
      <c r="R387" s="3"/>
    </row>
    <row r="388" spans="1:18">
      <c r="A388" s="14"/>
      <c r="B388" s="9"/>
      <c r="C388" s="10" t="str">
        <f>UPPER(I388)</f>
        <v>ADDITIONAL COMPOSER</v>
      </c>
      <c r="D388" s="9"/>
      <c r="E388" s="9" t="str">
        <f t="shared" si="67"/>
        <v>NAYEON LEE</v>
      </c>
      <c r="F388" s="9"/>
      <c r="G388" s="3"/>
      <c r="H388" s="8"/>
      <c r="I388" s="8" t="s">
        <v>451</v>
      </c>
      <c r="J388" s="3"/>
      <c r="K388" s="22" t="s">
        <v>452</v>
      </c>
      <c r="L388" s="3"/>
      <c r="M388" s="8"/>
      <c r="N388" s="3"/>
      <c r="O388" s="8" t="s">
        <v>902</v>
      </c>
      <c r="P388" s="3"/>
      <c r="Q388" s="3" t="s">
        <v>903</v>
      </c>
      <c r="R388" s="3"/>
    </row>
    <row r="389" spans="1:18">
      <c r="A389" s="14"/>
      <c r="B389" s="9"/>
      <c r="C389" s="10"/>
      <c r="D389" s="9"/>
      <c r="E389" s="9" t="str">
        <f t="shared" si="67"/>
        <v>DOLLY HWANG</v>
      </c>
      <c r="F389" s="9"/>
      <c r="G389" s="3"/>
      <c r="H389" s="8"/>
      <c r="I389" s="8"/>
      <c r="J389" s="3"/>
      <c r="K389" s="22" t="s">
        <v>453</v>
      </c>
      <c r="L389" s="3"/>
      <c r="M389" s="8"/>
      <c r="N389" s="3"/>
      <c r="O389" s="3"/>
      <c r="P389" s="3"/>
      <c r="Q389" s="20" t="s">
        <v>453</v>
      </c>
      <c r="R389" s="3"/>
    </row>
    <row r="390" spans="1:18">
      <c r="A390" s="14"/>
      <c r="B390" s="9"/>
      <c r="C390" s="10"/>
      <c r="D390" s="9"/>
      <c r="E390" s="9" t="str">
        <f t="shared" si="67"/>
        <v>HAEHOON LEE</v>
      </c>
      <c r="F390" s="9"/>
      <c r="G390" s="3"/>
      <c r="H390" s="8"/>
      <c r="I390" s="8"/>
      <c r="J390" s="3"/>
      <c r="K390" s="24" t="s">
        <v>454</v>
      </c>
      <c r="L390" s="3"/>
      <c r="M390" s="8"/>
      <c r="N390" s="3"/>
      <c r="O390" s="3"/>
      <c r="P390" s="3"/>
      <c r="Q390" s="3" t="s">
        <v>904</v>
      </c>
      <c r="R390" s="3"/>
    </row>
    <row r="391" spans="1:18">
      <c r="A391" s="14"/>
      <c r="B391" s="9"/>
      <c r="C391" s="10"/>
      <c r="D391" s="9"/>
      <c r="E391" s="9" t="str">
        <f t="shared" si="67"/>
        <v>SOYOUNG KWON</v>
      </c>
      <c r="F391" s="9"/>
      <c r="G391" s="3"/>
      <c r="H391" s="8"/>
      <c r="I391" s="8"/>
      <c r="J391" s="3"/>
      <c r="K391" s="22" t="s">
        <v>455</v>
      </c>
      <c r="L391" s="3"/>
      <c r="M391" s="8"/>
      <c r="N391" s="8"/>
      <c r="O391" s="8"/>
      <c r="P391" s="3"/>
      <c r="Q391" s="3" t="s">
        <v>905</v>
      </c>
      <c r="R391" s="3"/>
    </row>
    <row r="392" spans="1:18">
      <c r="A392" s="14"/>
      <c r="B392" s="9"/>
      <c r="C392" s="10"/>
      <c r="D392" s="9"/>
      <c r="E392" s="9" t="str">
        <f t="shared" si="67"/>
        <v>BUMPIZ</v>
      </c>
      <c r="F392" s="9"/>
      <c r="G392" s="3"/>
      <c r="H392" s="8"/>
      <c r="I392" s="8"/>
      <c r="J392" s="3"/>
      <c r="K392" s="22" t="s">
        <v>456</v>
      </c>
      <c r="L392" s="3"/>
      <c r="M392" s="8"/>
      <c r="N392" s="8"/>
      <c r="O392" s="21"/>
      <c r="P392" s="3"/>
      <c r="Q392" s="3" t="s">
        <v>456</v>
      </c>
      <c r="R392" s="3"/>
    </row>
    <row r="393" spans="1:18">
      <c r="A393" s="14"/>
      <c r="B393" s="9"/>
      <c r="C393" s="10"/>
      <c r="D393" s="9"/>
      <c r="E393" s="9" t="str">
        <f t="shared" si="67"/>
        <v>YEONGHUN YUN</v>
      </c>
      <c r="F393" s="9"/>
      <c r="G393" s="3"/>
      <c r="H393" s="8"/>
      <c r="I393" s="8"/>
      <c r="J393" s="3"/>
      <c r="K393" s="22" t="s">
        <v>457</v>
      </c>
      <c r="L393" s="3"/>
      <c r="M393" s="8"/>
      <c r="N393" s="8"/>
      <c r="O393" s="21"/>
      <c r="P393" s="3"/>
      <c r="Q393" s="3" t="s">
        <v>906</v>
      </c>
      <c r="R393" s="3"/>
    </row>
    <row r="394" spans="1:18">
      <c r="A394" s="14"/>
      <c r="B394" s="9"/>
      <c r="C394" s="10"/>
      <c r="D394" s="9"/>
      <c r="E394" s="9" t="str">
        <f t="shared" si="67"/>
        <v>JIAE YU</v>
      </c>
      <c r="F394" s="9"/>
      <c r="G394" s="3"/>
      <c r="H394" s="8"/>
      <c r="I394" s="8"/>
      <c r="J394" s="3"/>
      <c r="K394" s="22" t="s">
        <v>458</v>
      </c>
      <c r="L394" s="3"/>
      <c r="M394" s="8"/>
      <c r="N394" s="8"/>
      <c r="O394" s="21"/>
      <c r="P394" s="3"/>
      <c r="Q394" s="3" t="s">
        <v>907</v>
      </c>
      <c r="R394" s="3"/>
    </row>
    <row r="395" spans="1:18">
      <c r="A395" s="14"/>
      <c r="B395" s="9"/>
      <c r="C395" s="9"/>
      <c r="D395" s="9"/>
      <c r="E395" s="9" t="str">
        <f t="shared" si="67"/>
        <v/>
      </c>
      <c r="F395" s="9"/>
      <c r="G395" s="3"/>
      <c r="H395" s="8"/>
      <c r="I395" s="8"/>
      <c r="J395" s="3"/>
      <c r="K395" s="22"/>
      <c r="L395" s="3"/>
      <c r="M395" s="8"/>
      <c r="N395" s="8"/>
      <c r="O395" s="21"/>
      <c r="P395" s="3"/>
      <c r="Q395" s="3"/>
      <c r="R395" s="3"/>
    </row>
    <row r="396" spans="1:18">
      <c r="A396" s="14"/>
      <c r="B396" s="11"/>
      <c r="C396" s="11"/>
      <c r="D396" s="11"/>
      <c r="E396" s="11"/>
      <c r="F396" s="11"/>
      <c r="G396" s="3"/>
      <c r="H396" s="8"/>
      <c r="I396" s="8"/>
      <c r="J396" s="3"/>
      <c r="K396" s="3"/>
      <c r="L396" s="3"/>
      <c r="M396" s="8"/>
      <c r="N396" s="8"/>
      <c r="O396" s="21"/>
      <c r="P396" s="3"/>
      <c r="Q396" s="3"/>
      <c r="R396" s="3"/>
    </row>
    <row r="397" spans="1:18">
      <c r="A397" s="14"/>
      <c r="B397" s="6"/>
      <c r="C397" s="6"/>
      <c r="D397" s="6"/>
      <c r="E397" s="6"/>
      <c r="F397" s="6"/>
      <c r="G397" s="3"/>
      <c r="H397" s="74"/>
      <c r="I397" s="5"/>
      <c r="J397" s="5"/>
      <c r="K397" s="5"/>
      <c r="L397" s="74"/>
      <c r="M397" s="8"/>
      <c r="N397" s="8"/>
      <c r="O397" s="21"/>
      <c r="P397" s="3"/>
      <c r="Q397" s="3"/>
      <c r="R397" s="3"/>
    </row>
    <row r="398" spans="1:18">
      <c r="A398" s="14"/>
      <c r="B398" s="150" t="str">
        <f t="shared" ref="B398:B399" si="68">UPPER(H398)</f>
        <v>POST PRODUCTION / ORIGINAL SCORES &amp; SONGS</v>
      </c>
      <c r="C398" s="141"/>
      <c r="D398" s="141"/>
      <c r="E398" s="141"/>
      <c r="F398" s="141"/>
      <c r="G398" s="28"/>
      <c r="H398" s="167" t="s">
        <v>435</v>
      </c>
      <c r="I398" s="141"/>
      <c r="J398" s="141"/>
      <c r="K398" s="141"/>
      <c r="L398" s="141"/>
      <c r="M398" s="29"/>
      <c r="N398" s="149" t="s">
        <v>888</v>
      </c>
      <c r="O398" s="141"/>
      <c r="P398" s="141"/>
      <c r="Q398" s="141"/>
      <c r="R398" s="141"/>
    </row>
    <row r="399" spans="1:18">
      <c r="A399" s="14"/>
      <c r="B399" s="146" t="str">
        <f t="shared" si="68"/>
        <v>RECORDING SESSION</v>
      </c>
      <c r="C399" s="141"/>
      <c r="D399" s="141"/>
      <c r="E399" s="141"/>
      <c r="F399" s="141"/>
      <c r="G399" s="3"/>
      <c r="H399" s="151" t="s">
        <v>459</v>
      </c>
      <c r="I399" s="141"/>
      <c r="J399" s="141"/>
      <c r="K399" s="141"/>
      <c r="L399" s="141"/>
      <c r="M399" s="8"/>
      <c r="N399" s="151" t="s">
        <v>908</v>
      </c>
      <c r="O399" s="141"/>
      <c r="P399" s="141"/>
      <c r="Q399" s="141"/>
      <c r="R399" s="141"/>
    </row>
    <row r="400" spans="1:18">
      <c r="A400" s="14"/>
      <c r="B400" s="9"/>
      <c r="C400" s="10" t="str">
        <f t="shared" ref="C400:C416" si="69">UPPER(I400)</f>
        <v/>
      </c>
      <c r="D400" s="9"/>
      <c r="E400" s="9" t="str">
        <f t="shared" ref="E400:E416" si="70">UPPER(K400)</f>
        <v/>
      </c>
      <c r="F400" s="9"/>
      <c r="G400" s="3"/>
      <c r="H400" s="3"/>
      <c r="I400" s="30"/>
      <c r="J400" s="14"/>
      <c r="K400" s="22"/>
      <c r="L400" s="3"/>
      <c r="M400" s="8"/>
      <c r="N400" s="3"/>
      <c r="O400" s="8"/>
      <c r="P400" s="3"/>
      <c r="Q400" s="3"/>
      <c r="R400" s="3"/>
    </row>
    <row r="401" spans="1:18">
      <c r="A401" s="14"/>
      <c r="B401" s="9"/>
      <c r="C401" s="10" t="str">
        <f t="shared" si="69"/>
        <v>GUITAR</v>
      </c>
      <c r="D401" s="9"/>
      <c r="E401" s="9" t="str">
        <f t="shared" si="70"/>
        <v>DOLLY HWANG</v>
      </c>
      <c r="F401" s="9"/>
      <c r="G401" s="3"/>
      <c r="H401" s="3"/>
      <c r="I401" s="30" t="s">
        <v>460</v>
      </c>
      <c r="J401" s="14"/>
      <c r="K401" s="22" t="s">
        <v>453</v>
      </c>
      <c r="L401" s="3"/>
      <c r="M401" s="8"/>
      <c r="N401" s="3"/>
      <c r="O401" s="8" t="s">
        <v>909</v>
      </c>
      <c r="P401" s="3"/>
      <c r="Q401" s="20" t="s">
        <v>453</v>
      </c>
      <c r="R401" s="3"/>
    </row>
    <row r="402" spans="1:18">
      <c r="A402" s="14"/>
      <c r="B402" s="9"/>
      <c r="C402" s="10" t="str">
        <f t="shared" si="69"/>
        <v/>
      </c>
      <c r="D402" s="9"/>
      <c r="E402" s="9" t="str">
        <f t="shared" si="70"/>
        <v>BUMPIZ</v>
      </c>
      <c r="F402" s="9"/>
      <c r="G402" s="3"/>
      <c r="H402" s="3"/>
      <c r="I402" s="30"/>
      <c r="J402" s="14"/>
      <c r="K402" s="22" t="s">
        <v>456</v>
      </c>
      <c r="L402" s="3"/>
      <c r="M402" s="8"/>
      <c r="N402" s="3"/>
      <c r="O402" s="8"/>
      <c r="P402" s="3"/>
      <c r="Q402" s="3" t="s">
        <v>456</v>
      </c>
      <c r="R402" s="3"/>
    </row>
    <row r="403" spans="1:18">
      <c r="A403" s="14"/>
      <c r="B403" s="9"/>
      <c r="C403" s="10" t="str">
        <f t="shared" si="69"/>
        <v/>
      </c>
      <c r="D403" s="9"/>
      <c r="E403" s="9" t="str">
        <f t="shared" si="70"/>
        <v/>
      </c>
      <c r="F403" s="9"/>
      <c r="G403" s="3"/>
      <c r="H403" s="3"/>
      <c r="I403" s="30"/>
      <c r="J403" s="14"/>
      <c r="K403" s="22"/>
      <c r="L403" s="3"/>
      <c r="M403" s="8"/>
      <c r="N403" s="3"/>
      <c r="O403" s="8"/>
      <c r="P403" s="3"/>
      <c r="Q403" s="3"/>
      <c r="R403" s="3"/>
    </row>
    <row r="404" spans="1:18">
      <c r="A404" s="14"/>
      <c r="B404" s="9"/>
      <c r="C404" s="10" t="str">
        <f t="shared" si="69"/>
        <v>BASS</v>
      </c>
      <c r="D404" s="9"/>
      <c r="E404" s="9" t="str">
        <f t="shared" si="70"/>
        <v>DOLLY HWANG</v>
      </c>
      <c r="F404" s="9"/>
      <c r="G404" s="3"/>
      <c r="H404" s="3"/>
      <c r="I404" s="30" t="s">
        <v>461</v>
      </c>
      <c r="J404" s="14"/>
      <c r="K404" s="22" t="s">
        <v>453</v>
      </c>
      <c r="L404" s="3"/>
      <c r="M404" s="8"/>
      <c r="N404" s="3"/>
      <c r="O404" s="8" t="s">
        <v>910</v>
      </c>
      <c r="P404" s="3"/>
      <c r="Q404" s="20" t="s">
        <v>453</v>
      </c>
      <c r="R404" s="3"/>
    </row>
    <row r="405" spans="1:18">
      <c r="A405" s="14"/>
      <c r="B405" s="9"/>
      <c r="C405" s="10" t="str">
        <f t="shared" si="69"/>
        <v/>
      </c>
      <c r="D405" s="9"/>
      <c r="E405" s="9" t="str">
        <f t="shared" si="70"/>
        <v>BUMPIZ</v>
      </c>
      <c r="F405" s="9"/>
      <c r="G405" s="3"/>
      <c r="H405" s="3"/>
      <c r="I405" s="24"/>
      <c r="J405" s="14"/>
      <c r="K405" s="22" t="s">
        <v>456</v>
      </c>
      <c r="L405" s="3"/>
      <c r="M405" s="8"/>
      <c r="N405" s="3"/>
      <c r="O405" s="3"/>
      <c r="P405" s="3"/>
      <c r="Q405" s="3" t="s">
        <v>456</v>
      </c>
      <c r="R405" s="3"/>
    </row>
    <row r="406" spans="1:18">
      <c r="A406" s="14"/>
      <c r="B406" s="9"/>
      <c r="C406" s="10" t="str">
        <f t="shared" si="69"/>
        <v/>
      </c>
      <c r="D406" s="9"/>
      <c r="E406" s="9" t="str">
        <f t="shared" si="70"/>
        <v/>
      </c>
      <c r="F406" s="9"/>
      <c r="G406" s="3"/>
      <c r="H406" s="3"/>
      <c r="I406" s="30"/>
      <c r="J406" s="14"/>
      <c r="K406" s="22"/>
      <c r="L406" s="3"/>
      <c r="M406" s="8"/>
      <c r="N406" s="3"/>
      <c r="O406" s="3"/>
      <c r="P406" s="3"/>
      <c r="Q406" s="3"/>
      <c r="R406" s="3"/>
    </row>
    <row r="407" spans="1:18">
      <c r="A407" s="14"/>
      <c r="B407" s="9"/>
      <c r="C407" s="10" t="str">
        <f t="shared" si="69"/>
        <v>KEYBOARD</v>
      </c>
      <c r="D407" s="9"/>
      <c r="E407" s="9" t="str">
        <f t="shared" si="70"/>
        <v>YOONHO KIM</v>
      </c>
      <c r="F407" s="9"/>
      <c r="G407" s="3"/>
      <c r="H407" s="3"/>
      <c r="I407" s="30" t="s">
        <v>462</v>
      </c>
      <c r="J407" s="14"/>
      <c r="K407" s="22" t="s">
        <v>448</v>
      </c>
      <c r="L407" s="3"/>
      <c r="M407" s="8"/>
      <c r="N407" s="3"/>
      <c r="O407" s="8" t="s">
        <v>911</v>
      </c>
      <c r="P407" s="3"/>
      <c r="Q407" s="3" t="s">
        <v>899</v>
      </c>
      <c r="R407" s="3"/>
    </row>
    <row r="408" spans="1:18">
      <c r="A408" s="14"/>
      <c r="B408" s="9"/>
      <c r="C408" s="10" t="str">
        <f t="shared" si="69"/>
        <v/>
      </c>
      <c r="D408" s="9"/>
      <c r="E408" s="9" t="str">
        <f t="shared" si="70"/>
        <v>SIEUN KIM</v>
      </c>
      <c r="F408" s="9"/>
      <c r="G408" s="3"/>
      <c r="H408" s="3"/>
      <c r="I408" s="44"/>
      <c r="J408" s="14"/>
      <c r="K408" s="22" t="s">
        <v>463</v>
      </c>
      <c r="L408" s="3"/>
      <c r="M408" s="8"/>
      <c r="N408" s="3"/>
      <c r="O408" s="3"/>
      <c r="P408" s="3"/>
      <c r="Q408" s="3" t="s">
        <v>901</v>
      </c>
      <c r="R408" s="3"/>
    </row>
    <row r="409" spans="1:18">
      <c r="A409" s="14"/>
      <c r="B409" s="9"/>
      <c r="C409" s="10" t="str">
        <f t="shared" si="69"/>
        <v/>
      </c>
      <c r="D409" s="9"/>
      <c r="E409" s="9" t="str">
        <f t="shared" si="70"/>
        <v>DOLLY HWANG</v>
      </c>
      <c r="F409" s="9"/>
      <c r="G409" s="3"/>
      <c r="H409" s="3"/>
      <c r="I409" s="44"/>
      <c r="J409" s="14"/>
      <c r="K409" s="22" t="s">
        <v>453</v>
      </c>
      <c r="L409" s="3"/>
      <c r="M409" s="8"/>
      <c r="N409" s="3"/>
      <c r="O409" s="3"/>
      <c r="P409" s="3"/>
      <c r="Q409" s="20" t="s">
        <v>453</v>
      </c>
      <c r="R409" s="3"/>
    </row>
    <row r="410" spans="1:18">
      <c r="A410" s="14"/>
      <c r="B410" s="9"/>
      <c r="C410" s="10" t="str">
        <f t="shared" si="69"/>
        <v/>
      </c>
      <c r="D410" s="9"/>
      <c r="E410" s="9" t="str">
        <f t="shared" si="70"/>
        <v>HAEHOON LEE</v>
      </c>
      <c r="F410" s="9"/>
      <c r="G410" s="3"/>
      <c r="H410" s="3"/>
      <c r="I410" s="44"/>
      <c r="J410" s="14"/>
      <c r="K410" s="22" t="s">
        <v>454</v>
      </c>
      <c r="L410" s="3"/>
      <c r="M410" s="8"/>
      <c r="N410" s="3"/>
      <c r="O410" s="3"/>
      <c r="P410" s="3"/>
      <c r="Q410" s="3" t="s">
        <v>904</v>
      </c>
      <c r="R410" s="3"/>
    </row>
    <row r="411" spans="1:18">
      <c r="A411" s="14"/>
      <c r="B411" s="9"/>
      <c r="C411" s="10" t="str">
        <f t="shared" si="69"/>
        <v/>
      </c>
      <c r="D411" s="9"/>
      <c r="E411" s="9" t="str">
        <f t="shared" si="70"/>
        <v>NAYEON LEE</v>
      </c>
      <c r="F411" s="9"/>
      <c r="G411" s="3"/>
      <c r="H411" s="3"/>
      <c r="I411" s="44"/>
      <c r="J411" s="14"/>
      <c r="K411" s="22" t="s">
        <v>452</v>
      </c>
      <c r="L411" s="3"/>
      <c r="M411" s="8"/>
      <c r="N411" s="3"/>
      <c r="O411" s="3"/>
      <c r="P411" s="3"/>
      <c r="Q411" s="3" t="s">
        <v>903</v>
      </c>
      <c r="R411" s="3"/>
    </row>
    <row r="412" spans="1:18">
      <c r="A412" s="14"/>
      <c r="B412" s="9"/>
      <c r="C412" s="10" t="str">
        <f t="shared" si="69"/>
        <v/>
      </c>
      <c r="D412" s="9"/>
      <c r="E412" s="9" t="str">
        <f t="shared" si="70"/>
        <v>BUMPIZ</v>
      </c>
      <c r="F412" s="9"/>
      <c r="G412" s="3"/>
      <c r="H412" s="3"/>
      <c r="I412" s="44"/>
      <c r="J412" s="14"/>
      <c r="K412" s="22" t="s">
        <v>456</v>
      </c>
      <c r="L412" s="3"/>
      <c r="M412" s="8"/>
      <c r="N412" s="3"/>
      <c r="O412" s="3"/>
      <c r="P412" s="3"/>
      <c r="Q412" s="3" t="s">
        <v>456</v>
      </c>
      <c r="R412" s="3"/>
    </row>
    <row r="413" spans="1:18">
      <c r="A413" s="14"/>
      <c r="B413" s="9"/>
      <c r="C413" s="10" t="str">
        <f t="shared" si="69"/>
        <v/>
      </c>
      <c r="D413" s="9"/>
      <c r="E413" s="9" t="str">
        <f t="shared" si="70"/>
        <v>YEONGHUN YUN</v>
      </c>
      <c r="F413" s="9"/>
      <c r="G413" s="3"/>
      <c r="H413" s="3"/>
      <c r="I413" s="44"/>
      <c r="J413" s="14"/>
      <c r="K413" s="22" t="s">
        <v>457</v>
      </c>
      <c r="L413" s="3"/>
      <c r="M413" s="8"/>
      <c r="N413" s="3"/>
      <c r="O413" s="3"/>
      <c r="P413" s="3"/>
      <c r="Q413" s="3" t="s">
        <v>906</v>
      </c>
      <c r="R413" s="3"/>
    </row>
    <row r="414" spans="1:18">
      <c r="A414" s="14"/>
      <c r="B414" s="9"/>
      <c r="C414" s="10" t="str">
        <f t="shared" si="69"/>
        <v/>
      </c>
      <c r="D414" s="9"/>
      <c r="E414" s="9" t="str">
        <f t="shared" si="70"/>
        <v>JIAE YU</v>
      </c>
      <c r="F414" s="9"/>
      <c r="G414" s="3"/>
      <c r="H414" s="3"/>
      <c r="I414" s="44"/>
      <c r="J414" s="14"/>
      <c r="K414" s="22" t="s">
        <v>458</v>
      </c>
      <c r="L414" s="3"/>
      <c r="M414" s="8"/>
      <c r="N414" s="3"/>
      <c r="O414" s="3"/>
      <c r="P414" s="3"/>
      <c r="Q414" s="3" t="s">
        <v>907</v>
      </c>
      <c r="R414" s="3"/>
    </row>
    <row r="415" spans="1:18">
      <c r="A415" s="14"/>
      <c r="B415" s="9"/>
      <c r="C415" s="9" t="str">
        <f t="shared" si="69"/>
        <v/>
      </c>
      <c r="D415" s="9"/>
      <c r="E415" s="9" t="str">
        <f t="shared" si="70"/>
        <v/>
      </c>
      <c r="F415" s="9"/>
      <c r="G415" s="3"/>
      <c r="H415" s="3"/>
      <c r="I415" s="44"/>
      <c r="J415" s="14"/>
      <c r="K415" s="14"/>
      <c r="L415" s="3"/>
      <c r="M415" s="8"/>
      <c r="N415" s="8"/>
      <c r="O415" s="21"/>
      <c r="P415" s="3"/>
      <c r="Q415" s="3"/>
      <c r="R415" s="3"/>
    </row>
    <row r="416" spans="1:18">
      <c r="A416" s="14"/>
      <c r="B416" s="11"/>
      <c r="C416" s="11" t="str">
        <f t="shared" si="69"/>
        <v/>
      </c>
      <c r="D416" s="11"/>
      <c r="E416" s="11" t="str">
        <f t="shared" si="70"/>
        <v/>
      </c>
      <c r="F416" s="11"/>
      <c r="G416" s="3"/>
      <c r="H416" s="3"/>
      <c r="I416" s="8"/>
      <c r="J416" s="3"/>
      <c r="K416" s="3"/>
      <c r="L416" s="3"/>
      <c r="M416" s="8"/>
      <c r="N416" s="8"/>
      <c r="O416" s="21"/>
      <c r="P416" s="3"/>
      <c r="Q416" s="3"/>
      <c r="R416" s="3"/>
    </row>
    <row r="417" spans="1:18">
      <c r="A417" s="14"/>
      <c r="B417" s="6"/>
      <c r="C417" s="6"/>
      <c r="D417" s="6"/>
      <c r="E417" s="6"/>
      <c r="F417" s="6"/>
      <c r="G417" s="3"/>
      <c r="H417" s="74"/>
      <c r="I417" s="5"/>
      <c r="J417" s="5"/>
      <c r="K417" s="5"/>
      <c r="L417" s="74"/>
      <c r="M417" s="8"/>
      <c r="N417" s="8"/>
      <c r="O417" s="21"/>
      <c r="P417" s="3"/>
      <c r="Q417" s="3"/>
      <c r="R417" s="3"/>
    </row>
    <row r="418" spans="1:18">
      <c r="A418" s="14"/>
      <c r="B418" s="150" t="str">
        <f t="shared" ref="B418:B419" si="71">UPPER(H418)</f>
        <v>POST PRODUCTION / ORIGINAL SCORES &amp; SONGS</v>
      </c>
      <c r="C418" s="141"/>
      <c r="D418" s="141"/>
      <c r="E418" s="141"/>
      <c r="F418" s="141"/>
      <c r="G418" s="28"/>
      <c r="H418" s="167" t="s">
        <v>435</v>
      </c>
      <c r="I418" s="141"/>
      <c r="J418" s="141"/>
      <c r="K418" s="141"/>
      <c r="L418" s="141"/>
      <c r="M418" s="8"/>
      <c r="N418" s="149" t="s">
        <v>888</v>
      </c>
      <c r="O418" s="141"/>
      <c r="P418" s="141"/>
      <c r="Q418" s="141"/>
      <c r="R418" s="141"/>
    </row>
    <row r="419" spans="1:18">
      <c r="A419" s="14"/>
      <c r="B419" s="146" t="str">
        <f t="shared" si="71"/>
        <v>RECORDING SESSION</v>
      </c>
      <c r="C419" s="141"/>
      <c r="D419" s="141"/>
      <c r="E419" s="141"/>
      <c r="F419" s="141"/>
      <c r="G419" s="3"/>
      <c r="H419" s="151" t="s">
        <v>459</v>
      </c>
      <c r="I419" s="141"/>
      <c r="J419" s="141"/>
      <c r="K419" s="141"/>
      <c r="L419" s="141"/>
      <c r="M419" s="8"/>
      <c r="N419" s="151" t="s">
        <v>912</v>
      </c>
      <c r="O419" s="141"/>
      <c r="P419" s="141"/>
      <c r="Q419" s="141"/>
      <c r="R419" s="141"/>
    </row>
    <row r="420" spans="1:18">
      <c r="A420" s="14"/>
      <c r="B420" s="9"/>
      <c r="C420" s="10" t="str">
        <f t="shared" ref="C420:C434" si="72">UPPER(I420)</f>
        <v/>
      </c>
      <c r="D420" s="9"/>
      <c r="E420" s="9" t="str">
        <f t="shared" ref="E420:E434" si="73">UPPER(K420)</f>
        <v/>
      </c>
      <c r="F420" s="9"/>
      <c r="G420" s="3"/>
      <c r="H420" s="3"/>
      <c r="I420" s="30"/>
      <c r="J420" s="14"/>
      <c r="K420" s="22"/>
      <c r="L420" s="3"/>
      <c r="M420" s="8"/>
      <c r="N420" s="8"/>
      <c r="O420" s="21"/>
      <c r="P420" s="3"/>
      <c r="Q420" s="3"/>
      <c r="R420" s="3"/>
    </row>
    <row r="421" spans="1:18">
      <c r="A421" s="14"/>
      <c r="B421" s="9"/>
      <c r="C421" s="10" t="str">
        <f t="shared" si="72"/>
        <v>MUSIC PROGRAMING</v>
      </c>
      <c r="D421" s="9"/>
      <c r="E421" s="9" t="str">
        <f t="shared" si="73"/>
        <v>YOONHO KIM</v>
      </c>
      <c r="F421" s="9"/>
      <c r="G421" s="3"/>
      <c r="H421" s="3"/>
      <c r="I421" s="30" t="s">
        <v>464</v>
      </c>
      <c r="J421" s="14"/>
      <c r="K421" s="22" t="s">
        <v>448</v>
      </c>
      <c r="L421" s="3"/>
      <c r="M421" s="8"/>
      <c r="N421" s="8"/>
      <c r="O421" s="36" t="s">
        <v>913</v>
      </c>
      <c r="P421" s="2"/>
      <c r="Q421" s="2" t="s">
        <v>899</v>
      </c>
      <c r="R421" s="3"/>
    </row>
    <row r="422" spans="1:18">
      <c r="A422" s="14"/>
      <c r="B422" s="9"/>
      <c r="C422" s="10" t="str">
        <f t="shared" si="72"/>
        <v/>
      </c>
      <c r="D422" s="9"/>
      <c r="E422" s="9" t="str">
        <f t="shared" si="73"/>
        <v>SIEUN KIM</v>
      </c>
      <c r="F422" s="9"/>
      <c r="G422" s="3"/>
      <c r="H422" s="3"/>
      <c r="I422" s="44"/>
      <c r="J422" s="14"/>
      <c r="K422" s="22" t="s">
        <v>463</v>
      </c>
      <c r="L422" s="3"/>
      <c r="M422" s="8"/>
      <c r="N422" s="8"/>
      <c r="O422" s="2"/>
      <c r="P422" s="2"/>
      <c r="Q422" s="3" t="s">
        <v>901</v>
      </c>
      <c r="R422" s="3"/>
    </row>
    <row r="423" spans="1:18">
      <c r="A423" s="14"/>
      <c r="B423" s="9"/>
      <c r="C423" s="10" t="str">
        <f t="shared" si="72"/>
        <v/>
      </c>
      <c r="D423" s="9"/>
      <c r="E423" s="9" t="str">
        <f t="shared" si="73"/>
        <v>HAEHOON LEE</v>
      </c>
      <c r="F423" s="9"/>
      <c r="G423" s="3"/>
      <c r="H423" s="3"/>
      <c r="I423" s="44"/>
      <c r="J423" s="14"/>
      <c r="K423" s="22" t="s">
        <v>454</v>
      </c>
      <c r="L423" s="3"/>
      <c r="M423" s="8"/>
      <c r="N423" s="8"/>
      <c r="O423" s="2"/>
      <c r="P423" s="2"/>
      <c r="Q423" s="3" t="s">
        <v>904</v>
      </c>
      <c r="R423" s="3"/>
    </row>
    <row r="424" spans="1:18">
      <c r="A424" s="14"/>
      <c r="B424" s="9"/>
      <c r="C424" s="10" t="str">
        <f t="shared" si="72"/>
        <v/>
      </c>
      <c r="D424" s="9"/>
      <c r="E424" s="9" t="str">
        <f t="shared" si="73"/>
        <v>DOLLY HWANG</v>
      </c>
      <c r="F424" s="9"/>
      <c r="G424" s="3"/>
      <c r="H424" s="3"/>
      <c r="I424" s="44"/>
      <c r="J424" s="14"/>
      <c r="K424" s="22" t="s">
        <v>453</v>
      </c>
      <c r="L424" s="3"/>
      <c r="M424" s="8"/>
      <c r="N424" s="8"/>
      <c r="O424" s="2"/>
      <c r="P424" s="2"/>
      <c r="Q424" s="20" t="s">
        <v>453</v>
      </c>
      <c r="R424" s="3"/>
    </row>
    <row r="425" spans="1:18">
      <c r="A425" s="14"/>
      <c r="B425" s="9"/>
      <c r="C425" s="10" t="str">
        <f t="shared" si="72"/>
        <v/>
      </c>
      <c r="D425" s="9"/>
      <c r="E425" s="9" t="str">
        <f t="shared" si="73"/>
        <v>NAYEON LEE</v>
      </c>
      <c r="F425" s="9"/>
      <c r="G425" s="3"/>
      <c r="H425" s="3"/>
      <c r="I425" s="44"/>
      <c r="J425" s="14"/>
      <c r="K425" s="22" t="s">
        <v>452</v>
      </c>
      <c r="L425" s="3"/>
      <c r="M425" s="8"/>
      <c r="N425" s="8"/>
      <c r="O425" s="2"/>
      <c r="P425" s="2"/>
      <c r="Q425" s="3" t="s">
        <v>903</v>
      </c>
      <c r="R425" s="3"/>
    </row>
    <row r="426" spans="1:18">
      <c r="A426" s="14"/>
      <c r="B426" s="9"/>
      <c r="C426" s="10" t="str">
        <f t="shared" si="72"/>
        <v/>
      </c>
      <c r="D426" s="9"/>
      <c r="E426" s="9" t="str">
        <f t="shared" si="73"/>
        <v>BUMPIZ</v>
      </c>
      <c r="F426" s="9"/>
      <c r="G426" s="3"/>
      <c r="H426" s="3"/>
      <c r="I426" s="44"/>
      <c r="J426" s="14"/>
      <c r="K426" s="22" t="s">
        <v>456</v>
      </c>
      <c r="L426" s="3"/>
      <c r="M426" s="8"/>
      <c r="N426" s="8"/>
      <c r="O426" s="2"/>
      <c r="P426" s="2"/>
      <c r="Q426" s="3" t="s">
        <v>456</v>
      </c>
      <c r="R426" s="3"/>
    </row>
    <row r="427" spans="1:18">
      <c r="A427" s="14"/>
      <c r="B427" s="9"/>
      <c r="C427" s="10" t="str">
        <f t="shared" si="72"/>
        <v/>
      </c>
      <c r="D427" s="9"/>
      <c r="E427" s="9" t="str">
        <f t="shared" si="73"/>
        <v>SOYOUNG KWON</v>
      </c>
      <c r="F427" s="9"/>
      <c r="G427" s="3"/>
      <c r="H427" s="3"/>
      <c r="I427" s="44"/>
      <c r="J427" s="14"/>
      <c r="K427" s="22" t="s">
        <v>455</v>
      </c>
      <c r="L427" s="3"/>
      <c r="M427" s="8"/>
      <c r="N427" s="8"/>
      <c r="O427" s="36"/>
      <c r="P427" s="2"/>
      <c r="Q427" s="2" t="s">
        <v>905</v>
      </c>
      <c r="R427" s="3"/>
    </row>
    <row r="428" spans="1:18">
      <c r="A428" s="14"/>
      <c r="B428" s="9"/>
      <c r="C428" s="10" t="str">
        <f t="shared" si="72"/>
        <v/>
      </c>
      <c r="D428" s="9"/>
      <c r="E428" s="9" t="str">
        <f t="shared" si="73"/>
        <v/>
      </c>
      <c r="F428" s="9"/>
      <c r="G428" s="3"/>
      <c r="H428" s="3"/>
      <c r="I428" s="44"/>
      <c r="J428" s="14"/>
      <c r="K428" s="22"/>
      <c r="L428" s="3"/>
      <c r="M428" s="8"/>
      <c r="N428" s="8"/>
      <c r="O428" s="36"/>
      <c r="P428" s="2"/>
      <c r="Q428" s="2"/>
      <c r="R428" s="3"/>
    </row>
    <row r="429" spans="1:18">
      <c r="A429" s="14"/>
      <c r="B429" s="9"/>
      <c r="C429" s="10" t="str">
        <f t="shared" si="72"/>
        <v>RECORDING STUDIO</v>
      </c>
      <c r="D429" s="9"/>
      <c r="E429" s="9" t="str">
        <f t="shared" si="73"/>
        <v>DOONG SOUND</v>
      </c>
      <c r="F429" s="9"/>
      <c r="G429" s="3"/>
      <c r="H429" s="3"/>
      <c r="I429" s="30" t="s">
        <v>465</v>
      </c>
      <c r="J429" s="14"/>
      <c r="K429" s="22" t="s">
        <v>437</v>
      </c>
      <c r="L429" s="3"/>
      <c r="M429" s="8"/>
      <c r="N429" s="8"/>
      <c r="O429" s="36" t="s">
        <v>882</v>
      </c>
      <c r="P429" s="2"/>
      <c r="Q429" s="2" t="s">
        <v>883</v>
      </c>
      <c r="R429" s="3"/>
    </row>
    <row r="430" spans="1:18">
      <c r="A430" s="14"/>
      <c r="B430" s="9"/>
      <c r="C430" s="10" t="str">
        <f t="shared" si="72"/>
        <v/>
      </c>
      <c r="D430" s="9"/>
      <c r="E430" s="9" t="str">
        <f t="shared" si="73"/>
        <v/>
      </c>
      <c r="F430" s="9"/>
      <c r="G430" s="3"/>
      <c r="H430" s="3"/>
      <c r="I430" s="30"/>
      <c r="J430" s="14"/>
      <c r="K430" s="22"/>
      <c r="L430" s="3"/>
      <c r="M430" s="8"/>
      <c r="N430" s="8"/>
      <c r="O430" s="36"/>
      <c r="P430" s="2"/>
      <c r="Q430" s="2"/>
      <c r="R430" s="3"/>
    </row>
    <row r="431" spans="1:18">
      <c r="A431" s="14"/>
      <c r="B431" s="9"/>
      <c r="C431" s="10" t="str">
        <f t="shared" si="72"/>
        <v>RECORDING ENGINEER</v>
      </c>
      <c r="D431" s="9"/>
      <c r="E431" s="9" t="str">
        <f t="shared" si="73"/>
        <v>HYEJEONG HWANG</v>
      </c>
      <c r="F431" s="9"/>
      <c r="G431" s="3"/>
      <c r="H431" s="3"/>
      <c r="I431" s="30" t="s">
        <v>427</v>
      </c>
      <c r="J431" s="14"/>
      <c r="K431" s="22" t="s">
        <v>441</v>
      </c>
      <c r="L431" s="3"/>
      <c r="M431" s="8"/>
      <c r="N431" s="8"/>
      <c r="O431" s="36" t="s">
        <v>886</v>
      </c>
      <c r="P431" s="2"/>
      <c r="Q431" s="2" t="s">
        <v>885</v>
      </c>
      <c r="R431" s="3"/>
    </row>
    <row r="432" spans="1:18">
      <c r="A432" s="14"/>
      <c r="B432" s="9"/>
      <c r="C432" s="10" t="str">
        <f t="shared" si="72"/>
        <v/>
      </c>
      <c r="D432" s="9"/>
      <c r="E432" s="9" t="str">
        <f t="shared" si="73"/>
        <v>Q6</v>
      </c>
      <c r="F432" s="9"/>
      <c r="G432" s="3"/>
      <c r="H432" s="3"/>
      <c r="I432" s="44"/>
      <c r="J432" s="14"/>
      <c r="K432" s="22" t="s">
        <v>466</v>
      </c>
      <c r="L432" s="3"/>
      <c r="M432" s="8"/>
      <c r="N432" s="8"/>
      <c r="O432" s="2"/>
      <c r="P432" s="2"/>
      <c r="Q432" s="2" t="s">
        <v>466</v>
      </c>
      <c r="R432" s="3"/>
    </row>
    <row r="433" spans="1:18">
      <c r="A433" s="14"/>
      <c r="B433" s="9"/>
      <c r="C433" s="10" t="str">
        <f t="shared" si="72"/>
        <v/>
      </c>
      <c r="D433" s="9"/>
      <c r="E433" s="9" t="str">
        <f t="shared" si="73"/>
        <v>BUMPIZ</v>
      </c>
      <c r="F433" s="9"/>
      <c r="G433" s="3"/>
      <c r="H433" s="3"/>
      <c r="I433" s="44"/>
      <c r="J433" s="14"/>
      <c r="K433" s="22" t="s">
        <v>456</v>
      </c>
      <c r="L433" s="3"/>
      <c r="M433" s="8"/>
      <c r="N433" s="8"/>
      <c r="O433" s="2"/>
      <c r="P433" s="2"/>
      <c r="Q433" s="2" t="s">
        <v>456</v>
      </c>
      <c r="R433" s="3"/>
    </row>
    <row r="434" spans="1:18">
      <c r="A434" s="14"/>
      <c r="B434" s="9"/>
      <c r="C434" s="9" t="str">
        <f t="shared" si="72"/>
        <v/>
      </c>
      <c r="D434" s="9"/>
      <c r="E434" s="9" t="str">
        <f t="shared" si="73"/>
        <v/>
      </c>
      <c r="F434" s="9"/>
      <c r="G434" s="3"/>
      <c r="H434" s="3"/>
      <c r="I434" s="8"/>
      <c r="J434" s="3"/>
      <c r="K434" s="3"/>
      <c r="L434" s="3"/>
      <c r="M434" s="8"/>
      <c r="N434" s="8"/>
      <c r="O434" s="21"/>
      <c r="P434" s="3"/>
      <c r="Q434" s="3"/>
      <c r="R434" s="3"/>
    </row>
    <row r="435" spans="1:18">
      <c r="A435" s="14"/>
      <c r="B435" s="11"/>
      <c r="C435" s="11"/>
      <c r="D435" s="11"/>
      <c r="E435" s="11"/>
      <c r="F435" s="11"/>
      <c r="G435" s="3"/>
      <c r="H435" s="3"/>
      <c r="I435" s="8"/>
      <c r="J435" s="3"/>
      <c r="K435" s="3"/>
      <c r="L435" s="3"/>
      <c r="M435" s="8"/>
      <c r="N435" s="8"/>
      <c r="O435" s="21"/>
      <c r="P435" s="3"/>
      <c r="Q435" s="3"/>
      <c r="R435" s="3"/>
    </row>
    <row r="436" spans="1:18">
      <c r="A436" s="14"/>
      <c r="B436" s="6"/>
      <c r="C436" s="6"/>
      <c r="D436" s="6"/>
      <c r="E436" s="6"/>
      <c r="F436" s="6"/>
      <c r="G436" s="3"/>
      <c r="H436" s="74"/>
      <c r="I436" s="5"/>
      <c r="J436" s="5"/>
      <c r="K436" s="5"/>
      <c r="L436" s="74"/>
      <c r="M436" s="8"/>
      <c r="N436" s="8"/>
      <c r="O436" s="21"/>
      <c r="P436" s="3"/>
      <c r="Q436" s="3"/>
      <c r="R436" s="3"/>
    </row>
    <row r="437" spans="1:18">
      <c r="A437" s="14"/>
      <c r="B437" s="150" t="str">
        <f t="shared" ref="B437:B439" si="74">UPPER(H437)</f>
        <v>POST PRODUCTION / ORIGINAL SCORES &amp; SONGS</v>
      </c>
      <c r="C437" s="141"/>
      <c r="D437" s="141"/>
      <c r="E437" s="141"/>
      <c r="F437" s="141"/>
      <c r="G437" s="28"/>
      <c r="H437" s="167" t="s">
        <v>435</v>
      </c>
      <c r="I437" s="141"/>
      <c r="J437" s="141"/>
      <c r="K437" s="141"/>
      <c r="L437" s="141"/>
      <c r="M437" s="29"/>
      <c r="N437" s="161" t="s">
        <v>888</v>
      </c>
      <c r="O437" s="141"/>
      <c r="P437" s="141"/>
      <c r="Q437" s="141"/>
      <c r="R437" s="141"/>
    </row>
    <row r="438" spans="1:18">
      <c r="A438" s="14"/>
      <c r="B438" s="146" t="str">
        <f t="shared" si="74"/>
        <v>WE R THE HEROES</v>
      </c>
      <c r="C438" s="141"/>
      <c r="D438" s="141"/>
      <c r="E438" s="141"/>
      <c r="F438" s="141"/>
      <c r="G438" s="3"/>
      <c r="H438" s="151" t="s">
        <v>467</v>
      </c>
      <c r="I438" s="141"/>
      <c r="J438" s="141"/>
      <c r="K438" s="141"/>
      <c r="L438" s="141"/>
      <c r="M438" s="8"/>
      <c r="N438" s="159" t="s">
        <v>467</v>
      </c>
      <c r="O438" s="141"/>
      <c r="P438" s="141"/>
      <c r="Q438" s="141"/>
      <c r="R438" s="141"/>
    </row>
    <row r="439" spans="1:18">
      <c r="A439" s="14"/>
      <c r="B439" s="158" t="str">
        <f t="shared" si="74"/>
        <v>OPENING SONG</v>
      </c>
      <c r="C439" s="141"/>
      <c r="D439" s="141"/>
      <c r="E439" s="141"/>
      <c r="F439" s="141"/>
      <c r="G439" s="3"/>
      <c r="H439" s="170" t="s">
        <v>468</v>
      </c>
      <c r="I439" s="141"/>
      <c r="J439" s="141"/>
      <c r="K439" s="141"/>
      <c r="L439" s="141"/>
      <c r="M439" s="8"/>
      <c r="N439" s="160" t="s">
        <v>914</v>
      </c>
      <c r="O439" s="141"/>
      <c r="P439" s="141"/>
      <c r="Q439" s="141"/>
      <c r="R439" s="141"/>
    </row>
    <row r="440" spans="1:18">
      <c r="A440" s="14"/>
      <c r="B440" s="9"/>
      <c r="C440" s="10" t="str">
        <f t="shared" ref="C440:C448" si="75">UPPER(I440)</f>
        <v>COMPOSER &amp; ARRANGER</v>
      </c>
      <c r="D440" s="9"/>
      <c r="E440" s="9" t="str">
        <f t="shared" ref="E440:E448" si="76">UPPER(K440)</f>
        <v>DOLLY HWANG</v>
      </c>
      <c r="F440" s="9"/>
      <c r="G440" s="3"/>
      <c r="H440" s="8"/>
      <c r="I440" s="8" t="s">
        <v>469</v>
      </c>
      <c r="J440" s="3"/>
      <c r="K440" s="3" t="s">
        <v>453</v>
      </c>
      <c r="L440" s="3"/>
      <c r="M440" s="8"/>
      <c r="N440" s="2"/>
      <c r="O440" s="36" t="s">
        <v>915</v>
      </c>
      <c r="P440" s="2"/>
      <c r="Q440" s="2" t="s">
        <v>453</v>
      </c>
      <c r="R440" s="2"/>
    </row>
    <row r="441" spans="1:18">
      <c r="A441" s="14"/>
      <c r="B441" s="9"/>
      <c r="C441" s="10" t="str">
        <f t="shared" si="75"/>
        <v>LYRICS</v>
      </c>
      <c r="D441" s="9"/>
      <c r="E441" s="9" t="str">
        <f t="shared" si="76"/>
        <v>DOLLY HWANG</v>
      </c>
      <c r="F441" s="9"/>
      <c r="G441" s="3"/>
      <c r="H441" s="8"/>
      <c r="I441" s="8" t="s">
        <v>470</v>
      </c>
      <c r="J441" s="3"/>
      <c r="K441" s="3" t="s">
        <v>453</v>
      </c>
      <c r="L441" s="3"/>
      <c r="M441" s="8"/>
      <c r="N441" s="2"/>
      <c r="O441" s="36" t="s">
        <v>916</v>
      </c>
      <c r="P441" s="2"/>
      <c r="Q441" s="2" t="s">
        <v>453</v>
      </c>
      <c r="R441" s="2"/>
    </row>
    <row r="442" spans="1:18">
      <c r="A442" s="14"/>
      <c r="B442" s="9"/>
      <c r="C442" s="10" t="str">
        <f t="shared" si="75"/>
        <v/>
      </c>
      <c r="D442" s="9"/>
      <c r="E442" s="9" t="str">
        <f t="shared" si="76"/>
        <v/>
      </c>
      <c r="F442" s="9"/>
      <c r="G442" s="3"/>
      <c r="H442" s="171"/>
      <c r="I442" s="141"/>
      <c r="J442" s="141"/>
      <c r="K442" s="141"/>
      <c r="L442" s="141"/>
      <c r="M442" s="8"/>
      <c r="N442" s="2"/>
      <c r="O442" s="2"/>
      <c r="P442" s="2"/>
      <c r="Q442" s="2"/>
      <c r="R442" s="2"/>
    </row>
    <row r="443" spans="1:18">
      <c r="A443" s="14"/>
      <c r="B443" s="9"/>
      <c r="C443" s="10" t="str">
        <f t="shared" si="75"/>
        <v>VOCAL</v>
      </c>
      <c r="D443" s="9"/>
      <c r="E443" s="9" t="str">
        <f t="shared" si="76"/>
        <v>DOLLY HWANG</v>
      </c>
      <c r="F443" s="9"/>
      <c r="G443" s="3"/>
      <c r="H443" s="8"/>
      <c r="I443" s="8" t="s">
        <v>471</v>
      </c>
      <c r="J443" s="3"/>
      <c r="K443" s="3" t="s">
        <v>453</v>
      </c>
      <c r="L443" s="3"/>
      <c r="M443" s="8"/>
      <c r="N443" s="2"/>
      <c r="O443" s="36" t="s">
        <v>917</v>
      </c>
      <c r="P443" s="2"/>
      <c r="Q443" s="2" t="s">
        <v>453</v>
      </c>
      <c r="R443" s="2"/>
    </row>
    <row r="444" spans="1:18">
      <c r="A444" s="14"/>
      <c r="B444" s="9"/>
      <c r="C444" s="10" t="str">
        <f t="shared" si="75"/>
        <v>GUITAR</v>
      </c>
      <c r="D444" s="9"/>
      <c r="E444" s="9" t="str">
        <f t="shared" si="76"/>
        <v>DOLLY HWANG</v>
      </c>
      <c r="F444" s="9"/>
      <c r="G444" s="3"/>
      <c r="H444" s="8"/>
      <c r="I444" s="8" t="s">
        <v>460</v>
      </c>
      <c r="J444" s="3"/>
      <c r="K444" s="3" t="s">
        <v>453</v>
      </c>
      <c r="L444" s="3"/>
      <c r="M444" s="8"/>
      <c r="N444" s="2"/>
      <c r="O444" s="36" t="s">
        <v>909</v>
      </c>
      <c r="P444" s="2"/>
      <c r="Q444" s="2" t="s">
        <v>453</v>
      </c>
      <c r="R444" s="2"/>
    </row>
    <row r="445" spans="1:18">
      <c r="A445" s="14"/>
      <c r="B445" s="9"/>
      <c r="C445" s="10" t="str">
        <f t="shared" si="75"/>
        <v>BASS</v>
      </c>
      <c r="D445" s="9"/>
      <c r="E445" s="9" t="str">
        <f t="shared" si="76"/>
        <v>DOLLY HWANG</v>
      </c>
      <c r="F445" s="9"/>
      <c r="G445" s="3"/>
      <c r="H445" s="8"/>
      <c r="I445" s="8" t="s">
        <v>461</v>
      </c>
      <c r="J445" s="3"/>
      <c r="K445" s="3" t="s">
        <v>453</v>
      </c>
      <c r="L445" s="3"/>
      <c r="M445" s="8"/>
      <c r="N445" s="2"/>
      <c r="O445" s="36" t="s">
        <v>910</v>
      </c>
      <c r="P445" s="2"/>
      <c r="Q445" s="2" t="s">
        <v>453</v>
      </c>
      <c r="R445" s="2"/>
    </row>
    <row r="446" spans="1:18">
      <c r="A446" s="14"/>
      <c r="B446" s="9"/>
      <c r="C446" s="10" t="str">
        <f t="shared" si="75"/>
        <v>RECORDING STUDIO</v>
      </c>
      <c r="D446" s="9"/>
      <c r="E446" s="9" t="str">
        <f t="shared" si="76"/>
        <v>PURPLE MOON</v>
      </c>
      <c r="F446" s="9"/>
      <c r="G446" s="3"/>
      <c r="H446" s="8"/>
      <c r="I446" s="8" t="s">
        <v>465</v>
      </c>
      <c r="J446" s="3"/>
      <c r="K446" s="3" t="s">
        <v>472</v>
      </c>
      <c r="L446" s="3"/>
      <c r="M446" s="8"/>
      <c r="N446" s="2"/>
      <c r="O446" s="36" t="s">
        <v>882</v>
      </c>
      <c r="P446" s="2"/>
      <c r="Q446" s="2" t="s">
        <v>472</v>
      </c>
      <c r="R446" s="2"/>
    </row>
    <row r="447" spans="1:18">
      <c r="A447" s="14"/>
      <c r="B447" s="9"/>
      <c r="C447" s="10" t="str">
        <f t="shared" si="75"/>
        <v>RECORDING ENGINEER</v>
      </c>
      <c r="D447" s="9"/>
      <c r="E447" s="9" t="str">
        <f t="shared" si="76"/>
        <v>DOLLY HWANG</v>
      </c>
      <c r="F447" s="9"/>
      <c r="G447" s="3"/>
      <c r="H447" s="8"/>
      <c r="I447" s="8" t="s">
        <v>427</v>
      </c>
      <c r="J447" s="3"/>
      <c r="K447" s="3" t="s">
        <v>453</v>
      </c>
      <c r="L447" s="3"/>
      <c r="M447" s="8"/>
      <c r="N447" s="2"/>
      <c r="O447" s="36" t="s">
        <v>886</v>
      </c>
      <c r="P447" s="2"/>
      <c r="Q447" s="2" t="s">
        <v>453</v>
      </c>
      <c r="R447" s="2"/>
    </row>
    <row r="448" spans="1:18">
      <c r="A448" s="14"/>
      <c r="B448" s="9"/>
      <c r="C448" s="9" t="str">
        <f t="shared" si="75"/>
        <v/>
      </c>
      <c r="D448" s="9"/>
      <c r="E448" s="9" t="str">
        <f t="shared" si="76"/>
        <v/>
      </c>
      <c r="F448" s="9"/>
      <c r="G448" s="3"/>
      <c r="H448" s="8"/>
      <c r="I448" s="8"/>
      <c r="J448" s="3"/>
      <c r="K448" s="3"/>
      <c r="L448" s="3"/>
      <c r="M448" s="8"/>
      <c r="N448" s="2"/>
      <c r="O448" s="2"/>
      <c r="P448" s="2"/>
      <c r="Q448" s="2"/>
      <c r="R448" s="2"/>
    </row>
    <row r="449" spans="1:18">
      <c r="A449" s="14"/>
      <c r="B449" s="146" t="str">
        <f t="shared" ref="B449:B450" si="77">UPPER(H449)</f>
        <v>TEENAGE DREAMING</v>
      </c>
      <c r="C449" s="141"/>
      <c r="D449" s="141"/>
      <c r="E449" s="141"/>
      <c r="F449" s="141"/>
      <c r="G449" s="3"/>
      <c r="H449" s="161" t="s">
        <v>473</v>
      </c>
      <c r="I449" s="141"/>
      <c r="J449" s="141"/>
      <c r="K449" s="141"/>
      <c r="L449" s="141"/>
      <c r="M449" s="8"/>
      <c r="N449" s="161" t="s">
        <v>473</v>
      </c>
      <c r="O449" s="141"/>
      <c r="P449" s="141"/>
      <c r="Q449" s="141"/>
      <c r="R449" s="141"/>
    </row>
    <row r="450" spans="1:18">
      <c r="A450" s="14"/>
      <c r="B450" s="158" t="str">
        <f t="shared" si="77"/>
        <v>ENDING SONG</v>
      </c>
      <c r="C450" s="141"/>
      <c r="D450" s="141"/>
      <c r="E450" s="141"/>
      <c r="F450" s="141"/>
      <c r="G450" s="3"/>
      <c r="H450" s="162" t="s">
        <v>474</v>
      </c>
      <c r="I450" s="141"/>
      <c r="J450" s="141"/>
      <c r="K450" s="141"/>
      <c r="L450" s="141"/>
      <c r="M450" s="8"/>
      <c r="N450" s="162" t="s">
        <v>918</v>
      </c>
      <c r="O450" s="141"/>
      <c r="P450" s="141"/>
      <c r="Q450" s="141"/>
      <c r="R450" s="141"/>
    </row>
    <row r="451" spans="1:18">
      <c r="A451" s="14"/>
      <c r="B451" s="9"/>
      <c r="C451" s="10" t="str">
        <f t="shared" ref="C451:C459" si="78">UPPER(I451)</f>
        <v>COMPOSER &amp; ARRANGER</v>
      </c>
      <c r="D451" s="9"/>
      <c r="E451" s="9" t="str">
        <f t="shared" ref="E451:E459" si="79">UPPER(K451)</f>
        <v>DOLLY HWANG</v>
      </c>
      <c r="F451" s="9"/>
      <c r="G451" s="3"/>
      <c r="H451" s="55"/>
      <c r="I451" s="36" t="s">
        <v>469</v>
      </c>
      <c r="J451" s="55"/>
      <c r="K451" s="2" t="s">
        <v>453</v>
      </c>
      <c r="L451" s="55"/>
      <c r="M451" s="8"/>
      <c r="N451" s="2"/>
      <c r="O451" s="36" t="s">
        <v>915</v>
      </c>
      <c r="P451" s="2"/>
      <c r="Q451" s="2" t="s">
        <v>453</v>
      </c>
      <c r="R451" s="2"/>
    </row>
    <row r="452" spans="1:18">
      <c r="A452" s="14"/>
      <c r="B452" s="9"/>
      <c r="C452" s="10" t="str">
        <f t="shared" si="78"/>
        <v>LYRICS</v>
      </c>
      <c r="D452" s="9"/>
      <c r="E452" s="9" t="str">
        <f t="shared" si="79"/>
        <v>PAUL Y. KIM</v>
      </c>
      <c r="F452" s="9"/>
      <c r="G452" s="3"/>
      <c r="H452" s="55"/>
      <c r="I452" s="36" t="s">
        <v>470</v>
      </c>
      <c r="J452" s="55"/>
      <c r="K452" s="2" t="s">
        <v>475</v>
      </c>
      <c r="L452" s="55"/>
      <c r="M452" s="8"/>
      <c r="N452" s="2"/>
      <c r="O452" s="36" t="s">
        <v>916</v>
      </c>
      <c r="P452" s="2"/>
      <c r="Q452" s="2" t="s">
        <v>475</v>
      </c>
      <c r="R452" s="2"/>
    </row>
    <row r="453" spans="1:18">
      <c r="A453" s="14"/>
      <c r="B453" s="9"/>
      <c r="C453" s="10" t="str">
        <f t="shared" si="78"/>
        <v/>
      </c>
      <c r="D453" s="9"/>
      <c r="E453" s="9" t="str">
        <f t="shared" si="79"/>
        <v/>
      </c>
      <c r="F453" s="9"/>
      <c r="G453" s="3"/>
      <c r="H453" s="171"/>
      <c r="I453" s="141"/>
      <c r="J453" s="141"/>
      <c r="K453" s="141"/>
      <c r="L453" s="141"/>
      <c r="M453" s="8"/>
      <c r="N453" s="2"/>
      <c r="O453" s="2"/>
      <c r="P453" s="2"/>
      <c r="Q453" s="2"/>
      <c r="R453" s="2"/>
    </row>
    <row r="454" spans="1:18">
      <c r="A454" s="14"/>
      <c r="B454" s="9"/>
      <c r="C454" s="10" t="str">
        <f t="shared" si="78"/>
        <v>VOCAL</v>
      </c>
      <c r="D454" s="9"/>
      <c r="E454" s="9" t="str">
        <f t="shared" si="79"/>
        <v>DOLLY HWANG</v>
      </c>
      <c r="F454" s="9"/>
      <c r="G454" s="3"/>
      <c r="H454" s="55"/>
      <c r="I454" s="36" t="s">
        <v>471</v>
      </c>
      <c r="J454" s="55"/>
      <c r="K454" s="2" t="s">
        <v>453</v>
      </c>
      <c r="L454" s="55"/>
      <c r="M454" s="8"/>
      <c r="N454" s="2"/>
      <c r="O454" s="36" t="s">
        <v>917</v>
      </c>
      <c r="P454" s="2"/>
      <c r="Q454" s="2" t="s">
        <v>453</v>
      </c>
      <c r="R454" s="2"/>
    </row>
    <row r="455" spans="1:18">
      <c r="A455" s="14"/>
      <c r="B455" s="9"/>
      <c r="C455" s="10" t="str">
        <f t="shared" si="78"/>
        <v>GUITAR</v>
      </c>
      <c r="D455" s="9"/>
      <c r="E455" s="9" t="str">
        <f t="shared" si="79"/>
        <v>DOLLY HWANG</v>
      </c>
      <c r="F455" s="9"/>
      <c r="G455" s="3"/>
      <c r="H455" s="55"/>
      <c r="I455" s="36" t="s">
        <v>460</v>
      </c>
      <c r="J455" s="55"/>
      <c r="K455" s="2" t="s">
        <v>453</v>
      </c>
      <c r="L455" s="55"/>
      <c r="M455" s="8"/>
      <c r="N455" s="2"/>
      <c r="O455" s="36" t="s">
        <v>909</v>
      </c>
      <c r="P455" s="2"/>
      <c r="Q455" s="2" t="s">
        <v>453</v>
      </c>
      <c r="R455" s="2"/>
    </row>
    <row r="456" spans="1:18">
      <c r="A456" s="14"/>
      <c r="B456" s="9"/>
      <c r="C456" s="10" t="str">
        <f t="shared" si="78"/>
        <v>BASS</v>
      </c>
      <c r="D456" s="9"/>
      <c r="E456" s="9" t="str">
        <f t="shared" si="79"/>
        <v>DOLLY HWANG</v>
      </c>
      <c r="F456" s="9"/>
      <c r="G456" s="3"/>
      <c r="H456" s="55"/>
      <c r="I456" s="36" t="s">
        <v>461</v>
      </c>
      <c r="J456" s="55"/>
      <c r="K456" s="2" t="s">
        <v>453</v>
      </c>
      <c r="L456" s="55"/>
      <c r="M456" s="8"/>
      <c r="N456" s="2"/>
      <c r="O456" s="36" t="s">
        <v>910</v>
      </c>
      <c r="P456" s="2"/>
      <c r="Q456" s="2" t="s">
        <v>453</v>
      </c>
      <c r="R456" s="2"/>
    </row>
    <row r="457" spans="1:18">
      <c r="A457" s="14"/>
      <c r="B457" s="9"/>
      <c r="C457" s="10" t="str">
        <f t="shared" si="78"/>
        <v>RECORDING STUDIO</v>
      </c>
      <c r="D457" s="9"/>
      <c r="E457" s="9" t="str">
        <f t="shared" si="79"/>
        <v>PURPLE MOON</v>
      </c>
      <c r="F457" s="9"/>
      <c r="G457" s="3"/>
      <c r="H457" s="55"/>
      <c r="I457" s="36" t="s">
        <v>465</v>
      </c>
      <c r="J457" s="55"/>
      <c r="K457" s="2" t="s">
        <v>472</v>
      </c>
      <c r="L457" s="55"/>
      <c r="M457" s="8"/>
      <c r="N457" s="2"/>
      <c r="O457" s="36" t="s">
        <v>882</v>
      </c>
      <c r="P457" s="2"/>
      <c r="Q457" s="2" t="s">
        <v>472</v>
      </c>
      <c r="R457" s="2"/>
    </row>
    <row r="458" spans="1:18">
      <c r="A458" s="14"/>
      <c r="B458" s="9"/>
      <c r="C458" s="10" t="str">
        <f t="shared" si="78"/>
        <v>RECORDING ENGINEER</v>
      </c>
      <c r="D458" s="9"/>
      <c r="E458" s="9" t="str">
        <f t="shared" si="79"/>
        <v>DOLLY HWANG</v>
      </c>
      <c r="F458" s="9"/>
      <c r="G458" s="3"/>
      <c r="H458" s="55"/>
      <c r="I458" s="36" t="s">
        <v>427</v>
      </c>
      <c r="J458" s="55"/>
      <c r="K458" s="2" t="s">
        <v>453</v>
      </c>
      <c r="L458" s="55"/>
      <c r="M458" s="8"/>
      <c r="N458" s="2"/>
      <c r="O458" s="36" t="s">
        <v>886</v>
      </c>
      <c r="P458" s="2"/>
      <c r="Q458" s="2" t="s">
        <v>453</v>
      </c>
      <c r="R458" s="2"/>
    </row>
    <row r="459" spans="1:18">
      <c r="A459" s="14"/>
      <c r="B459" s="9"/>
      <c r="C459" s="9" t="str">
        <f t="shared" si="78"/>
        <v/>
      </c>
      <c r="D459" s="9"/>
      <c r="E459" s="9" t="str">
        <f t="shared" si="79"/>
        <v/>
      </c>
      <c r="F459" s="9"/>
      <c r="G459" s="3"/>
      <c r="H459" s="3"/>
      <c r="I459" s="8"/>
      <c r="J459" s="3"/>
      <c r="K459" s="3"/>
      <c r="L459" s="3"/>
      <c r="M459" s="8"/>
      <c r="N459" s="8"/>
      <c r="O459" s="21"/>
      <c r="P459" s="3"/>
      <c r="Q459" s="3"/>
      <c r="R459" s="3"/>
    </row>
    <row r="460" spans="1:18">
      <c r="A460" s="14"/>
      <c r="B460" s="11"/>
      <c r="C460" s="11"/>
      <c r="D460" s="11"/>
      <c r="E460" s="11"/>
      <c r="F460" s="11"/>
      <c r="G460" s="3"/>
      <c r="H460" s="3"/>
      <c r="I460" s="8"/>
      <c r="J460" s="3"/>
      <c r="K460" s="3"/>
      <c r="L460" s="3"/>
      <c r="M460" s="8"/>
      <c r="N460" s="8"/>
      <c r="O460" s="21"/>
      <c r="P460" s="3"/>
      <c r="Q460" s="3"/>
      <c r="R460" s="3"/>
    </row>
    <row r="461" spans="1:18">
      <c r="A461" s="14"/>
      <c r="B461" s="6"/>
      <c r="C461" s="6"/>
      <c r="D461" s="6"/>
      <c r="E461" s="6"/>
      <c r="F461" s="6"/>
      <c r="G461" s="3"/>
      <c r="H461" s="5"/>
      <c r="I461" s="5"/>
      <c r="J461" s="5"/>
      <c r="K461" s="5"/>
      <c r="L461" s="5"/>
      <c r="M461" s="8"/>
      <c r="N461" s="8"/>
      <c r="O461" s="21"/>
      <c r="P461" s="3"/>
      <c r="Q461" s="3"/>
      <c r="R461" s="3"/>
    </row>
    <row r="462" spans="1:18">
      <c r="A462" s="14"/>
      <c r="B462" s="150" t="str">
        <f t="shared" ref="B462:B464" si="80">UPPER(H462)</f>
        <v>POST PRODUCTION / ORIGINAL SCORES &amp; SONGS</v>
      </c>
      <c r="C462" s="141"/>
      <c r="D462" s="141"/>
      <c r="E462" s="141"/>
      <c r="F462" s="141"/>
      <c r="G462" s="28"/>
      <c r="H462" s="167" t="s">
        <v>435</v>
      </c>
      <c r="I462" s="141"/>
      <c r="J462" s="141"/>
      <c r="K462" s="141"/>
      <c r="L462" s="141"/>
      <c r="M462" s="29"/>
      <c r="N462" s="149" t="s">
        <v>888</v>
      </c>
      <c r="O462" s="141"/>
      <c r="P462" s="141"/>
      <c r="Q462" s="141"/>
      <c r="R462" s="141"/>
    </row>
    <row r="463" spans="1:18">
      <c r="A463" s="14"/>
      <c r="B463" s="146" t="str">
        <f t="shared" si="80"/>
        <v>MUSIC BY EPISODE</v>
      </c>
      <c r="C463" s="141"/>
      <c r="D463" s="141"/>
      <c r="E463" s="141"/>
      <c r="F463" s="141"/>
      <c r="G463" s="3"/>
      <c r="H463" s="149" t="s">
        <v>476</v>
      </c>
      <c r="I463" s="141"/>
      <c r="J463" s="141"/>
      <c r="K463" s="141"/>
      <c r="L463" s="141"/>
      <c r="M463" s="8"/>
      <c r="N463" s="149" t="s">
        <v>919</v>
      </c>
      <c r="O463" s="141"/>
      <c r="P463" s="141"/>
      <c r="Q463" s="141"/>
      <c r="R463" s="141"/>
    </row>
    <row r="464" spans="1:18">
      <c r="A464" s="14"/>
      <c r="B464" s="146" t="str">
        <f t="shared" si="80"/>
        <v/>
      </c>
      <c r="C464" s="141"/>
      <c r="D464" s="141"/>
      <c r="E464" s="141"/>
      <c r="F464" s="141"/>
      <c r="G464" s="3"/>
      <c r="H464" s="149"/>
      <c r="I464" s="141"/>
      <c r="J464" s="141"/>
      <c r="K464" s="141"/>
      <c r="L464" s="141"/>
      <c r="M464" s="8"/>
      <c r="N464" s="149"/>
      <c r="O464" s="141"/>
      <c r="P464" s="141"/>
      <c r="Q464" s="141"/>
      <c r="R464" s="141"/>
    </row>
    <row r="465" spans="1:18">
      <c r="A465" s="14"/>
      <c r="B465" s="42"/>
      <c r="C465" s="10" t="str">
        <f t="shared" ref="C465:C479" si="81">UPPER(I465)</f>
        <v>MUSIC SUPERVISOR</v>
      </c>
      <c r="D465" s="42"/>
      <c r="E465" s="57" t="str">
        <f t="shared" ref="E465:E479" si="82">UPPER(K465)</f>
        <v>YOONHO KIM</v>
      </c>
      <c r="F465" s="42"/>
      <c r="G465" s="3"/>
      <c r="H465" s="3"/>
      <c r="I465" s="30" t="s">
        <v>447</v>
      </c>
      <c r="J465" s="24"/>
      <c r="K465" s="22" t="s">
        <v>448</v>
      </c>
      <c r="L465" s="3"/>
      <c r="M465" s="8"/>
      <c r="N465" s="3"/>
      <c r="O465" s="8" t="s">
        <v>898</v>
      </c>
      <c r="P465" s="3"/>
      <c r="Q465" s="3" t="s">
        <v>899</v>
      </c>
      <c r="R465" s="3"/>
    </row>
    <row r="466" spans="1:18">
      <c r="A466" s="14"/>
      <c r="B466" s="42"/>
      <c r="C466" s="10" t="str">
        <f t="shared" si="81"/>
        <v/>
      </c>
      <c r="D466" s="42"/>
      <c r="E466" s="57" t="str">
        <f t="shared" si="82"/>
        <v/>
      </c>
      <c r="F466" s="42"/>
      <c r="G466" s="3"/>
      <c r="H466" s="3"/>
      <c r="I466" s="30"/>
      <c r="J466" s="14"/>
      <c r="K466" s="22"/>
      <c r="L466" s="3"/>
      <c r="M466" s="8"/>
      <c r="N466" s="3"/>
      <c r="O466" s="8"/>
      <c r="P466" s="3"/>
      <c r="Q466" s="3"/>
      <c r="R466" s="3"/>
    </row>
    <row r="467" spans="1:18">
      <c r="A467" s="14"/>
      <c r="B467" s="42"/>
      <c r="C467" s="10" t="str">
        <f t="shared" si="81"/>
        <v>LEAD COMPOSER</v>
      </c>
      <c r="D467" s="42"/>
      <c r="E467" s="57" t="str">
        <f t="shared" si="82"/>
        <v>YOONHO KIM</v>
      </c>
      <c r="F467" s="42"/>
      <c r="G467" s="3"/>
      <c r="H467" s="5"/>
      <c r="I467" s="30" t="s">
        <v>449</v>
      </c>
      <c r="J467" s="24"/>
      <c r="K467" s="22" t="s">
        <v>477</v>
      </c>
      <c r="L467" s="5"/>
      <c r="M467" s="8"/>
      <c r="N467" s="3"/>
      <c r="O467" s="8" t="s">
        <v>900</v>
      </c>
      <c r="P467" s="3"/>
      <c r="Q467" s="3" t="s">
        <v>899</v>
      </c>
      <c r="R467" s="3"/>
    </row>
    <row r="468" spans="1:18">
      <c r="A468" s="14"/>
      <c r="B468" s="42"/>
      <c r="C468" s="10" t="str">
        <f t="shared" si="81"/>
        <v/>
      </c>
      <c r="D468" s="42"/>
      <c r="E468" s="57" t="str">
        <f t="shared" si="82"/>
        <v/>
      </c>
      <c r="F468" s="42"/>
      <c r="G468" s="3"/>
      <c r="H468" s="3"/>
      <c r="I468" s="30"/>
      <c r="J468" s="75"/>
      <c r="K468" s="22"/>
      <c r="L468" s="3"/>
      <c r="M468" s="8"/>
      <c r="N468" s="3"/>
      <c r="O468" s="8"/>
      <c r="P468" s="3"/>
      <c r="Q468" s="3"/>
      <c r="R468" s="3"/>
    </row>
    <row r="469" spans="1:18">
      <c r="A469" s="14"/>
      <c r="B469" s="42"/>
      <c r="C469" s="10" t="str">
        <f t="shared" si="81"/>
        <v>ADDITIONAL COMPOSER</v>
      </c>
      <c r="D469" s="42"/>
      <c r="E469" s="57" t="str">
        <f t="shared" si="82"/>
        <v>NAYEON LEE</v>
      </c>
      <c r="F469" s="42"/>
      <c r="G469" s="3"/>
      <c r="H469" s="3"/>
      <c r="I469" s="30" t="s">
        <v>451</v>
      </c>
      <c r="J469" s="24"/>
      <c r="K469" s="22" t="s">
        <v>640</v>
      </c>
      <c r="L469" s="3"/>
      <c r="M469" s="8"/>
      <c r="N469" s="3"/>
      <c r="O469" s="8" t="s">
        <v>902</v>
      </c>
      <c r="P469" s="3"/>
      <c r="Q469" s="3" t="s">
        <v>903</v>
      </c>
      <c r="R469" s="3"/>
    </row>
    <row r="470" spans="1:18">
      <c r="A470" s="14"/>
      <c r="B470" s="42"/>
      <c r="C470" s="10" t="str">
        <f t="shared" si="81"/>
        <v/>
      </c>
      <c r="D470" s="42"/>
      <c r="E470" s="57" t="str">
        <f t="shared" si="82"/>
        <v>DOLLY HWANG</v>
      </c>
      <c r="F470" s="42"/>
      <c r="G470" s="3"/>
      <c r="H470" s="3"/>
      <c r="I470" s="30"/>
      <c r="J470" s="24"/>
      <c r="K470" s="22" t="s">
        <v>453</v>
      </c>
      <c r="L470" s="3"/>
      <c r="M470" s="8"/>
      <c r="N470" s="3"/>
      <c r="O470" s="8"/>
      <c r="P470" s="3"/>
      <c r="Q470" s="20" t="s">
        <v>453</v>
      </c>
      <c r="R470" s="3"/>
    </row>
    <row r="471" spans="1:18">
      <c r="A471" s="14"/>
      <c r="B471" s="42"/>
      <c r="C471" s="10" t="str">
        <f t="shared" si="81"/>
        <v/>
      </c>
      <c r="D471" s="42"/>
      <c r="E471" s="57" t="str">
        <f t="shared" si="82"/>
        <v>BUMPIZ</v>
      </c>
      <c r="F471" s="42"/>
      <c r="G471" s="3"/>
      <c r="H471" s="3"/>
      <c r="I471" s="44"/>
      <c r="J471" s="14"/>
      <c r="K471" s="22" t="s">
        <v>456</v>
      </c>
      <c r="L471" s="3"/>
      <c r="M471" s="8"/>
      <c r="N471" s="3"/>
      <c r="O471" s="8"/>
      <c r="P471" s="3"/>
      <c r="Q471" s="3" t="s">
        <v>456</v>
      </c>
      <c r="R471" s="3"/>
    </row>
    <row r="472" spans="1:18">
      <c r="A472" s="14"/>
      <c r="B472" s="42"/>
      <c r="C472" s="10" t="str">
        <f t="shared" si="81"/>
        <v/>
      </c>
      <c r="D472" s="42"/>
      <c r="E472" s="57" t="str">
        <f t="shared" si="82"/>
        <v>HAEHOON LEE</v>
      </c>
      <c r="F472" s="42"/>
      <c r="G472" s="3"/>
      <c r="H472" s="3"/>
      <c r="I472" s="30"/>
      <c r="J472" s="24"/>
      <c r="K472" s="22" t="s">
        <v>454</v>
      </c>
      <c r="L472" s="3"/>
      <c r="M472" s="8"/>
      <c r="N472" s="3"/>
      <c r="O472" s="8"/>
      <c r="P472" s="3"/>
      <c r="Q472" s="3" t="s">
        <v>904</v>
      </c>
      <c r="R472" s="3"/>
    </row>
    <row r="473" spans="1:18">
      <c r="A473" s="14"/>
      <c r="B473" s="42"/>
      <c r="C473" s="10" t="str">
        <f t="shared" si="81"/>
        <v/>
      </c>
      <c r="D473" s="42"/>
      <c r="E473" s="57" t="str">
        <f t="shared" si="82"/>
        <v>JIAE YU</v>
      </c>
      <c r="F473" s="42"/>
      <c r="G473" s="3"/>
      <c r="H473" s="3"/>
      <c r="I473" s="30"/>
      <c r="J473" s="24"/>
      <c r="K473" s="22" t="s">
        <v>458</v>
      </c>
      <c r="L473" s="3"/>
      <c r="M473" s="8"/>
      <c r="N473" s="3"/>
      <c r="O473" s="8"/>
      <c r="P473" s="3"/>
      <c r="Q473" s="3" t="s">
        <v>907</v>
      </c>
      <c r="R473" s="3"/>
    </row>
    <row r="474" spans="1:18">
      <c r="A474" s="14"/>
      <c r="B474" s="42"/>
      <c r="C474" s="10" t="str">
        <f t="shared" si="81"/>
        <v/>
      </c>
      <c r="D474" s="42"/>
      <c r="E474" s="57" t="str">
        <f t="shared" si="82"/>
        <v>YEONGHUN YUN</v>
      </c>
      <c r="F474" s="42"/>
      <c r="G474" s="3"/>
      <c r="H474" s="3"/>
      <c r="I474" s="30"/>
      <c r="J474" s="24"/>
      <c r="K474" s="24" t="s">
        <v>457</v>
      </c>
      <c r="L474" s="3"/>
      <c r="M474" s="8"/>
      <c r="N474" s="3"/>
      <c r="O474" s="8"/>
      <c r="P474" s="3"/>
      <c r="Q474" s="3" t="s">
        <v>906</v>
      </c>
      <c r="R474" s="3"/>
    </row>
    <row r="475" spans="1:18">
      <c r="A475" s="14"/>
      <c r="B475" s="42"/>
      <c r="C475" s="10" t="str">
        <f t="shared" si="81"/>
        <v/>
      </c>
      <c r="D475" s="42"/>
      <c r="E475" s="57" t="str">
        <f t="shared" si="82"/>
        <v/>
      </c>
      <c r="F475" s="42"/>
      <c r="G475" s="3"/>
      <c r="H475" s="3"/>
      <c r="I475" s="44"/>
      <c r="J475" s="14"/>
      <c r="K475" s="14"/>
      <c r="L475" s="3"/>
      <c r="M475" s="8"/>
      <c r="N475" s="8"/>
      <c r="O475" s="21"/>
      <c r="P475" s="3"/>
      <c r="Q475" s="20"/>
      <c r="R475" s="3"/>
    </row>
    <row r="476" spans="1:18">
      <c r="A476" s="14"/>
      <c r="B476" s="42"/>
      <c r="C476" s="10" t="str">
        <f t="shared" si="81"/>
        <v>LEAD SOUND DESIGNER</v>
      </c>
      <c r="D476" s="42"/>
      <c r="E476" s="57" t="str">
        <f t="shared" si="82"/>
        <v>HYEJEONG HWANG</v>
      </c>
      <c r="F476" s="42"/>
      <c r="G476" s="3"/>
      <c r="H476" s="3"/>
      <c r="I476" s="30" t="s">
        <v>478</v>
      </c>
      <c r="J476" s="24"/>
      <c r="K476" s="22" t="s">
        <v>441</v>
      </c>
      <c r="L476" s="3"/>
      <c r="M476" s="8"/>
      <c r="N476" s="8"/>
      <c r="O476" s="8" t="s">
        <v>920</v>
      </c>
      <c r="P476" s="3"/>
      <c r="Q476" s="3" t="s">
        <v>885</v>
      </c>
      <c r="R476" s="3"/>
    </row>
    <row r="477" spans="1:18">
      <c r="A477" s="14"/>
      <c r="B477" s="42"/>
      <c r="C477" s="10" t="str">
        <f t="shared" si="81"/>
        <v/>
      </c>
      <c r="D477" s="42"/>
      <c r="E477" s="57" t="str">
        <f t="shared" si="82"/>
        <v/>
      </c>
      <c r="F477" s="42"/>
      <c r="G477" s="3"/>
      <c r="H477" s="3"/>
      <c r="I477" s="44"/>
      <c r="J477" s="14"/>
      <c r="K477" s="14"/>
      <c r="L477" s="3"/>
      <c r="M477" s="8"/>
      <c r="N477" s="8"/>
      <c r="O477" s="8"/>
      <c r="P477" s="3"/>
      <c r="Q477" s="3"/>
      <c r="R477" s="3"/>
    </row>
    <row r="478" spans="1:18">
      <c r="A478" s="14"/>
      <c r="B478" s="42"/>
      <c r="C478" s="10" t="str">
        <f t="shared" si="81"/>
        <v>FOLEY DESIGNER</v>
      </c>
      <c r="D478" s="42"/>
      <c r="E478" s="57" t="str">
        <f t="shared" si="82"/>
        <v>TAEHUN KIM</v>
      </c>
      <c r="F478" s="42"/>
      <c r="G478" s="3"/>
      <c r="H478" s="3"/>
      <c r="I478" s="30" t="s">
        <v>479</v>
      </c>
      <c r="J478" s="24"/>
      <c r="K478" s="22" t="s">
        <v>480</v>
      </c>
      <c r="L478" s="3"/>
      <c r="M478" s="8"/>
      <c r="N478" s="8"/>
      <c r="O478" s="8" t="s">
        <v>921</v>
      </c>
      <c r="P478" s="3"/>
      <c r="Q478" s="3" t="s">
        <v>922</v>
      </c>
      <c r="R478" s="3"/>
    </row>
    <row r="479" spans="1:18">
      <c r="A479" s="14"/>
      <c r="B479" s="42"/>
      <c r="C479" s="10" t="str">
        <f t="shared" si="81"/>
        <v/>
      </c>
      <c r="D479" s="42"/>
      <c r="E479" s="57" t="str">
        <f t="shared" si="82"/>
        <v/>
      </c>
      <c r="F479" s="42"/>
      <c r="G479" s="3"/>
      <c r="H479" s="3"/>
      <c r="I479" s="8"/>
      <c r="J479" s="3"/>
      <c r="K479" s="3"/>
      <c r="L479" s="3"/>
      <c r="M479" s="8"/>
      <c r="N479" s="8"/>
      <c r="O479" s="21"/>
      <c r="P479" s="3"/>
      <c r="Q479" s="3"/>
      <c r="R479" s="3"/>
    </row>
    <row r="480" spans="1:18">
      <c r="A480" s="14"/>
      <c r="B480" s="11"/>
      <c r="C480" s="11"/>
      <c r="D480" s="11"/>
      <c r="E480" s="11"/>
      <c r="F480" s="11"/>
      <c r="G480" s="3"/>
      <c r="H480" s="3"/>
      <c r="I480" s="8"/>
      <c r="J480" s="3"/>
      <c r="K480" s="3"/>
      <c r="L480" s="3"/>
      <c r="M480" s="8"/>
      <c r="N480" s="8"/>
      <c r="O480" s="21"/>
      <c r="P480" s="3"/>
      <c r="Q480" s="3"/>
      <c r="R480" s="3"/>
    </row>
    <row r="481" spans="1:18">
      <c r="A481" s="14"/>
      <c r="B481" s="6"/>
      <c r="C481" s="6"/>
      <c r="D481" s="6"/>
      <c r="E481" s="6"/>
      <c r="F481" s="6"/>
      <c r="G481" s="3"/>
      <c r="H481" s="5"/>
      <c r="I481" s="5"/>
      <c r="J481" s="5"/>
      <c r="K481" s="5"/>
      <c r="L481" s="5"/>
      <c r="M481" s="8"/>
      <c r="N481" s="8"/>
      <c r="O481" s="21"/>
      <c r="P481" s="3"/>
      <c r="Q481" s="3"/>
      <c r="R481" s="3"/>
    </row>
    <row r="482" spans="1:18">
      <c r="A482" s="14"/>
      <c r="B482" s="150" t="str">
        <f t="shared" ref="B482:B484" si="83">UPPER(H482)</f>
        <v>POST PRODUCTION / ORIGINAL SCORES &amp; SONGS</v>
      </c>
      <c r="C482" s="141"/>
      <c r="D482" s="141"/>
      <c r="E482" s="141"/>
      <c r="F482" s="141"/>
      <c r="G482" s="28"/>
      <c r="H482" s="167" t="s">
        <v>435</v>
      </c>
      <c r="I482" s="141"/>
      <c r="J482" s="141"/>
      <c r="K482" s="141"/>
      <c r="L482" s="141"/>
      <c r="M482" s="29"/>
      <c r="N482" s="149" t="s">
        <v>888</v>
      </c>
      <c r="O482" s="141"/>
      <c r="P482" s="141"/>
      <c r="Q482" s="141"/>
      <c r="R482" s="141"/>
    </row>
    <row r="483" spans="1:18">
      <c r="A483" s="14"/>
      <c r="B483" s="146" t="str">
        <f t="shared" si="83"/>
        <v>SONGS BY EPISODE</v>
      </c>
      <c r="C483" s="141"/>
      <c r="D483" s="141"/>
      <c r="E483" s="141"/>
      <c r="F483" s="141"/>
      <c r="G483" s="3"/>
      <c r="H483" s="149" t="s">
        <v>641</v>
      </c>
      <c r="I483" s="141"/>
      <c r="J483" s="141"/>
      <c r="K483" s="141"/>
      <c r="L483" s="141"/>
      <c r="M483" s="8"/>
      <c r="N483" s="149" t="s">
        <v>919</v>
      </c>
      <c r="O483" s="141"/>
      <c r="P483" s="141"/>
      <c r="Q483" s="141"/>
      <c r="R483" s="141"/>
    </row>
    <row r="484" spans="1:18">
      <c r="A484" s="14"/>
      <c r="B484" s="146" t="str">
        <f t="shared" si="83"/>
        <v>BLACK KNIGHT</v>
      </c>
      <c r="C484" s="141"/>
      <c r="D484" s="141"/>
      <c r="E484" s="141"/>
      <c r="F484" s="141"/>
      <c r="G484" s="3"/>
      <c r="H484" s="169" t="s">
        <v>21</v>
      </c>
      <c r="I484" s="141"/>
      <c r="J484" s="141"/>
      <c r="K484" s="141"/>
      <c r="L484" s="141"/>
      <c r="M484" s="8"/>
      <c r="N484" s="149" t="s">
        <v>21</v>
      </c>
      <c r="O484" s="141"/>
      <c r="P484" s="141"/>
      <c r="Q484" s="141"/>
      <c r="R484" s="141"/>
    </row>
    <row r="485" spans="1:18">
      <c r="A485" s="14"/>
      <c r="B485" s="42"/>
      <c r="C485" s="10" t="str">
        <f t="shared" ref="C485:C496" si="84">UPPER(I485)</f>
        <v>COMPOSER &amp; ARRANGER</v>
      </c>
      <c r="D485" s="42"/>
      <c r="E485" s="57" t="str">
        <f t="shared" ref="E485:E496" si="85">UPPER(K485)</f>
        <v>JIAE YU</v>
      </c>
      <c r="F485" s="42"/>
      <c r="G485" s="3"/>
      <c r="H485" s="14"/>
      <c r="I485" s="30" t="s">
        <v>469</v>
      </c>
      <c r="J485" s="24"/>
      <c r="K485" s="22" t="s">
        <v>642</v>
      </c>
      <c r="L485" s="14"/>
      <c r="M485" s="8"/>
      <c r="N485" s="3"/>
      <c r="O485" s="8" t="s">
        <v>915</v>
      </c>
      <c r="P485" s="3"/>
      <c r="Q485" s="3" t="s">
        <v>907</v>
      </c>
      <c r="R485" s="3"/>
    </row>
    <row r="486" spans="1:18">
      <c r="A486" s="14"/>
      <c r="B486" s="42"/>
      <c r="C486" s="10" t="str">
        <f t="shared" si="84"/>
        <v/>
      </c>
      <c r="D486" s="42"/>
      <c r="E486" s="57" t="str">
        <f t="shared" si="85"/>
        <v/>
      </c>
      <c r="F486" s="42"/>
      <c r="G486" s="3"/>
      <c r="H486" s="14"/>
      <c r="I486" s="30"/>
      <c r="J486" s="24"/>
      <c r="K486" s="22"/>
      <c r="L486" s="14"/>
      <c r="M486" s="8"/>
      <c r="N486" s="3"/>
      <c r="O486" s="8"/>
      <c r="P486" s="3"/>
      <c r="Q486" s="3"/>
      <c r="R486" s="3"/>
    </row>
    <row r="487" spans="1:18">
      <c r="A487" s="14"/>
      <c r="B487" s="42"/>
      <c r="C487" s="10" t="str">
        <f t="shared" si="84"/>
        <v>LYRICS</v>
      </c>
      <c r="D487" s="42"/>
      <c r="E487" s="57" t="str">
        <f t="shared" si="85"/>
        <v>JIAE YU</v>
      </c>
      <c r="F487" s="42"/>
      <c r="G487" s="3"/>
      <c r="H487" s="75"/>
      <c r="I487" s="30" t="s">
        <v>470</v>
      </c>
      <c r="J487" s="24"/>
      <c r="K487" s="22" t="s">
        <v>642</v>
      </c>
      <c r="L487" s="75"/>
      <c r="M487" s="8"/>
      <c r="N487" s="3"/>
      <c r="O487" s="8" t="s">
        <v>916</v>
      </c>
      <c r="P487" s="3"/>
      <c r="Q487" s="3" t="s">
        <v>907</v>
      </c>
      <c r="R487" s="3"/>
    </row>
    <row r="488" spans="1:18">
      <c r="A488" s="14"/>
      <c r="B488" s="42"/>
      <c r="C488" s="10" t="str">
        <f t="shared" si="84"/>
        <v/>
      </c>
      <c r="D488" s="42"/>
      <c r="E488" s="57" t="str">
        <f t="shared" si="85"/>
        <v/>
      </c>
      <c r="F488" s="42"/>
      <c r="G488" s="3"/>
      <c r="H488" s="14"/>
      <c r="I488" s="30"/>
      <c r="J488" s="75"/>
      <c r="K488" s="22"/>
      <c r="L488" s="14"/>
      <c r="M488" s="8"/>
      <c r="N488" s="3"/>
      <c r="O488" s="8"/>
      <c r="P488" s="3"/>
      <c r="Q488" s="3"/>
      <c r="R488" s="3"/>
    </row>
    <row r="489" spans="1:18">
      <c r="A489" s="14"/>
      <c r="B489" s="42"/>
      <c r="C489" s="10" t="str">
        <f t="shared" si="84"/>
        <v>VOCAL</v>
      </c>
      <c r="D489" s="42"/>
      <c r="E489" s="57" t="str">
        <f t="shared" si="85"/>
        <v>JIAE YU &amp; GYMJY</v>
      </c>
      <c r="F489" s="42"/>
      <c r="G489" s="3"/>
      <c r="H489" s="14"/>
      <c r="I489" s="30" t="s">
        <v>471</v>
      </c>
      <c r="J489" s="24"/>
      <c r="K489" s="22" t="s">
        <v>643</v>
      </c>
      <c r="L489" s="14"/>
      <c r="M489" s="8"/>
      <c r="N489" s="3"/>
      <c r="O489" s="8" t="s">
        <v>917</v>
      </c>
      <c r="P489" s="3"/>
      <c r="Q489" s="3" t="s">
        <v>955</v>
      </c>
      <c r="R489" s="3"/>
    </row>
    <row r="490" spans="1:18">
      <c r="A490" s="14"/>
      <c r="B490" s="42"/>
      <c r="C490" s="10" t="str">
        <f t="shared" si="84"/>
        <v/>
      </c>
      <c r="D490" s="42"/>
      <c r="E490" s="57" t="str">
        <f t="shared" si="85"/>
        <v/>
      </c>
      <c r="F490" s="42"/>
      <c r="G490" s="3"/>
      <c r="H490" s="14"/>
      <c r="I490" s="44"/>
      <c r="J490" s="14"/>
      <c r="K490" s="22"/>
      <c r="L490" s="14"/>
      <c r="M490" s="8"/>
      <c r="N490" s="3"/>
      <c r="O490" s="8"/>
      <c r="P490" s="3"/>
      <c r="Q490" s="3"/>
      <c r="R490" s="3"/>
    </row>
    <row r="491" spans="1:18">
      <c r="A491" s="14"/>
      <c r="B491" s="42"/>
      <c r="C491" s="10" t="str">
        <f t="shared" si="84"/>
        <v>GUITAR</v>
      </c>
      <c r="D491" s="42"/>
      <c r="E491" s="57" t="str">
        <f t="shared" si="85"/>
        <v>BUMPIZ</v>
      </c>
      <c r="F491" s="42"/>
      <c r="G491" s="3"/>
      <c r="H491" s="14"/>
      <c r="I491" s="30" t="s">
        <v>460</v>
      </c>
      <c r="J491" s="24"/>
      <c r="K491" s="22" t="s">
        <v>456</v>
      </c>
      <c r="L491" s="14"/>
      <c r="M491" s="8"/>
      <c r="N491" s="3"/>
      <c r="O491" s="8" t="s">
        <v>909</v>
      </c>
      <c r="P491" s="3"/>
      <c r="Q491" s="3" t="s">
        <v>456</v>
      </c>
      <c r="R491" s="3"/>
    </row>
    <row r="492" spans="1:18">
      <c r="A492" s="14"/>
      <c r="B492" s="42"/>
      <c r="C492" s="10" t="str">
        <f t="shared" si="84"/>
        <v/>
      </c>
      <c r="D492" s="42"/>
      <c r="E492" s="57" t="str">
        <f t="shared" si="85"/>
        <v/>
      </c>
      <c r="F492" s="42"/>
      <c r="G492" s="3"/>
      <c r="H492" s="14"/>
      <c r="I492" s="30"/>
      <c r="J492" s="24"/>
      <c r="K492" s="22"/>
      <c r="L492" s="14"/>
      <c r="M492" s="8"/>
      <c r="N492" s="3"/>
      <c r="O492" s="8"/>
      <c r="P492" s="3"/>
      <c r="Q492" s="3"/>
      <c r="R492" s="3"/>
    </row>
    <row r="493" spans="1:18">
      <c r="A493" s="14"/>
      <c r="B493" s="42"/>
      <c r="C493" s="10" t="str">
        <f t="shared" si="84"/>
        <v>RECORDING STUDIO</v>
      </c>
      <c r="D493" s="42"/>
      <c r="E493" s="57" t="str">
        <f t="shared" si="85"/>
        <v>DOONG SOUND</v>
      </c>
      <c r="F493" s="42"/>
      <c r="G493" s="3"/>
      <c r="H493" s="14"/>
      <c r="I493" s="30" t="s">
        <v>465</v>
      </c>
      <c r="J493" s="24"/>
      <c r="K493" s="24" t="s">
        <v>437</v>
      </c>
      <c r="L493" s="14"/>
      <c r="M493" s="8"/>
      <c r="N493" s="3"/>
      <c r="O493" s="8" t="s">
        <v>882</v>
      </c>
      <c r="P493" s="3"/>
      <c r="Q493" s="3" t="s">
        <v>883</v>
      </c>
      <c r="R493" s="3"/>
    </row>
    <row r="494" spans="1:18">
      <c r="A494" s="14"/>
      <c r="B494" s="42"/>
      <c r="C494" s="10" t="str">
        <f t="shared" si="84"/>
        <v/>
      </c>
      <c r="D494" s="42"/>
      <c r="E494" s="57" t="str">
        <f t="shared" si="85"/>
        <v/>
      </c>
      <c r="F494" s="42"/>
      <c r="G494" s="3"/>
      <c r="H494" s="14"/>
      <c r="I494" s="44"/>
      <c r="J494" s="14"/>
      <c r="K494" s="14"/>
      <c r="L494" s="14"/>
      <c r="M494" s="8"/>
      <c r="N494" s="3"/>
      <c r="O494" s="8"/>
      <c r="P494" s="3"/>
      <c r="Q494" s="3"/>
      <c r="R494" s="3"/>
    </row>
    <row r="495" spans="1:18">
      <c r="A495" s="14"/>
      <c r="B495" s="42"/>
      <c r="C495" s="10" t="str">
        <f t="shared" si="84"/>
        <v>RECORDING ENGINEER</v>
      </c>
      <c r="D495" s="42"/>
      <c r="E495" s="57" t="str">
        <f t="shared" si="85"/>
        <v>JIAE YU &amp; BUMPIZ</v>
      </c>
      <c r="F495" s="42"/>
      <c r="G495" s="3"/>
      <c r="H495" s="14"/>
      <c r="I495" s="30" t="s">
        <v>427</v>
      </c>
      <c r="J495" s="24"/>
      <c r="K495" s="22" t="s">
        <v>644</v>
      </c>
      <c r="L495" s="14"/>
      <c r="M495" s="8"/>
      <c r="N495" s="3"/>
      <c r="O495" s="8" t="s">
        <v>886</v>
      </c>
      <c r="P495" s="3"/>
      <c r="Q495" s="3" t="s">
        <v>956</v>
      </c>
      <c r="R495" s="3"/>
    </row>
    <row r="496" spans="1:18">
      <c r="A496" s="14"/>
      <c r="B496" s="42"/>
      <c r="C496" s="10" t="str">
        <f t="shared" si="84"/>
        <v/>
      </c>
      <c r="D496" s="42"/>
      <c r="E496" s="57" t="str">
        <f t="shared" si="85"/>
        <v/>
      </c>
      <c r="F496" s="42"/>
      <c r="G496" s="3"/>
      <c r="H496" s="14"/>
      <c r="I496" s="30"/>
      <c r="J496" s="24"/>
      <c r="K496" s="22"/>
      <c r="L496" s="14"/>
      <c r="M496" s="8"/>
      <c r="N496" s="3"/>
      <c r="O496" s="3"/>
      <c r="P496" s="3"/>
      <c r="Q496" s="3"/>
      <c r="R496" s="3"/>
    </row>
    <row r="497" spans="1:18">
      <c r="A497" s="14"/>
      <c r="B497" s="11"/>
      <c r="C497" s="11"/>
      <c r="D497" s="11"/>
      <c r="E497" s="11"/>
      <c r="F497" s="11"/>
      <c r="G497" s="3"/>
      <c r="H497" s="3"/>
      <c r="I497" s="8"/>
      <c r="J497" s="3"/>
      <c r="K497" s="3"/>
      <c r="L497" s="3"/>
      <c r="M497" s="8"/>
      <c r="N497" s="3"/>
      <c r="O497" s="8"/>
      <c r="P497" s="3"/>
      <c r="Q497" s="3"/>
      <c r="R497" s="3"/>
    </row>
    <row r="498" spans="1:18">
      <c r="A498" s="14"/>
      <c r="B498" s="58"/>
      <c r="C498" s="58"/>
      <c r="D498" s="58"/>
      <c r="E498" s="58"/>
      <c r="F498" s="58"/>
      <c r="G498" s="3"/>
      <c r="H498" s="5"/>
      <c r="I498" s="5"/>
      <c r="J498" s="5"/>
      <c r="K498" s="5"/>
      <c r="L498" s="5"/>
      <c r="M498" s="8"/>
      <c r="N498" s="3"/>
      <c r="O498" s="8"/>
      <c r="P498" s="3"/>
      <c r="Q498" s="3"/>
      <c r="R498" s="3"/>
    </row>
    <row r="499" spans="1:18">
      <c r="A499" s="14"/>
      <c r="B499" s="153" t="str">
        <f>UPPER(H499)</f>
        <v>MASTERING</v>
      </c>
      <c r="C499" s="141"/>
      <c r="D499" s="141"/>
      <c r="E499" s="141"/>
      <c r="F499" s="141"/>
      <c r="G499" s="28"/>
      <c r="H499" s="167" t="s">
        <v>481</v>
      </c>
      <c r="I499" s="141"/>
      <c r="J499" s="141"/>
      <c r="K499" s="141"/>
      <c r="L499" s="141"/>
      <c r="M499" s="29"/>
      <c r="N499" s="149" t="s">
        <v>923</v>
      </c>
      <c r="O499" s="141"/>
      <c r="P499" s="141"/>
      <c r="Q499" s="141"/>
      <c r="R499" s="141"/>
    </row>
    <row r="500" spans="1:18">
      <c r="A500" s="14"/>
      <c r="B500" s="42"/>
      <c r="C500" s="10"/>
      <c r="D500" s="42"/>
      <c r="E500" s="57"/>
      <c r="F500" s="59"/>
      <c r="G500" s="3"/>
      <c r="H500" s="3"/>
      <c r="I500" s="8"/>
      <c r="J500" s="3"/>
      <c r="K500" s="3"/>
      <c r="L500" s="3"/>
      <c r="M500" s="8"/>
      <c r="N500" s="3"/>
      <c r="O500" s="8"/>
      <c r="P500" s="3"/>
      <c r="Q500" s="3"/>
      <c r="R500" s="3"/>
    </row>
    <row r="501" spans="1:18">
      <c r="A501" s="14"/>
      <c r="B501" s="42" t="str">
        <f t="shared" ref="B501:C501" si="86">UPPER(H501)</f>
        <v/>
      </c>
      <c r="C501" s="10" t="str">
        <f t="shared" si="86"/>
        <v>STUDIO</v>
      </c>
      <c r="D501" s="42"/>
      <c r="E501" s="57" t="str">
        <f>UPPER(K501)</f>
        <v>SBA</v>
      </c>
      <c r="F501" s="59"/>
      <c r="G501" s="3"/>
      <c r="H501" s="3"/>
      <c r="I501" s="8" t="s">
        <v>482</v>
      </c>
      <c r="J501" s="3"/>
      <c r="K501" s="3" t="s">
        <v>483</v>
      </c>
      <c r="L501" s="3"/>
      <c r="M501" s="8"/>
      <c r="N501" s="3"/>
      <c r="O501" s="8" t="s">
        <v>924</v>
      </c>
      <c r="P501" s="3"/>
      <c r="Q501" s="3" t="s">
        <v>483</v>
      </c>
      <c r="R501" s="3"/>
    </row>
    <row r="502" spans="1:18">
      <c r="A502" s="14"/>
      <c r="B502" s="42"/>
      <c r="C502" s="10"/>
      <c r="D502" s="42"/>
      <c r="E502" s="57"/>
      <c r="F502" s="59"/>
      <c r="G502" s="3"/>
      <c r="H502" s="3"/>
      <c r="I502" s="8"/>
      <c r="J502" s="3"/>
      <c r="K502" s="3"/>
      <c r="L502" s="3"/>
      <c r="M502" s="8"/>
      <c r="N502" s="3"/>
      <c r="O502" s="3"/>
      <c r="P502" s="3"/>
      <c r="Q502" s="3"/>
      <c r="R502" s="3"/>
    </row>
    <row r="503" spans="1:18">
      <c r="A503" s="14"/>
      <c r="B503" s="42"/>
      <c r="C503" s="10" t="str">
        <f>UPPER(I503)</f>
        <v>STUDIO DEPT. DIRECTOR</v>
      </c>
      <c r="D503" s="42"/>
      <c r="E503" s="57" t="str">
        <f>UPPER(K503)</f>
        <v>JONGMIN HAHM</v>
      </c>
      <c r="F503" s="59"/>
      <c r="G503" s="3"/>
      <c r="H503" s="3"/>
      <c r="I503" s="8" t="s">
        <v>484</v>
      </c>
      <c r="J503" s="3"/>
      <c r="K503" s="3" t="s">
        <v>485</v>
      </c>
      <c r="L503" s="3"/>
      <c r="M503" s="8"/>
      <c r="N503" s="3"/>
      <c r="O503" s="8" t="s">
        <v>925</v>
      </c>
      <c r="P503" s="3"/>
      <c r="Q503" s="3" t="s">
        <v>926</v>
      </c>
      <c r="R503" s="3"/>
    </row>
    <row r="504" spans="1:18">
      <c r="A504" s="14"/>
      <c r="B504" s="42"/>
      <c r="C504" s="10"/>
      <c r="D504" s="42"/>
      <c r="E504" s="57"/>
      <c r="F504" s="59"/>
      <c r="G504" s="3"/>
      <c r="H504" s="3"/>
      <c r="I504" s="8"/>
      <c r="J504" s="3"/>
      <c r="K504" s="3"/>
      <c r="L504" s="3"/>
      <c r="M504" s="8"/>
      <c r="N504" s="3"/>
      <c r="O504" s="3"/>
      <c r="P504" s="3"/>
      <c r="Q504" s="3"/>
      <c r="R504" s="3"/>
    </row>
    <row r="505" spans="1:18">
      <c r="A505" s="14"/>
      <c r="B505" s="42" t="str">
        <f t="shared" ref="B505:C505" si="87">UPPER(H505)</f>
        <v/>
      </c>
      <c r="C505" s="10" t="str">
        <f t="shared" si="87"/>
        <v>STUDIO MANAGER</v>
      </c>
      <c r="D505" s="42"/>
      <c r="E505" s="57" t="str">
        <f t="shared" ref="E505:E506" si="88">UPPER(K505)</f>
        <v>MYUNGHOON LEE</v>
      </c>
      <c r="F505" s="59"/>
      <c r="G505" s="3"/>
      <c r="H505" s="3"/>
      <c r="I505" s="8" t="s">
        <v>486</v>
      </c>
      <c r="J505" s="3"/>
      <c r="K505" s="3" t="s">
        <v>487</v>
      </c>
      <c r="L505" s="3"/>
      <c r="M505" s="8"/>
      <c r="N505" s="3"/>
      <c r="O505" s="8" t="s">
        <v>927</v>
      </c>
      <c r="P505" s="3"/>
      <c r="Q505" s="3" t="s">
        <v>928</v>
      </c>
      <c r="R505" s="3"/>
    </row>
    <row r="506" spans="1:18">
      <c r="A506" s="14"/>
      <c r="B506" s="42" t="str">
        <f t="shared" ref="B506:C506" si="89">UPPER(H506)</f>
        <v/>
      </c>
      <c r="C506" s="10" t="str">
        <f t="shared" si="89"/>
        <v/>
      </c>
      <c r="D506" s="42"/>
      <c r="E506" s="57" t="str">
        <f t="shared" si="88"/>
        <v>HAESU JEON</v>
      </c>
      <c r="F506" s="59"/>
      <c r="G506" s="3"/>
      <c r="H506" s="3"/>
      <c r="I506" s="8"/>
      <c r="J506" s="3"/>
      <c r="K506" s="3" t="s">
        <v>488</v>
      </c>
      <c r="L506" s="3"/>
      <c r="M506" s="8"/>
      <c r="N506" s="8"/>
      <c r="O506" s="3"/>
      <c r="P506" s="3"/>
      <c r="Q506" s="3" t="s">
        <v>929</v>
      </c>
      <c r="R506" s="3"/>
    </row>
    <row r="507" spans="1:18">
      <c r="A507" s="14"/>
      <c r="B507" s="42"/>
      <c r="C507" s="10"/>
      <c r="D507" s="42"/>
      <c r="E507" s="57"/>
      <c r="F507" s="59"/>
      <c r="G507" s="3"/>
      <c r="H507" s="3"/>
      <c r="I507" s="8"/>
      <c r="J507" s="3"/>
      <c r="K507" s="3"/>
      <c r="L507" s="3"/>
      <c r="M507" s="8"/>
      <c r="N507" s="8"/>
      <c r="O507" s="21"/>
      <c r="P507" s="3"/>
      <c r="Q507" s="3"/>
      <c r="R507" s="3"/>
    </row>
    <row r="508" spans="1:18">
      <c r="A508" s="14"/>
      <c r="B508" s="11"/>
      <c r="C508" s="12" t="str">
        <f>UPPER(I508)</f>
        <v/>
      </c>
      <c r="D508" s="11"/>
      <c r="E508" s="11" t="str">
        <f>UPPER(K508)</f>
        <v/>
      </c>
      <c r="F508" s="11"/>
      <c r="G508" s="3"/>
      <c r="H508" s="3"/>
      <c r="I508" s="8"/>
      <c r="J508" s="3"/>
      <c r="K508" s="13"/>
      <c r="L508" s="3"/>
      <c r="M508" s="8"/>
      <c r="N508" s="8"/>
      <c r="O508" s="21"/>
      <c r="P508" s="3"/>
      <c r="Q508" s="3"/>
      <c r="R508" s="3"/>
    </row>
    <row r="509" spans="1:18">
      <c r="A509" s="14"/>
      <c r="B509" s="58"/>
      <c r="C509" s="58"/>
      <c r="D509" s="58"/>
      <c r="E509" s="58"/>
      <c r="F509" s="58"/>
      <c r="G509" s="3"/>
      <c r="H509" s="5"/>
      <c r="I509" s="5"/>
      <c r="J509" s="5"/>
      <c r="K509" s="5"/>
      <c r="L509" s="5"/>
      <c r="M509" s="8"/>
      <c r="N509" s="8"/>
      <c r="O509" s="21"/>
      <c r="P509" s="3"/>
      <c r="Q509" s="3"/>
      <c r="R509" s="3"/>
    </row>
    <row r="510" spans="1:18">
      <c r="A510" s="14"/>
      <c r="B510" s="153" t="str">
        <f t="shared" ref="B510:B512" si="90">UPPER(H510)</f>
        <v>MASTERING</v>
      </c>
      <c r="C510" s="141"/>
      <c r="D510" s="141"/>
      <c r="E510" s="141"/>
      <c r="F510" s="141"/>
      <c r="G510" s="28"/>
      <c r="H510" s="167" t="s">
        <v>481</v>
      </c>
      <c r="I510" s="141"/>
      <c r="J510" s="141"/>
      <c r="K510" s="141"/>
      <c r="L510" s="141"/>
      <c r="M510" s="8"/>
      <c r="N510" s="149" t="s">
        <v>923</v>
      </c>
      <c r="O510" s="141"/>
      <c r="P510" s="141"/>
      <c r="Q510" s="141"/>
      <c r="R510" s="141"/>
    </row>
    <row r="511" spans="1:18">
      <c r="A511" s="14"/>
      <c r="B511" s="146" t="str">
        <f t="shared" si="90"/>
        <v>IYUNO</v>
      </c>
      <c r="C511" s="141"/>
      <c r="D511" s="141"/>
      <c r="E511" s="141"/>
      <c r="F511" s="141"/>
      <c r="G511" s="3"/>
      <c r="H511" s="169" t="s">
        <v>489</v>
      </c>
      <c r="I511" s="141"/>
      <c r="J511" s="141"/>
      <c r="K511" s="141"/>
      <c r="L511" s="141"/>
      <c r="M511" s="8"/>
      <c r="N511" s="155" t="s">
        <v>489</v>
      </c>
      <c r="O511" s="141"/>
      <c r="P511" s="141"/>
      <c r="Q511" s="141"/>
      <c r="R511" s="141"/>
    </row>
    <row r="512" spans="1:18">
      <c r="A512" s="14"/>
      <c r="B512" s="42" t="str">
        <f t="shared" si="90"/>
        <v/>
      </c>
      <c r="C512" s="10" t="str">
        <f t="shared" ref="C512:C515" si="91">UPPER(I512)</f>
        <v/>
      </c>
      <c r="D512" s="42"/>
      <c r="E512" s="57" t="str">
        <f t="shared" ref="E512:E521" si="92">UPPER(K512)</f>
        <v/>
      </c>
      <c r="F512" s="59"/>
      <c r="G512" s="3"/>
      <c r="H512" s="3"/>
      <c r="I512" s="8"/>
      <c r="J512" s="3"/>
      <c r="K512" s="3"/>
      <c r="L512" s="3"/>
      <c r="M512" s="8"/>
      <c r="N512" s="8"/>
      <c r="O512" s="21"/>
      <c r="P512" s="3"/>
      <c r="Q512" s="3"/>
      <c r="R512" s="3"/>
    </row>
    <row r="513" spans="1:18">
      <c r="A513" s="14"/>
      <c r="B513" s="42"/>
      <c r="C513" s="10" t="str">
        <f t="shared" si="91"/>
        <v>MEDIA OPERATIONS SUPERVISOR</v>
      </c>
      <c r="D513" s="42"/>
      <c r="E513" s="57" t="str">
        <f t="shared" si="92"/>
        <v>JINWOO YANG</v>
      </c>
      <c r="F513" s="59"/>
      <c r="G513" s="3"/>
      <c r="H513" s="3"/>
      <c r="I513" s="8" t="s">
        <v>490</v>
      </c>
      <c r="J513" s="3"/>
      <c r="K513" s="3" t="s">
        <v>491</v>
      </c>
      <c r="L513" s="3"/>
      <c r="M513" s="8"/>
      <c r="N513" s="8"/>
      <c r="O513" s="21" t="s">
        <v>930</v>
      </c>
      <c r="P513" s="3"/>
      <c r="Q513" s="3" t="s">
        <v>931</v>
      </c>
      <c r="R513" s="3"/>
    </row>
    <row r="514" spans="1:18">
      <c r="A514" s="14"/>
      <c r="B514" s="42"/>
      <c r="C514" s="10" t="str">
        <f t="shared" si="91"/>
        <v/>
      </c>
      <c r="D514" s="42"/>
      <c r="E514" s="57" t="str">
        <f t="shared" si="92"/>
        <v/>
      </c>
      <c r="F514" s="59"/>
      <c r="G514" s="3"/>
      <c r="H514" s="3"/>
      <c r="I514" s="8"/>
      <c r="J514" s="3"/>
      <c r="K514" s="3"/>
      <c r="L514" s="3"/>
      <c r="M514" s="8"/>
      <c r="N514" s="8"/>
      <c r="O514" s="21"/>
      <c r="P514" s="3"/>
      <c r="Q514" s="3"/>
      <c r="R514" s="3"/>
    </row>
    <row r="515" spans="1:18">
      <c r="A515" s="14"/>
      <c r="B515" s="42"/>
      <c r="C515" s="10" t="str">
        <f t="shared" si="91"/>
        <v>PROJECT MANAGER</v>
      </c>
      <c r="D515" s="42"/>
      <c r="E515" s="57" t="str">
        <f t="shared" si="92"/>
        <v>WONJEONG SONG</v>
      </c>
      <c r="F515" s="59"/>
      <c r="G515" s="3"/>
      <c r="H515" s="3"/>
      <c r="I515" s="8" t="s">
        <v>492</v>
      </c>
      <c r="J515" s="3"/>
      <c r="K515" s="3" t="s">
        <v>493</v>
      </c>
      <c r="L515" s="3"/>
      <c r="M515" s="8"/>
      <c r="N515" s="8"/>
      <c r="O515" s="21" t="s">
        <v>932</v>
      </c>
      <c r="P515" s="3"/>
      <c r="Q515" s="3" t="s">
        <v>933</v>
      </c>
      <c r="R515" s="3"/>
    </row>
    <row r="516" spans="1:18">
      <c r="A516" s="14"/>
      <c r="B516" s="42" t="str">
        <f t="shared" ref="B516:C516" si="93">UPPER(H516)</f>
        <v/>
      </c>
      <c r="C516" s="10" t="str">
        <f t="shared" si="93"/>
        <v/>
      </c>
      <c r="D516" s="42"/>
      <c r="E516" s="57" t="str">
        <f t="shared" si="92"/>
        <v/>
      </c>
      <c r="F516" s="59"/>
      <c r="G516" s="3"/>
      <c r="H516" s="3"/>
      <c r="I516" s="8"/>
      <c r="J516" s="3"/>
      <c r="K516" s="3"/>
      <c r="L516" s="3"/>
      <c r="M516" s="8"/>
      <c r="N516" s="8"/>
      <c r="O516" s="21"/>
      <c r="P516" s="3"/>
      <c r="Q516" s="3"/>
      <c r="R516" s="3"/>
    </row>
    <row r="517" spans="1:18">
      <c r="A517" s="14"/>
      <c r="B517" s="42" t="str">
        <f t="shared" ref="B517:C517" si="94">UPPER(H517)</f>
        <v/>
      </c>
      <c r="C517" s="10" t="str">
        <f t="shared" si="94"/>
        <v>VIDEO EDITOR</v>
      </c>
      <c r="D517" s="42"/>
      <c r="E517" s="57" t="str">
        <f t="shared" si="92"/>
        <v>SANGYOUNG CHO</v>
      </c>
      <c r="F517" s="59"/>
      <c r="G517" s="3"/>
      <c r="H517" s="3"/>
      <c r="I517" s="8" t="s">
        <v>494</v>
      </c>
      <c r="J517" s="3"/>
      <c r="K517" s="3" t="s">
        <v>495</v>
      </c>
      <c r="L517" s="3"/>
      <c r="M517" s="8"/>
      <c r="N517" s="8"/>
      <c r="O517" s="21" t="s">
        <v>934</v>
      </c>
      <c r="P517" s="3"/>
      <c r="Q517" s="3" t="s">
        <v>935</v>
      </c>
      <c r="R517" s="3"/>
    </row>
    <row r="518" spans="1:18">
      <c r="A518" s="14"/>
      <c r="B518" s="42"/>
      <c r="C518" s="10" t="str">
        <f t="shared" ref="C518:C521" si="95">UPPER(I518)</f>
        <v/>
      </c>
      <c r="D518" s="42"/>
      <c r="E518" s="57" t="str">
        <f t="shared" si="92"/>
        <v>JINAH JEONG</v>
      </c>
      <c r="F518" s="59"/>
      <c r="G518" s="3"/>
      <c r="H518" s="3"/>
      <c r="I518" s="8"/>
      <c r="J518" s="3"/>
      <c r="K518" s="3" t="s">
        <v>496</v>
      </c>
      <c r="L518" s="3"/>
      <c r="M518" s="8"/>
      <c r="N518" s="8"/>
      <c r="O518" s="21"/>
      <c r="P518" s="3"/>
      <c r="Q518" s="3" t="s">
        <v>936</v>
      </c>
      <c r="R518" s="3"/>
    </row>
    <row r="519" spans="1:18">
      <c r="A519" s="14"/>
      <c r="B519" s="42"/>
      <c r="C519" s="10" t="str">
        <f t="shared" si="95"/>
        <v/>
      </c>
      <c r="D519" s="42"/>
      <c r="E519" s="57" t="str">
        <f t="shared" si="92"/>
        <v>SONGI YOON</v>
      </c>
      <c r="F519" s="59"/>
      <c r="G519" s="3"/>
      <c r="H519" s="3"/>
      <c r="I519" s="8"/>
      <c r="J519" s="3"/>
      <c r="K519" s="3" t="s">
        <v>497</v>
      </c>
      <c r="L519" s="3"/>
      <c r="M519" s="8"/>
      <c r="N519" s="8"/>
      <c r="O519" s="21"/>
      <c r="P519" s="3"/>
      <c r="Q519" s="3" t="s">
        <v>937</v>
      </c>
      <c r="R519" s="3"/>
    </row>
    <row r="520" spans="1:18">
      <c r="A520" s="14"/>
      <c r="B520" s="42"/>
      <c r="C520" s="10" t="str">
        <f t="shared" si="95"/>
        <v/>
      </c>
      <c r="D520" s="42"/>
      <c r="E520" s="57" t="str">
        <f t="shared" si="92"/>
        <v/>
      </c>
      <c r="F520" s="59"/>
      <c r="G520" s="3"/>
      <c r="H520" s="3"/>
      <c r="I520" s="8"/>
      <c r="J520" s="3"/>
      <c r="K520" s="3"/>
      <c r="L520" s="3"/>
      <c r="M520" s="8"/>
      <c r="N520" s="8"/>
      <c r="O520" s="21"/>
      <c r="P520" s="3"/>
      <c r="Q520" s="3"/>
      <c r="R520" s="3"/>
    </row>
    <row r="521" spans="1:18">
      <c r="A521" s="14"/>
      <c r="B521" s="42"/>
      <c r="C521" s="10" t="str">
        <f t="shared" si="95"/>
        <v>ASSET MANAGER</v>
      </c>
      <c r="D521" s="42"/>
      <c r="E521" s="57" t="str">
        <f t="shared" si="92"/>
        <v>SANGMIN PARK</v>
      </c>
      <c r="F521" s="59"/>
      <c r="G521" s="3"/>
      <c r="H521" s="3"/>
      <c r="I521" s="8" t="s">
        <v>498</v>
      </c>
      <c r="J521" s="3"/>
      <c r="K521" s="3" t="s">
        <v>499</v>
      </c>
      <c r="L521" s="3"/>
      <c r="M521" s="8"/>
      <c r="N521" s="8"/>
      <c r="O521" s="21" t="s">
        <v>938</v>
      </c>
      <c r="P521" s="3"/>
      <c r="Q521" s="3" t="s">
        <v>939</v>
      </c>
      <c r="R521" s="3"/>
    </row>
    <row r="522" spans="1:18">
      <c r="A522" s="14"/>
      <c r="B522" s="42"/>
      <c r="C522" s="10"/>
      <c r="D522" s="42"/>
      <c r="E522" s="57"/>
      <c r="F522" s="59"/>
      <c r="G522" s="3"/>
      <c r="H522" s="3"/>
      <c r="I522" s="8"/>
      <c r="J522" s="3"/>
      <c r="K522" s="3"/>
      <c r="L522" s="3"/>
      <c r="M522" s="8"/>
      <c r="N522" s="8"/>
      <c r="O522" s="21"/>
      <c r="P522" s="3"/>
      <c r="Q522" s="3"/>
      <c r="R522" s="3"/>
    </row>
    <row r="523" spans="1:18">
      <c r="A523" s="14"/>
      <c r="B523" s="11"/>
      <c r="C523" s="12"/>
      <c r="D523" s="11"/>
      <c r="E523" s="11"/>
      <c r="F523" s="11"/>
      <c r="G523" s="3"/>
      <c r="H523" s="3"/>
      <c r="I523" s="8"/>
      <c r="J523" s="3"/>
      <c r="K523" s="13"/>
      <c r="L523" s="3"/>
      <c r="M523" s="8"/>
      <c r="N523" s="8"/>
      <c r="O523" s="21"/>
      <c r="P523" s="3"/>
      <c r="Q523" s="3"/>
      <c r="R523" s="3"/>
    </row>
    <row r="524" spans="1:18">
      <c r="A524" s="14"/>
      <c r="B524" s="6"/>
      <c r="C524" s="6"/>
      <c r="D524" s="6"/>
      <c r="E524" s="6"/>
      <c r="F524" s="6"/>
      <c r="G524" s="3"/>
      <c r="H524" s="5"/>
      <c r="I524" s="5"/>
      <c r="J524" s="5"/>
      <c r="K524" s="5"/>
      <c r="L524" s="5"/>
      <c r="M524" s="8"/>
      <c r="N524" s="8"/>
      <c r="O524" s="21"/>
      <c r="P524" s="3"/>
      <c r="Q524" s="3"/>
      <c r="R524" s="3"/>
    </row>
    <row r="525" spans="1:18">
      <c r="A525" s="14"/>
      <c r="B525" s="150" t="str">
        <f>UPPER(H525)</f>
        <v>TENCENT VIDEO</v>
      </c>
      <c r="C525" s="141"/>
      <c r="D525" s="141"/>
      <c r="E525" s="141"/>
      <c r="F525" s="141"/>
      <c r="G525" s="28"/>
      <c r="H525" s="167" t="s">
        <v>500</v>
      </c>
      <c r="I525" s="141"/>
      <c r="J525" s="141"/>
      <c r="K525" s="141"/>
      <c r="L525" s="141"/>
      <c r="M525" s="29"/>
      <c r="N525" s="149" t="s">
        <v>500</v>
      </c>
      <c r="O525" s="141"/>
      <c r="P525" s="141"/>
      <c r="Q525" s="141"/>
      <c r="R525" s="141"/>
    </row>
    <row r="526" spans="1:18">
      <c r="A526" s="14"/>
      <c r="B526" s="9"/>
      <c r="C526" s="10" t="str">
        <f t="shared" ref="C526:C546" si="96">UPPER(I526)</f>
        <v>BUSINESS DIRECTOR</v>
      </c>
      <c r="D526" s="9"/>
      <c r="E526" s="9" t="str">
        <f t="shared" ref="E526:E548" si="97">UPPER(K526)</f>
        <v>VERN WANG</v>
      </c>
      <c r="F526" s="9"/>
      <c r="G526" s="3"/>
      <c r="H526" s="3"/>
      <c r="I526" s="8" t="s">
        <v>501</v>
      </c>
      <c r="J526" s="3"/>
      <c r="K526" s="2" t="s">
        <v>502</v>
      </c>
      <c r="L526" s="3"/>
      <c r="M526" s="8"/>
      <c r="N526" s="3"/>
      <c r="O526" s="8" t="s">
        <v>501</v>
      </c>
      <c r="P526" s="3"/>
      <c r="Q526" s="2" t="s">
        <v>502</v>
      </c>
      <c r="R526" s="3"/>
    </row>
    <row r="527" spans="1:18">
      <c r="A527" s="14"/>
      <c r="B527" s="9"/>
      <c r="C527" s="10" t="str">
        <f t="shared" si="96"/>
        <v/>
      </c>
      <c r="D527" s="9"/>
      <c r="E527" s="9" t="str">
        <f t="shared" si="97"/>
        <v>ANN WANG</v>
      </c>
      <c r="F527" s="9"/>
      <c r="G527" s="3"/>
      <c r="H527" s="3"/>
      <c r="I527" s="8"/>
      <c r="J527" s="3"/>
      <c r="K527" s="2" t="s">
        <v>503</v>
      </c>
      <c r="L527" s="7"/>
      <c r="M527" s="7"/>
      <c r="N527" s="3"/>
      <c r="O527" s="8"/>
      <c r="P527" s="3"/>
      <c r="Q527" s="2" t="s">
        <v>503</v>
      </c>
      <c r="R527" s="7"/>
    </row>
    <row r="528" spans="1:18">
      <c r="A528" s="14"/>
      <c r="B528" s="9"/>
      <c r="C528" s="10" t="str">
        <f t="shared" si="96"/>
        <v>PRODUCER</v>
      </c>
      <c r="D528" s="9"/>
      <c r="E528" s="9" t="str">
        <f t="shared" si="97"/>
        <v>LEEGER LIU</v>
      </c>
      <c r="F528" s="9"/>
      <c r="G528" s="3"/>
      <c r="H528" s="3"/>
      <c r="I528" s="36" t="s">
        <v>504</v>
      </c>
      <c r="J528" s="3"/>
      <c r="K528" s="2" t="s">
        <v>505</v>
      </c>
      <c r="L528" s="7"/>
      <c r="M528" s="7"/>
      <c r="N528" s="3"/>
      <c r="O528" s="36" t="s">
        <v>504</v>
      </c>
      <c r="P528" s="3"/>
      <c r="Q528" s="2" t="s">
        <v>505</v>
      </c>
      <c r="R528" s="7"/>
    </row>
    <row r="529" spans="1:18">
      <c r="A529" s="14"/>
      <c r="B529" s="9"/>
      <c r="C529" s="10" t="str">
        <f t="shared" si="96"/>
        <v/>
      </c>
      <c r="D529" s="9"/>
      <c r="E529" s="9" t="str">
        <f t="shared" si="97"/>
        <v>ANGEL GENG</v>
      </c>
      <c r="F529" s="9"/>
      <c r="G529" s="3"/>
      <c r="H529" s="3"/>
      <c r="I529" s="8"/>
      <c r="J529" s="3"/>
      <c r="K529" s="2" t="s">
        <v>506</v>
      </c>
      <c r="L529" s="7"/>
      <c r="M529" s="7"/>
      <c r="N529" s="3"/>
      <c r="O529" s="8"/>
      <c r="P529" s="3"/>
      <c r="Q529" s="2" t="s">
        <v>506</v>
      </c>
      <c r="R529" s="7"/>
    </row>
    <row r="530" spans="1:18">
      <c r="A530" s="14"/>
      <c r="B530" s="9"/>
      <c r="C530" s="10" t="str">
        <f t="shared" si="96"/>
        <v/>
      </c>
      <c r="D530" s="9"/>
      <c r="E530" s="9" t="str">
        <f t="shared" si="97"/>
        <v>LILLIANS LI</v>
      </c>
      <c r="F530" s="9"/>
      <c r="G530" s="3"/>
      <c r="H530" s="3"/>
      <c r="I530" s="8"/>
      <c r="J530" s="3"/>
      <c r="K530" s="2" t="s">
        <v>507</v>
      </c>
      <c r="L530" s="60"/>
      <c r="M530" s="60"/>
      <c r="N530" s="3"/>
      <c r="O530" s="8"/>
      <c r="P530" s="3"/>
      <c r="Q530" s="2" t="s">
        <v>507</v>
      </c>
      <c r="R530" s="60"/>
    </row>
    <row r="531" spans="1:18">
      <c r="A531" s="14"/>
      <c r="B531" s="9"/>
      <c r="C531" s="10" t="str">
        <f t="shared" si="96"/>
        <v>PROGRAMMING EDITOR</v>
      </c>
      <c r="D531" s="9"/>
      <c r="E531" s="9" t="str">
        <f t="shared" si="97"/>
        <v>XINCI CHANG</v>
      </c>
      <c r="F531" s="9"/>
      <c r="G531" s="3"/>
      <c r="H531" s="3"/>
      <c r="I531" s="36" t="s">
        <v>508</v>
      </c>
      <c r="J531" s="3"/>
      <c r="K531" s="2" t="s">
        <v>509</v>
      </c>
      <c r="L531" s="7"/>
      <c r="M531" s="7"/>
      <c r="N531" s="3"/>
      <c r="O531" s="36" t="s">
        <v>508</v>
      </c>
      <c r="P531" s="3"/>
      <c r="Q531" s="2" t="s">
        <v>509</v>
      </c>
      <c r="R531" s="7"/>
    </row>
    <row r="532" spans="1:18">
      <c r="A532" s="14"/>
      <c r="B532" s="9"/>
      <c r="C532" s="10" t="str">
        <f t="shared" si="96"/>
        <v/>
      </c>
      <c r="D532" s="9"/>
      <c r="E532" s="9" t="str">
        <f t="shared" si="97"/>
        <v>NAIYUE HU</v>
      </c>
      <c r="F532" s="9"/>
      <c r="G532" s="3"/>
      <c r="H532" s="3"/>
      <c r="I532" s="8"/>
      <c r="J532" s="3"/>
      <c r="K532" s="2" t="s">
        <v>510</v>
      </c>
      <c r="L532" s="7"/>
      <c r="M532" s="7"/>
      <c r="N532" s="3"/>
      <c r="O532" s="8"/>
      <c r="P532" s="3"/>
      <c r="Q532" s="2" t="s">
        <v>510</v>
      </c>
      <c r="R532" s="7"/>
    </row>
    <row r="533" spans="1:18">
      <c r="A533" s="14"/>
      <c r="B533" s="9"/>
      <c r="C533" s="10" t="str">
        <f t="shared" si="96"/>
        <v/>
      </c>
      <c r="D533" s="9"/>
      <c r="E533" s="9" t="str">
        <f t="shared" si="97"/>
        <v>JING LIN</v>
      </c>
      <c r="F533" s="9"/>
      <c r="G533" s="3"/>
      <c r="H533" s="3"/>
      <c r="I533" s="8"/>
      <c r="J533" s="3"/>
      <c r="K533" s="2" t="s">
        <v>511</v>
      </c>
      <c r="L533" s="7"/>
      <c r="M533" s="7"/>
      <c r="N533" s="3"/>
      <c r="O533" s="8"/>
      <c r="P533" s="3"/>
      <c r="Q533" s="2" t="s">
        <v>511</v>
      </c>
      <c r="R533" s="7"/>
    </row>
    <row r="534" spans="1:18">
      <c r="A534" s="14"/>
      <c r="B534" s="9"/>
      <c r="C534" s="10" t="str">
        <f t="shared" si="96"/>
        <v/>
      </c>
      <c r="D534" s="9"/>
      <c r="E534" s="9" t="str">
        <f t="shared" si="97"/>
        <v>YOYO GAO</v>
      </c>
      <c r="F534" s="9"/>
      <c r="G534" s="3"/>
      <c r="H534" s="3"/>
      <c r="I534" s="8"/>
      <c r="J534" s="3"/>
      <c r="K534" s="2" t="s">
        <v>512</v>
      </c>
      <c r="L534" s="7"/>
      <c r="M534" s="7"/>
      <c r="N534" s="3"/>
      <c r="O534" s="8"/>
      <c r="P534" s="3"/>
      <c r="Q534" s="2" t="s">
        <v>512</v>
      </c>
      <c r="R534" s="7"/>
    </row>
    <row r="535" spans="1:18">
      <c r="A535" s="14"/>
      <c r="B535" s="9"/>
      <c r="C535" s="10" t="str">
        <f t="shared" si="96"/>
        <v/>
      </c>
      <c r="D535" s="9"/>
      <c r="E535" s="9" t="str">
        <f t="shared" si="97"/>
        <v>KRYSTAL YANG</v>
      </c>
      <c r="F535" s="9"/>
      <c r="G535" s="3"/>
      <c r="H535" s="3"/>
      <c r="I535" s="8"/>
      <c r="J535" s="3"/>
      <c r="K535" s="2" t="s">
        <v>513</v>
      </c>
      <c r="L535" s="7"/>
      <c r="M535" s="7"/>
      <c r="N535" s="3"/>
      <c r="O535" s="8"/>
      <c r="P535" s="3"/>
      <c r="Q535" s="2" t="s">
        <v>513</v>
      </c>
      <c r="R535" s="7"/>
    </row>
    <row r="536" spans="1:18">
      <c r="A536" s="14"/>
      <c r="B536" s="9"/>
      <c r="C536" s="10" t="str">
        <f t="shared" si="96"/>
        <v/>
      </c>
      <c r="D536" s="9"/>
      <c r="E536" s="9" t="str">
        <f t="shared" si="97"/>
        <v>BETTY MEI</v>
      </c>
      <c r="F536" s="9"/>
      <c r="G536" s="3"/>
      <c r="H536" s="3"/>
      <c r="I536" s="8"/>
      <c r="J536" s="3"/>
      <c r="K536" s="2" t="s">
        <v>514</v>
      </c>
      <c r="L536" s="7"/>
      <c r="M536" s="7"/>
      <c r="N536" s="3"/>
      <c r="O536" s="8"/>
      <c r="P536" s="3"/>
      <c r="Q536" s="2" t="s">
        <v>514</v>
      </c>
      <c r="R536" s="7"/>
    </row>
    <row r="537" spans="1:18">
      <c r="A537" s="14"/>
      <c r="B537" s="9"/>
      <c r="C537" s="10" t="str">
        <f t="shared" si="96"/>
        <v/>
      </c>
      <c r="D537" s="9"/>
      <c r="E537" s="9" t="str">
        <f t="shared" si="97"/>
        <v>RHEA LIU</v>
      </c>
      <c r="F537" s="9"/>
      <c r="G537" s="3"/>
      <c r="H537" s="3"/>
      <c r="I537" s="8"/>
      <c r="J537" s="3"/>
      <c r="K537" s="2" t="s">
        <v>515</v>
      </c>
      <c r="L537" s="7"/>
      <c r="M537" s="7"/>
      <c r="N537" s="3"/>
      <c r="O537" s="8"/>
      <c r="P537" s="3"/>
      <c r="Q537" s="2" t="s">
        <v>515</v>
      </c>
      <c r="R537" s="7"/>
    </row>
    <row r="538" spans="1:18">
      <c r="A538" s="14"/>
      <c r="B538" s="9"/>
      <c r="C538" s="10" t="str">
        <f t="shared" si="96"/>
        <v/>
      </c>
      <c r="D538" s="9"/>
      <c r="E538" s="9" t="str">
        <f t="shared" si="97"/>
        <v>ZHENGDAO CHEN</v>
      </c>
      <c r="F538" s="9"/>
      <c r="G538" s="3"/>
      <c r="H538" s="3"/>
      <c r="I538" s="8"/>
      <c r="J538" s="3"/>
      <c r="K538" s="2" t="s">
        <v>516</v>
      </c>
      <c r="L538" s="3"/>
      <c r="M538" s="8"/>
      <c r="N538" s="3"/>
      <c r="O538" s="8"/>
      <c r="P538" s="3"/>
      <c r="Q538" s="2" t="s">
        <v>516</v>
      </c>
      <c r="R538" s="3"/>
    </row>
    <row r="539" spans="1:18">
      <c r="A539" s="14"/>
      <c r="B539" s="9"/>
      <c r="C539" s="10" t="str">
        <f t="shared" si="96"/>
        <v>BUSINESS EDITOR</v>
      </c>
      <c r="D539" s="9"/>
      <c r="E539" s="9" t="str">
        <f t="shared" si="97"/>
        <v>LAINEY LIU</v>
      </c>
      <c r="F539" s="9"/>
      <c r="G539" s="3"/>
      <c r="H539" s="3"/>
      <c r="I539" s="36" t="s">
        <v>517</v>
      </c>
      <c r="J539" s="3"/>
      <c r="K539" s="2" t="s">
        <v>518</v>
      </c>
      <c r="L539" s="3"/>
      <c r="M539" s="8"/>
      <c r="N539" s="3"/>
      <c r="O539" s="36" t="s">
        <v>517</v>
      </c>
      <c r="P539" s="3"/>
      <c r="Q539" s="2" t="s">
        <v>518</v>
      </c>
      <c r="R539" s="3"/>
    </row>
    <row r="540" spans="1:18">
      <c r="A540" s="14"/>
      <c r="B540" s="9"/>
      <c r="C540" s="10" t="str">
        <f t="shared" si="96"/>
        <v/>
      </c>
      <c r="D540" s="9"/>
      <c r="E540" s="9" t="str">
        <f t="shared" si="97"/>
        <v>DEE ZHANG</v>
      </c>
      <c r="F540" s="9"/>
      <c r="G540" s="3"/>
      <c r="H540" s="3"/>
      <c r="I540" s="8"/>
      <c r="J540" s="3"/>
      <c r="K540" s="2" t="s">
        <v>519</v>
      </c>
      <c r="L540" s="3"/>
      <c r="M540" s="8"/>
      <c r="N540" s="3"/>
      <c r="O540" s="8"/>
      <c r="P540" s="3"/>
      <c r="Q540" s="2" t="s">
        <v>519</v>
      </c>
      <c r="R540" s="3"/>
    </row>
    <row r="541" spans="1:18">
      <c r="A541" s="14"/>
      <c r="B541" s="9"/>
      <c r="C541" s="10" t="str">
        <f t="shared" si="96"/>
        <v>LEGAL</v>
      </c>
      <c r="D541" s="9"/>
      <c r="E541" s="9" t="str">
        <f t="shared" si="97"/>
        <v>KAN ZHANG</v>
      </c>
      <c r="F541" s="9"/>
      <c r="G541" s="3"/>
      <c r="H541" s="3"/>
      <c r="I541" s="36" t="s">
        <v>520</v>
      </c>
      <c r="J541" s="3"/>
      <c r="K541" s="2" t="s">
        <v>521</v>
      </c>
      <c r="L541" s="3"/>
      <c r="M541" s="8"/>
      <c r="N541" s="3"/>
      <c r="O541" s="36" t="s">
        <v>520</v>
      </c>
      <c r="P541" s="3"/>
      <c r="Q541" s="2" t="s">
        <v>521</v>
      </c>
      <c r="R541" s="3"/>
    </row>
    <row r="542" spans="1:18">
      <c r="A542" s="14"/>
      <c r="B542" s="9"/>
      <c r="C542" s="10" t="str">
        <f t="shared" si="96"/>
        <v>FINANCE &amp; TAX</v>
      </c>
      <c r="D542" s="9"/>
      <c r="E542" s="9" t="str">
        <f t="shared" si="97"/>
        <v xml:space="preserve">XIAOCHEN ZHANG </v>
      </c>
      <c r="F542" s="9"/>
      <c r="G542" s="3"/>
      <c r="H542" s="3"/>
      <c r="I542" s="36" t="s">
        <v>522</v>
      </c>
      <c r="J542" s="3"/>
      <c r="K542" s="2" t="s">
        <v>523</v>
      </c>
      <c r="L542" s="3"/>
      <c r="M542" s="8"/>
      <c r="N542" s="3"/>
      <c r="O542" s="36" t="s">
        <v>522</v>
      </c>
      <c r="P542" s="3"/>
      <c r="Q542" s="2" t="s">
        <v>523</v>
      </c>
      <c r="R542" s="3"/>
    </row>
    <row r="543" spans="1:18">
      <c r="A543" s="14"/>
      <c r="B543" s="9"/>
      <c r="C543" s="10" t="str">
        <f t="shared" si="96"/>
        <v/>
      </c>
      <c r="D543" s="9"/>
      <c r="E543" s="9" t="str">
        <f t="shared" si="97"/>
        <v>YING CHEN</v>
      </c>
      <c r="F543" s="9"/>
      <c r="G543" s="3"/>
      <c r="H543" s="3"/>
      <c r="I543" s="2"/>
      <c r="J543" s="3"/>
      <c r="K543" s="2" t="s">
        <v>524</v>
      </c>
      <c r="L543" s="3"/>
      <c r="M543" s="8"/>
      <c r="N543" s="3"/>
      <c r="O543" s="2"/>
      <c r="P543" s="3"/>
      <c r="Q543" s="2" t="s">
        <v>524</v>
      </c>
      <c r="R543" s="3"/>
    </row>
    <row r="544" spans="1:18">
      <c r="A544" s="14"/>
      <c r="B544" s="9"/>
      <c r="C544" s="10" t="str">
        <f t="shared" si="96"/>
        <v>MARKETING</v>
      </c>
      <c r="D544" s="9"/>
      <c r="E544" s="9" t="str">
        <f t="shared" si="97"/>
        <v>TRACY CUI</v>
      </c>
      <c r="F544" s="9"/>
      <c r="G544" s="3"/>
      <c r="H544" s="3"/>
      <c r="I544" s="36" t="s">
        <v>525</v>
      </c>
      <c r="J544" s="3"/>
      <c r="K544" s="2" t="s">
        <v>526</v>
      </c>
      <c r="L544" s="3"/>
      <c r="M544" s="8"/>
      <c r="N544" s="3"/>
      <c r="O544" s="36" t="s">
        <v>525</v>
      </c>
      <c r="P544" s="3"/>
      <c r="Q544" s="2" t="s">
        <v>526</v>
      </c>
      <c r="R544" s="3"/>
    </row>
    <row r="545" spans="1:19">
      <c r="A545" s="14"/>
      <c r="B545" s="9"/>
      <c r="C545" s="10" t="str">
        <f t="shared" si="96"/>
        <v/>
      </c>
      <c r="D545" s="9"/>
      <c r="E545" s="9" t="str">
        <f t="shared" si="97"/>
        <v>MENGJIE HE</v>
      </c>
      <c r="F545" s="9"/>
      <c r="G545" s="3"/>
      <c r="H545" s="3"/>
      <c r="I545" s="8"/>
      <c r="J545" s="3"/>
      <c r="K545" s="2" t="s">
        <v>527</v>
      </c>
      <c r="L545" s="3"/>
      <c r="M545" s="8"/>
      <c r="N545" s="3"/>
      <c r="O545" s="8"/>
      <c r="P545" s="3"/>
      <c r="Q545" s="2" t="s">
        <v>527</v>
      </c>
      <c r="R545" s="3"/>
    </row>
    <row r="546" spans="1:19">
      <c r="A546" s="14"/>
      <c r="B546" s="9"/>
      <c r="C546" s="10" t="str">
        <f t="shared" si="96"/>
        <v/>
      </c>
      <c r="D546" s="9"/>
      <c r="E546" s="9" t="str">
        <f t="shared" si="97"/>
        <v>IRIS ZHANG</v>
      </c>
      <c r="F546" s="9"/>
      <c r="G546" s="3"/>
      <c r="H546" s="3"/>
      <c r="I546" s="8"/>
      <c r="J546" s="3"/>
      <c r="K546" s="2" t="s">
        <v>528</v>
      </c>
      <c r="L546" s="3"/>
      <c r="M546" s="8"/>
      <c r="N546" s="3"/>
      <c r="O546" s="8"/>
      <c r="P546" s="3"/>
      <c r="Q546" s="2" t="s">
        <v>528</v>
      </c>
      <c r="R546" s="3"/>
    </row>
    <row r="547" spans="1:19">
      <c r="A547" s="14"/>
      <c r="B547" s="9"/>
      <c r="C547" s="10"/>
      <c r="D547" s="9"/>
      <c r="E547" s="9" t="str">
        <f t="shared" si="97"/>
        <v>AARON YU</v>
      </c>
      <c r="F547" s="9"/>
      <c r="G547" s="3"/>
      <c r="H547" s="3"/>
      <c r="I547" s="8"/>
      <c r="J547" s="3"/>
      <c r="K547" s="2" t="s">
        <v>529</v>
      </c>
      <c r="L547" s="3"/>
      <c r="M547" s="8"/>
      <c r="N547" s="3"/>
      <c r="O547" s="8"/>
      <c r="P547" s="3"/>
      <c r="Q547" s="2" t="s">
        <v>529</v>
      </c>
      <c r="R547" s="3"/>
    </row>
    <row r="548" spans="1:19">
      <c r="A548" s="14"/>
      <c r="B548" s="9"/>
      <c r="C548" s="9"/>
      <c r="D548" s="9"/>
      <c r="E548" s="9" t="str">
        <f t="shared" si="97"/>
        <v/>
      </c>
      <c r="F548" s="9"/>
      <c r="G548" s="3"/>
      <c r="H548" s="3"/>
      <c r="I548" s="8"/>
      <c r="J548" s="3"/>
      <c r="K548" s="2"/>
      <c r="L548" s="3"/>
      <c r="M548" s="8"/>
      <c r="N548" s="8"/>
      <c r="O548" s="21"/>
      <c r="P548" s="3"/>
      <c r="Q548" s="3"/>
      <c r="R548" s="3"/>
    </row>
    <row r="549" spans="1:19">
      <c r="A549" s="14"/>
      <c r="B549" s="11"/>
      <c r="C549" s="12"/>
      <c r="D549" s="11"/>
      <c r="E549" s="11"/>
      <c r="F549" s="11"/>
      <c r="G549" s="3"/>
      <c r="H549" s="3"/>
      <c r="I549" s="8"/>
      <c r="J549" s="3"/>
      <c r="K549" s="13"/>
      <c r="L549" s="3"/>
      <c r="M549" s="8"/>
      <c r="N549" s="8"/>
      <c r="O549" s="21"/>
      <c r="P549" s="3"/>
      <c r="Q549" s="3"/>
      <c r="R549" s="3"/>
    </row>
    <row r="550" spans="1:19">
      <c r="A550" s="14"/>
      <c r="B550" s="61"/>
      <c r="C550" s="61"/>
      <c r="D550" s="61"/>
      <c r="E550" s="61"/>
      <c r="F550" s="61"/>
      <c r="G550" s="3"/>
      <c r="H550" s="7"/>
      <c r="I550" s="7"/>
      <c r="J550" s="7"/>
      <c r="K550" s="7"/>
      <c r="L550" s="7"/>
      <c r="M550" s="8"/>
      <c r="N550" s="8"/>
      <c r="O550" s="21"/>
      <c r="P550" s="3"/>
      <c r="Q550" s="3"/>
      <c r="R550" s="3"/>
    </row>
    <row r="551" spans="1:19">
      <c r="A551" s="14"/>
      <c r="B551" s="143" t="str">
        <f t="shared" ref="B551:B554" si="98">UPPER(H551)</f>
        <v>PRODUCTION SERVICES PROVIDED BY</v>
      </c>
      <c r="C551" s="141"/>
      <c r="D551" s="141"/>
      <c r="E551" s="141"/>
      <c r="F551" s="141"/>
      <c r="G551" s="3"/>
      <c r="H551" s="145" t="s">
        <v>530</v>
      </c>
      <c r="I551" s="141"/>
      <c r="J551" s="141"/>
      <c r="K551" s="141"/>
      <c r="L551" s="141"/>
      <c r="M551" s="8"/>
      <c r="N551" s="145" t="s">
        <v>940</v>
      </c>
      <c r="O551" s="141"/>
      <c r="P551" s="141"/>
      <c r="Q551" s="141"/>
      <c r="R551" s="141"/>
    </row>
    <row r="552" spans="1:19">
      <c r="A552" s="14"/>
      <c r="B552" s="146" t="str">
        <f t="shared" si="98"/>
        <v>THE MONK STUDIOS</v>
      </c>
      <c r="C552" s="141"/>
      <c r="D552" s="141"/>
      <c r="E552" s="141"/>
      <c r="F552" s="141"/>
      <c r="G552" s="8"/>
      <c r="H552" s="149" t="s">
        <v>202</v>
      </c>
      <c r="I552" s="141"/>
      <c r="J552" s="141"/>
      <c r="K552" s="141"/>
      <c r="L552" s="141"/>
      <c r="M552" s="8"/>
      <c r="N552" s="149" t="s">
        <v>202</v>
      </c>
      <c r="O552" s="141"/>
      <c r="P552" s="141"/>
      <c r="Q552" s="141"/>
      <c r="R552" s="141"/>
    </row>
    <row r="553" spans="1:19">
      <c r="A553" s="14"/>
      <c r="B553" s="9" t="str">
        <f t="shared" si="98"/>
        <v/>
      </c>
      <c r="C553" s="10" t="str">
        <f>UPPER(I553)</f>
        <v/>
      </c>
      <c r="D553" s="9"/>
      <c r="E553" s="9" t="str">
        <f>UPPER(K553)</f>
        <v/>
      </c>
      <c r="F553" s="9"/>
      <c r="G553" s="3"/>
      <c r="H553" s="76"/>
      <c r="I553" s="8"/>
      <c r="J553" s="3"/>
      <c r="K553" s="13"/>
      <c r="L553" s="3"/>
      <c r="M553" s="8"/>
      <c r="N553" s="76"/>
      <c r="O553" s="8"/>
      <c r="P553" s="3"/>
      <c r="Q553" s="13"/>
      <c r="R553" s="3"/>
    </row>
    <row r="554" spans="1:19">
      <c r="A554" s="14"/>
      <c r="B554" s="146" t="str">
        <f t="shared" si="98"/>
        <v>MANAGEMENT</v>
      </c>
      <c r="C554" s="141"/>
      <c r="D554" s="141"/>
      <c r="E554" s="141"/>
      <c r="F554" s="141"/>
      <c r="G554" s="3"/>
      <c r="H554" s="151" t="s">
        <v>392</v>
      </c>
      <c r="I554" s="141"/>
      <c r="J554" s="141"/>
      <c r="K554" s="141"/>
      <c r="L554" s="141"/>
      <c r="M554" s="8"/>
      <c r="N554" s="151" t="s">
        <v>392</v>
      </c>
      <c r="O554" s="141"/>
      <c r="P554" s="141"/>
      <c r="Q554" s="141"/>
      <c r="R554" s="141"/>
    </row>
    <row r="555" spans="1:19">
      <c r="A555" s="14"/>
      <c r="B555" s="9"/>
      <c r="C555" s="10" t="str">
        <f t="shared" ref="C555:C576" si="99">UPPER(I555)</f>
        <v>PRODUCTION EXECUTIVE</v>
      </c>
      <c r="D555" s="9"/>
      <c r="E555" s="9" t="str">
        <f t="shared" ref="E555:E576" si="100">UPPER(K555)</f>
        <v>JUCK SOMSAMAN</v>
      </c>
      <c r="F555" s="9"/>
      <c r="G555" s="3"/>
      <c r="H555" s="13"/>
      <c r="I555" s="36" t="s">
        <v>531</v>
      </c>
      <c r="J555" s="3"/>
      <c r="K555" s="31" t="s">
        <v>532</v>
      </c>
      <c r="L555" s="3"/>
      <c r="M555" s="63"/>
      <c r="N555" s="13"/>
      <c r="O555" s="8" t="s">
        <v>531</v>
      </c>
      <c r="P555" s="3"/>
      <c r="Q555" s="13" t="s">
        <v>532</v>
      </c>
      <c r="R555" s="3"/>
      <c r="S555" s="1"/>
    </row>
    <row r="556" spans="1:19">
      <c r="A556" s="14"/>
      <c r="B556" s="9"/>
      <c r="C556" s="10" t="str">
        <f t="shared" si="99"/>
        <v/>
      </c>
      <c r="D556" s="9"/>
      <c r="E556" s="9" t="str">
        <f t="shared" si="100"/>
        <v/>
      </c>
      <c r="F556" s="9"/>
      <c r="G556" s="3"/>
      <c r="H556" s="13"/>
      <c r="I556" s="36"/>
      <c r="J556" s="3"/>
      <c r="K556" s="31"/>
      <c r="L556" s="3"/>
      <c r="M556" s="8"/>
      <c r="N556" s="13"/>
      <c r="O556" s="8"/>
      <c r="P556" s="3"/>
      <c r="Q556" s="13"/>
      <c r="R556" s="3"/>
      <c r="S556" s="1"/>
    </row>
    <row r="557" spans="1:19">
      <c r="A557" s="14"/>
      <c r="B557" s="9"/>
      <c r="C557" s="10" t="str">
        <f t="shared" si="99"/>
        <v>PRODUCTION MANAGER</v>
      </c>
      <c r="D557" s="9"/>
      <c r="E557" s="9" t="str">
        <f t="shared" si="100"/>
        <v>NAPASSARA CHAISUKDAMRONG</v>
      </c>
      <c r="F557" s="9"/>
      <c r="G557" s="3"/>
      <c r="H557" s="13"/>
      <c r="I557" s="36" t="s">
        <v>152</v>
      </c>
      <c r="J557" s="3"/>
      <c r="K557" s="31" t="s">
        <v>533</v>
      </c>
      <c r="L557" s="3"/>
      <c r="M557" s="8"/>
      <c r="N557" s="13"/>
      <c r="O557" s="8" t="s">
        <v>152</v>
      </c>
      <c r="P557" s="3"/>
      <c r="Q557" s="13" t="s">
        <v>533</v>
      </c>
      <c r="R557" s="3"/>
      <c r="S557" s="1"/>
    </row>
    <row r="558" spans="1:19">
      <c r="A558" s="14"/>
      <c r="B558" s="9"/>
      <c r="C558" s="10" t="str">
        <f t="shared" si="99"/>
        <v/>
      </c>
      <c r="D558" s="9"/>
      <c r="E558" s="9" t="str">
        <f t="shared" si="100"/>
        <v>RUJIRA POKSOMBOONKIJ</v>
      </c>
      <c r="F558" s="9"/>
      <c r="G558" s="3"/>
      <c r="H558" s="13"/>
      <c r="I558" s="36"/>
      <c r="J558" s="3"/>
      <c r="K558" s="31" t="s">
        <v>534</v>
      </c>
      <c r="L558" s="3"/>
      <c r="M558" s="8"/>
      <c r="N558" s="13"/>
      <c r="O558" s="8"/>
      <c r="P558" s="3"/>
      <c r="Q558" s="13" t="s">
        <v>534</v>
      </c>
      <c r="R558" s="3"/>
      <c r="S558" s="1"/>
    </row>
    <row r="559" spans="1:19">
      <c r="A559" s="14"/>
      <c r="B559" s="9"/>
      <c r="C559" s="10" t="str">
        <f t="shared" si="99"/>
        <v/>
      </c>
      <c r="D559" s="9"/>
      <c r="E559" s="9" t="str">
        <f t="shared" si="100"/>
        <v/>
      </c>
      <c r="F559" s="9"/>
      <c r="G559" s="3"/>
      <c r="H559" s="13"/>
      <c r="I559" s="36"/>
      <c r="J559" s="3"/>
      <c r="K559" s="65"/>
      <c r="L559" s="3"/>
      <c r="M559" s="8"/>
      <c r="N559" s="13"/>
      <c r="O559" s="8"/>
      <c r="P559" s="3"/>
      <c r="Q559" s="13"/>
      <c r="R559" s="3"/>
      <c r="S559" s="1"/>
    </row>
    <row r="560" spans="1:19">
      <c r="A560" s="14"/>
      <c r="B560" s="9"/>
      <c r="C560" s="10" t="str">
        <f t="shared" si="99"/>
        <v>CG SUPEVISOR</v>
      </c>
      <c r="D560" s="9"/>
      <c r="E560" s="9" t="str">
        <f t="shared" si="100"/>
        <v>KATHA NA BADALUNG</v>
      </c>
      <c r="F560" s="9"/>
      <c r="G560" s="3"/>
      <c r="H560" s="13"/>
      <c r="I560" s="36" t="s">
        <v>535</v>
      </c>
      <c r="J560" s="3"/>
      <c r="K560" s="65" t="s">
        <v>536</v>
      </c>
      <c r="L560" s="3"/>
      <c r="M560" s="8"/>
      <c r="N560" s="13"/>
      <c r="O560" s="8" t="s">
        <v>535</v>
      </c>
      <c r="P560" s="3"/>
      <c r="Q560" s="13" t="s">
        <v>536</v>
      </c>
      <c r="R560" s="3"/>
      <c r="S560" s="1"/>
    </row>
    <row r="561" spans="1:19">
      <c r="A561" s="14"/>
      <c r="B561" s="9"/>
      <c r="C561" s="10" t="str">
        <f t="shared" si="99"/>
        <v/>
      </c>
      <c r="D561" s="9"/>
      <c r="E561" s="9" t="str">
        <f t="shared" si="100"/>
        <v/>
      </c>
      <c r="F561" s="9"/>
      <c r="G561" s="3"/>
      <c r="H561" s="13"/>
      <c r="I561" s="36"/>
      <c r="J561" s="3"/>
      <c r="K561" s="31"/>
      <c r="L561" s="3"/>
      <c r="M561" s="8"/>
      <c r="N561" s="13"/>
      <c r="O561" s="8"/>
      <c r="P561" s="3"/>
      <c r="Q561" s="13"/>
      <c r="R561" s="3"/>
      <c r="S561" s="1"/>
    </row>
    <row r="562" spans="1:19">
      <c r="A562" s="14"/>
      <c r="B562" s="9"/>
      <c r="C562" s="10" t="str">
        <f t="shared" si="99"/>
        <v>PRODUCER</v>
      </c>
      <c r="D562" s="9"/>
      <c r="E562" s="9" t="str">
        <f t="shared" si="100"/>
        <v>BUDSARIN PANOMMA</v>
      </c>
      <c r="F562" s="9"/>
      <c r="G562" s="3"/>
      <c r="H562" s="13"/>
      <c r="I562" s="36" t="s">
        <v>504</v>
      </c>
      <c r="J562" s="3"/>
      <c r="K562" s="31" t="s">
        <v>537</v>
      </c>
      <c r="L562" s="3"/>
      <c r="M562" s="8"/>
      <c r="N562" s="13"/>
      <c r="O562" s="8" t="s">
        <v>504</v>
      </c>
      <c r="P562" s="3"/>
      <c r="Q562" s="13" t="s">
        <v>537</v>
      </c>
      <c r="R562" s="3"/>
      <c r="S562" s="1"/>
    </row>
    <row r="563" spans="1:19">
      <c r="A563" s="14"/>
      <c r="B563" s="9"/>
      <c r="C563" s="10" t="str">
        <f t="shared" si="99"/>
        <v/>
      </c>
      <c r="D563" s="9"/>
      <c r="E563" s="9" t="str">
        <f t="shared" si="100"/>
        <v/>
      </c>
      <c r="F563" s="9"/>
      <c r="G563" s="3"/>
      <c r="H563" s="13"/>
      <c r="I563" s="36"/>
      <c r="J563" s="3"/>
      <c r="K563" s="65"/>
      <c r="L563" s="3"/>
      <c r="M563" s="63"/>
      <c r="N563" s="13"/>
      <c r="O563" s="8"/>
      <c r="P563" s="3"/>
      <c r="Q563" s="13"/>
      <c r="R563" s="3"/>
      <c r="S563" s="1"/>
    </row>
    <row r="564" spans="1:19">
      <c r="A564" s="14"/>
      <c r="B564" s="9"/>
      <c r="C564" s="10" t="str">
        <f t="shared" si="99"/>
        <v>ASSET MANAGER</v>
      </c>
      <c r="D564" s="9"/>
      <c r="E564" s="9" t="str">
        <f t="shared" si="100"/>
        <v>PALAPAS NIMAWAN</v>
      </c>
      <c r="F564" s="9"/>
      <c r="G564" s="3"/>
      <c r="H564" s="13"/>
      <c r="I564" s="36" t="s">
        <v>498</v>
      </c>
      <c r="J564" s="3"/>
      <c r="K564" s="65" t="s">
        <v>538</v>
      </c>
      <c r="L564" s="3"/>
      <c r="M564" s="63"/>
      <c r="N564" s="13"/>
      <c r="O564" s="8" t="s">
        <v>498</v>
      </c>
      <c r="P564" s="3"/>
      <c r="Q564" s="13" t="s">
        <v>538</v>
      </c>
      <c r="R564" s="3"/>
      <c r="S564" s="1"/>
    </row>
    <row r="565" spans="1:19">
      <c r="A565" s="14"/>
      <c r="B565" s="9"/>
      <c r="C565" s="10" t="str">
        <f t="shared" si="99"/>
        <v>ANIMATION MANAGER</v>
      </c>
      <c r="D565" s="9"/>
      <c r="E565" s="9" t="str">
        <f t="shared" si="100"/>
        <v>PARINYA PONGSANGIAM</v>
      </c>
      <c r="F565" s="9"/>
      <c r="G565" s="3"/>
      <c r="H565" s="13"/>
      <c r="I565" s="36" t="s">
        <v>539</v>
      </c>
      <c r="J565" s="3"/>
      <c r="K565" s="65" t="s">
        <v>540</v>
      </c>
      <c r="L565" s="3"/>
      <c r="M565" s="8"/>
      <c r="N565" s="13"/>
      <c r="O565" s="8" t="s">
        <v>539</v>
      </c>
      <c r="P565" s="3"/>
      <c r="Q565" s="13" t="s">
        <v>540</v>
      </c>
      <c r="R565" s="3"/>
      <c r="S565" s="1"/>
    </row>
    <row r="566" spans="1:19">
      <c r="A566" s="14"/>
      <c r="B566" s="9"/>
      <c r="C566" s="10" t="str">
        <f t="shared" si="99"/>
        <v>CG MANAGER</v>
      </c>
      <c r="D566" s="9"/>
      <c r="E566" s="9" t="str">
        <f t="shared" si="100"/>
        <v>SASIPORN PANOMMA</v>
      </c>
      <c r="F566" s="9"/>
      <c r="G566" s="3"/>
      <c r="H566" s="13"/>
      <c r="I566" s="36" t="s">
        <v>541</v>
      </c>
      <c r="J566" s="3"/>
      <c r="K566" s="31" t="s">
        <v>542</v>
      </c>
      <c r="L566" s="3"/>
      <c r="M566" s="63"/>
      <c r="N566" s="13"/>
      <c r="O566" s="8" t="s">
        <v>541</v>
      </c>
      <c r="P566" s="3"/>
      <c r="Q566" s="13" t="s">
        <v>542</v>
      </c>
      <c r="R566" s="3"/>
      <c r="S566" s="1"/>
    </row>
    <row r="567" spans="1:19">
      <c r="A567" s="14"/>
      <c r="B567" s="9"/>
      <c r="C567" s="10" t="str">
        <f t="shared" si="99"/>
        <v/>
      </c>
      <c r="D567" s="9"/>
      <c r="E567" s="9" t="str">
        <f t="shared" si="100"/>
        <v/>
      </c>
      <c r="F567" s="9"/>
      <c r="G567" s="3"/>
      <c r="H567" s="13"/>
      <c r="I567" s="36"/>
      <c r="J567" s="3"/>
      <c r="K567" s="31"/>
      <c r="L567" s="3"/>
      <c r="M567" s="8"/>
      <c r="N567" s="13"/>
      <c r="O567" s="8"/>
      <c r="P567" s="3"/>
      <c r="Q567" s="13"/>
      <c r="R567" s="3"/>
      <c r="S567" s="1"/>
    </row>
    <row r="568" spans="1:19">
      <c r="A568" s="14"/>
      <c r="B568" s="9"/>
      <c r="C568" s="10" t="str">
        <f t="shared" si="99"/>
        <v>ASSET COORDINATOR</v>
      </c>
      <c r="D568" s="9"/>
      <c r="E568" s="9" t="str">
        <f t="shared" si="100"/>
        <v>CHUTCHAPHOL KHANTASOPHON</v>
      </c>
      <c r="F568" s="9"/>
      <c r="G568" s="3"/>
      <c r="H568" s="13"/>
      <c r="I568" s="36" t="s">
        <v>543</v>
      </c>
      <c r="J568" s="3"/>
      <c r="K568" s="31" t="s">
        <v>544</v>
      </c>
      <c r="L568" s="3"/>
      <c r="M568" s="8"/>
      <c r="N568" s="13"/>
      <c r="O568" s="8" t="s">
        <v>543</v>
      </c>
      <c r="P568" s="3"/>
      <c r="Q568" s="13" t="s">
        <v>544</v>
      </c>
      <c r="R568" s="3"/>
      <c r="S568" s="1"/>
    </row>
    <row r="569" spans="1:19">
      <c r="A569" s="14"/>
      <c r="B569" s="9"/>
      <c r="C569" s="10" t="str">
        <f t="shared" si="99"/>
        <v/>
      </c>
      <c r="D569" s="9"/>
      <c r="E569" s="9" t="str">
        <f t="shared" si="100"/>
        <v>WARISSARA PETSAKUL</v>
      </c>
      <c r="F569" s="9"/>
      <c r="G569" s="3"/>
      <c r="H569" s="13"/>
      <c r="I569" s="36"/>
      <c r="J569" s="3"/>
      <c r="K569" s="31" t="s">
        <v>545</v>
      </c>
      <c r="L569" s="3"/>
      <c r="M569" s="63"/>
      <c r="N569" s="13"/>
      <c r="O569" s="8"/>
      <c r="P569" s="3"/>
      <c r="Q569" s="13" t="s">
        <v>545</v>
      </c>
      <c r="R569" s="3"/>
      <c r="S569" s="1"/>
    </row>
    <row r="570" spans="1:19">
      <c r="A570" s="14"/>
      <c r="B570" s="9"/>
      <c r="C570" s="10" t="str">
        <f t="shared" si="99"/>
        <v>LAYOUT COORDINATOR</v>
      </c>
      <c r="D570" s="9"/>
      <c r="E570" s="9" t="str">
        <f t="shared" si="100"/>
        <v>PATSAWAN CHUASRITRAKUL</v>
      </c>
      <c r="F570" s="9"/>
      <c r="G570" s="3"/>
      <c r="H570" s="13"/>
      <c r="I570" s="36" t="s">
        <v>546</v>
      </c>
      <c r="J570" s="3"/>
      <c r="K570" s="31" t="s">
        <v>547</v>
      </c>
      <c r="L570" s="3"/>
      <c r="M570" s="8"/>
      <c r="N570" s="13"/>
      <c r="O570" s="8" t="s">
        <v>546</v>
      </c>
      <c r="P570" s="3"/>
      <c r="Q570" s="13" t="s">
        <v>547</v>
      </c>
      <c r="R570" s="3"/>
      <c r="S570" s="1"/>
    </row>
    <row r="571" spans="1:19">
      <c r="A571" s="14"/>
      <c r="B571" s="9"/>
      <c r="C571" s="10" t="str">
        <f t="shared" si="99"/>
        <v>ANIMATION COORDINATOR</v>
      </c>
      <c r="D571" s="9"/>
      <c r="E571" s="9" t="str">
        <f t="shared" si="100"/>
        <v>SAWITA STARPITCHAYANANT</v>
      </c>
      <c r="F571" s="9"/>
      <c r="G571" s="3"/>
      <c r="H571" s="13"/>
      <c r="I571" s="36" t="s">
        <v>548</v>
      </c>
      <c r="J571" s="3"/>
      <c r="K571" s="31" t="s">
        <v>549</v>
      </c>
      <c r="L571" s="3"/>
      <c r="M571" s="8"/>
      <c r="N571" s="13"/>
      <c r="O571" s="8" t="s">
        <v>548</v>
      </c>
      <c r="P571" s="3"/>
      <c r="Q571" s="13" t="s">
        <v>549</v>
      </c>
      <c r="R571" s="3"/>
      <c r="S571" s="1"/>
    </row>
    <row r="572" spans="1:19">
      <c r="A572" s="14"/>
      <c r="B572" s="9"/>
      <c r="C572" s="10" t="str">
        <f t="shared" si="99"/>
        <v/>
      </c>
      <c r="D572" s="9"/>
      <c r="E572" s="9" t="str">
        <f t="shared" si="100"/>
        <v>KUNLAPHAT JEERAMANEEMAI</v>
      </c>
      <c r="F572" s="9"/>
      <c r="G572" s="3"/>
      <c r="H572" s="13"/>
      <c r="I572" s="36"/>
      <c r="J572" s="3"/>
      <c r="K572" s="31" t="s">
        <v>550</v>
      </c>
      <c r="L572" s="3"/>
      <c r="M572" s="8"/>
      <c r="N572" s="13"/>
      <c r="O572" s="8"/>
      <c r="P572" s="3"/>
      <c r="Q572" s="13" t="s">
        <v>550</v>
      </c>
      <c r="R572" s="3"/>
      <c r="S572" s="1"/>
    </row>
    <row r="573" spans="1:19">
      <c r="A573" s="14"/>
      <c r="B573" s="9"/>
      <c r="C573" s="10" t="str">
        <f t="shared" si="99"/>
        <v/>
      </c>
      <c r="D573" s="9"/>
      <c r="E573" s="9" t="str">
        <f t="shared" si="100"/>
        <v>PUNYAWEE TUNGJAISUE</v>
      </c>
      <c r="F573" s="9"/>
      <c r="G573" s="3"/>
      <c r="H573" s="13"/>
      <c r="I573" s="36"/>
      <c r="J573" s="3"/>
      <c r="K573" s="31" t="s">
        <v>551</v>
      </c>
      <c r="L573" s="3"/>
      <c r="M573" s="8"/>
      <c r="N573" s="13"/>
      <c r="O573" s="8"/>
      <c r="P573" s="3"/>
      <c r="Q573" s="13" t="s">
        <v>551</v>
      </c>
      <c r="R573" s="3"/>
      <c r="S573" s="1"/>
    </row>
    <row r="574" spans="1:19">
      <c r="A574" s="14"/>
      <c r="B574" s="9"/>
      <c r="C574" s="10" t="str">
        <f t="shared" si="99"/>
        <v>FX COORDINATOR</v>
      </c>
      <c r="D574" s="9"/>
      <c r="E574" s="9" t="str">
        <f t="shared" si="100"/>
        <v>NAVIPAS SUTTICHONSAKUL</v>
      </c>
      <c r="F574" s="9"/>
      <c r="G574" s="3"/>
      <c r="H574" s="13"/>
      <c r="I574" s="36" t="s">
        <v>552</v>
      </c>
      <c r="J574" s="3"/>
      <c r="K574" s="31" t="s">
        <v>553</v>
      </c>
      <c r="L574" s="3"/>
      <c r="M574" s="8"/>
      <c r="N574" s="13"/>
      <c r="O574" s="8" t="s">
        <v>552</v>
      </c>
      <c r="P574" s="3"/>
      <c r="Q574" s="13" t="s">
        <v>553</v>
      </c>
      <c r="R574" s="3"/>
      <c r="S574" s="1"/>
    </row>
    <row r="575" spans="1:19">
      <c r="A575" s="14"/>
      <c r="B575" s="9"/>
      <c r="C575" s="10" t="str">
        <f t="shared" si="99"/>
        <v>LRC COORDINATOR</v>
      </c>
      <c r="D575" s="9"/>
      <c r="E575" s="9" t="str">
        <f t="shared" si="100"/>
        <v>SUNIDA DANGTHONGKUM</v>
      </c>
      <c r="F575" s="9"/>
      <c r="G575" s="3"/>
      <c r="H575" s="13"/>
      <c r="I575" s="36" t="s">
        <v>554</v>
      </c>
      <c r="J575" s="3"/>
      <c r="K575" s="31" t="s">
        <v>555</v>
      </c>
      <c r="L575" s="3"/>
      <c r="M575" s="8"/>
      <c r="N575" s="13"/>
      <c r="O575" s="8" t="s">
        <v>554</v>
      </c>
      <c r="P575" s="3"/>
      <c r="Q575" s="13" t="s">
        <v>555</v>
      </c>
      <c r="R575" s="3"/>
      <c r="S575" s="1"/>
    </row>
    <row r="576" spans="1:19">
      <c r="A576" s="14"/>
      <c r="B576" s="9"/>
      <c r="C576" s="10" t="str">
        <f t="shared" si="99"/>
        <v>PIPELINE&amp;TD COORDINATOR</v>
      </c>
      <c r="D576" s="9"/>
      <c r="E576" s="9" t="str">
        <f t="shared" si="100"/>
        <v>DANUPHOL JONGARIYAKUL</v>
      </c>
      <c r="F576" s="9"/>
      <c r="G576" s="3"/>
      <c r="H576" s="13"/>
      <c r="I576" s="36" t="s">
        <v>556</v>
      </c>
      <c r="J576" s="3"/>
      <c r="K576" s="31" t="s">
        <v>557</v>
      </c>
      <c r="L576" s="3"/>
      <c r="M576" s="8"/>
      <c r="N576" s="13"/>
      <c r="O576" s="8" t="s">
        <v>556</v>
      </c>
      <c r="P576" s="3"/>
      <c r="Q576" s="13" t="s">
        <v>557</v>
      </c>
      <c r="R576" s="3"/>
      <c r="S576" s="1"/>
    </row>
    <row r="577" spans="1:18">
      <c r="A577" s="14"/>
      <c r="B577" s="9"/>
      <c r="C577" s="10"/>
      <c r="D577" s="9"/>
      <c r="E577" s="9"/>
      <c r="F577" s="9"/>
      <c r="G577" s="3"/>
      <c r="H577" s="13"/>
      <c r="I577" s="36"/>
      <c r="J577" s="3"/>
      <c r="K577" s="31"/>
      <c r="L577" s="3"/>
      <c r="M577" s="8"/>
      <c r="N577" s="47"/>
      <c r="O577" s="21"/>
      <c r="P577" s="20"/>
      <c r="Q577" s="47"/>
      <c r="R577" s="3"/>
    </row>
    <row r="578" spans="1:18">
      <c r="A578" s="14"/>
      <c r="B578" s="11"/>
      <c r="C578" s="12" t="str">
        <f>UPPER(I578)</f>
        <v/>
      </c>
      <c r="D578" s="11"/>
      <c r="E578" s="11" t="str">
        <f>UPPER(K578)</f>
        <v/>
      </c>
      <c r="F578" s="11"/>
      <c r="G578" s="3"/>
      <c r="H578" s="13"/>
      <c r="I578" s="8"/>
      <c r="J578" s="3"/>
      <c r="K578" s="13"/>
      <c r="L578" s="3"/>
      <c r="M578" s="8"/>
      <c r="N578" s="8"/>
      <c r="O578" s="21"/>
      <c r="P578" s="3"/>
      <c r="Q578" s="3"/>
      <c r="R578" s="3"/>
    </row>
    <row r="579" spans="1:18">
      <c r="A579" s="14"/>
      <c r="B579" s="6"/>
      <c r="C579" s="6"/>
      <c r="D579" s="6"/>
      <c r="E579" s="6"/>
      <c r="F579" s="6"/>
      <c r="G579" s="3"/>
      <c r="H579" s="74"/>
      <c r="I579" s="5"/>
      <c r="J579" s="5"/>
      <c r="K579" s="5"/>
      <c r="L579" s="74"/>
      <c r="M579" s="8"/>
      <c r="N579" s="8"/>
      <c r="O579" s="21"/>
      <c r="P579" s="3"/>
      <c r="Q579" s="3"/>
      <c r="R579" s="3"/>
    </row>
    <row r="580" spans="1:18">
      <c r="A580" s="14"/>
      <c r="B580" s="143" t="str">
        <f t="shared" ref="B580:B581" si="101">UPPER(H580)</f>
        <v>PRODUCTION SERVICES PROVIDED BY</v>
      </c>
      <c r="C580" s="141"/>
      <c r="D580" s="141"/>
      <c r="E580" s="141"/>
      <c r="F580" s="141"/>
      <c r="G580" s="3"/>
      <c r="H580" s="145" t="s">
        <v>530</v>
      </c>
      <c r="I580" s="141"/>
      <c r="J580" s="141"/>
      <c r="K580" s="141"/>
      <c r="L580" s="141"/>
      <c r="M580" s="8"/>
      <c r="N580" s="145" t="s">
        <v>940</v>
      </c>
      <c r="O580" s="141"/>
      <c r="P580" s="141"/>
      <c r="Q580" s="141"/>
      <c r="R580" s="141"/>
    </row>
    <row r="581" spans="1:18">
      <c r="A581" s="14"/>
      <c r="B581" s="146" t="str">
        <f t="shared" si="101"/>
        <v>THE MONK STUDIOS</v>
      </c>
      <c r="C581" s="141"/>
      <c r="D581" s="141"/>
      <c r="E581" s="141"/>
      <c r="F581" s="141"/>
      <c r="G581" s="8"/>
      <c r="H581" s="149" t="s">
        <v>202</v>
      </c>
      <c r="I581" s="141"/>
      <c r="J581" s="141"/>
      <c r="K581" s="141"/>
      <c r="L581" s="141"/>
      <c r="M581" s="8"/>
      <c r="N581" s="149" t="s">
        <v>202</v>
      </c>
      <c r="O581" s="141"/>
      <c r="P581" s="141"/>
      <c r="Q581" s="141"/>
      <c r="R581" s="141"/>
    </row>
    <row r="582" spans="1:18">
      <c r="A582" s="14"/>
      <c r="B582" s="6"/>
      <c r="C582" s="6"/>
      <c r="D582" s="6"/>
      <c r="E582" s="6"/>
      <c r="F582" s="6"/>
      <c r="G582" s="3"/>
      <c r="H582" s="74"/>
      <c r="I582" s="5"/>
      <c r="J582" s="5"/>
      <c r="K582" s="5"/>
      <c r="L582" s="74"/>
      <c r="M582" s="8"/>
      <c r="N582" s="74"/>
      <c r="O582" s="5"/>
      <c r="P582" s="5"/>
      <c r="Q582" s="5"/>
      <c r="R582" s="74"/>
    </row>
    <row r="583" spans="1:18">
      <c r="A583" s="14"/>
      <c r="B583" s="146" t="str">
        <f>UPPER(H583)</f>
        <v>PIPELINE &amp; TD</v>
      </c>
      <c r="C583" s="141"/>
      <c r="D583" s="141"/>
      <c r="E583" s="141"/>
      <c r="F583" s="141"/>
      <c r="G583" s="3"/>
      <c r="H583" s="151" t="s">
        <v>558</v>
      </c>
      <c r="I583" s="141"/>
      <c r="J583" s="141"/>
      <c r="K583" s="141"/>
      <c r="L583" s="141"/>
      <c r="M583" s="8"/>
      <c r="N583" s="151" t="s">
        <v>558</v>
      </c>
      <c r="O583" s="141"/>
      <c r="P583" s="141"/>
      <c r="Q583" s="141"/>
      <c r="R583" s="141"/>
    </row>
    <row r="584" spans="1:18">
      <c r="A584" s="14"/>
      <c r="B584" s="9"/>
      <c r="C584" s="10" t="str">
        <f>UPPER(I584)</f>
        <v>HEAD OF PIPELINE</v>
      </c>
      <c r="D584" s="9"/>
      <c r="E584" s="9" t="str">
        <f>UPPER(K584)</f>
        <v>MICHAEL ISARASAK KHANTHAROD</v>
      </c>
      <c r="F584" s="9"/>
      <c r="G584" s="3"/>
      <c r="H584" s="13"/>
      <c r="I584" s="36" t="s">
        <v>561</v>
      </c>
      <c r="J584" s="3"/>
      <c r="K584" s="31" t="s">
        <v>562</v>
      </c>
      <c r="L584" s="3"/>
      <c r="M584" s="8"/>
      <c r="N584" s="13"/>
      <c r="O584" s="8" t="s">
        <v>561</v>
      </c>
      <c r="P584" s="3"/>
      <c r="Q584" s="13" t="s">
        <v>562</v>
      </c>
      <c r="R584" s="3"/>
    </row>
    <row r="585" spans="1:18">
      <c r="A585" s="14"/>
      <c r="B585" s="9"/>
      <c r="C585" s="10"/>
      <c r="D585" s="9"/>
      <c r="E585" s="9"/>
      <c r="F585" s="9"/>
      <c r="G585" s="3"/>
      <c r="H585" s="13"/>
      <c r="I585" s="36"/>
      <c r="J585" s="3"/>
      <c r="K585" s="31"/>
      <c r="L585" s="3"/>
      <c r="M585" s="8"/>
      <c r="N585" s="13"/>
      <c r="O585" s="8"/>
      <c r="P585" s="3"/>
      <c r="Q585" s="13"/>
      <c r="R585" s="3"/>
    </row>
    <row r="586" spans="1:18">
      <c r="A586" s="14"/>
      <c r="B586" s="9"/>
      <c r="C586" s="10" t="str">
        <f t="shared" ref="C586:C603" si="102">UPPER(I586)</f>
        <v>LEAD PIPELINE</v>
      </c>
      <c r="D586" s="9"/>
      <c r="E586" s="9" t="str">
        <f>UPPER(K586)</f>
        <v>SARINPORN PINTUSOPON</v>
      </c>
      <c r="F586" s="9"/>
      <c r="G586" s="3"/>
      <c r="H586" s="13"/>
      <c r="I586" s="36" t="s">
        <v>563</v>
      </c>
      <c r="J586" s="3"/>
      <c r="K586" s="31" t="s">
        <v>564</v>
      </c>
      <c r="L586" s="3"/>
      <c r="M586" s="8"/>
      <c r="N586" s="13"/>
      <c r="O586" s="8" t="s">
        <v>563</v>
      </c>
      <c r="P586" s="3"/>
      <c r="Q586" s="13" t="s">
        <v>564</v>
      </c>
      <c r="R586" s="3"/>
    </row>
    <row r="587" spans="1:18">
      <c r="A587" s="14"/>
      <c r="B587" s="9"/>
      <c r="C587" s="10" t="str">
        <f t="shared" si="102"/>
        <v/>
      </c>
      <c r="D587" s="9"/>
      <c r="E587" s="9"/>
      <c r="F587" s="9"/>
      <c r="G587" s="3"/>
      <c r="H587" s="13"/>
      <c r="I587" s="36"/>
      <c r="J587" s="3"/>
      <c r="K587" s="31"/>
      <c r="L587" s="3"/>
      <c r="M587" s="8"/>
      <c r="N587" s="13"/>
      <c r="O587" s="8"/>
      <c r="P587" s="3"/>
      <c r="Q587" s="13"/>
      <c r="R587" s="3"/>
    </row>
    <row r="588" spans="1:18">
      <c r="A588" s="14"/>
      <c r="B588" s="9"/>
      <c r="C588" s="10" t="str">
        <f t="shared" si="102"/>
        <v>PIPELINE DEVELOPER</v>
      </c>
      <c r="D588" s="9"/>
      <c r="E588" s="9" t="str">
        <f t="shared" ref="E588:E603" si="103">UPPER(K588)</f>
        <v>TANARAT LUANG-ON</v>
      </c>
      <c r="F588" s="9"/>
      <c r="G588" s="3"/>
      <c r="H588" s="13"/>
      <c r="I588" s="36" t="s">
        <v>565</v>
      </c>
      <c r="J588" s="3"/>
      <c r="K588" s="31" t="s">
        <v>566</v>
      </c>
      <c r="L588" s="3"/>
      <c r="M588" s="8"/>
      <c r="N588" s="13"/>
      <c r="O588" s="8" t="s">
        <v>565</v>
      </c>
      <c r="P588" s="3"/>
      <c r="Q588" s="13" t="s">
        <v>566</v>
      </c>
      <c r="R588" s="3"/>
    </row>
    <row r="589" spans="1:18">
      <c r="A589" s="14"/>
      <c r="B589" s="9"/>
      <c r="C589" s="10" t="str">
        <f t="shared" si="102"/>
        <v/>
      </c>
      <c r="D589" s="9"/>
      <c r="E589" s="9" t="str">
        <f t="shared" si="103"/>
        <v>THANYATHON TAYANGKHANON</v>
      </c>
      <c r="F589" s="9"/>
      <c r="G589" s="3"/>
      <c r="H589" s="13"/>
      <c r="I589" s="36"/>
      <c r="J589" s="3"/>
      <c r="K589" s="31" t="s">
        <v>567</v>
      </c>
      <c r="L589" s="3"/>
      <c r="M589" s="8"/>
      <c r="N589" s="13"/>
      <c r="O589" s="8"/>
      <c r="P589" s="3"/>
      <c r="Q589" s="13" t="s">
        <v>567</v>
      </c>
      <c r="R589" s="3"/>
    </row>
    <row r="590" spans="1:18">
      <c r="A590" s="14"/>
      <c r="B590" s="9"/>
      <c r="C590" s="10" t="str">
        <f t="shared" si="102"/>
        <v/>
      </c>
      <c r="D590" s="9"/>
      <c r="E590" s="9" t="str">
        <f t="shared" si="103"/>
        <v>NATTAPONG NILPROHM</v>
      </c>
      <c r="F590" s="9"/>
      <c r="G590" s="3"/>
      <c r="H590" s="13"/>
      <c r="I590" s="36"/>
      <c r="J590" s="3"/>
      <c r="K590" s="22" t="s">
        <v>645</v>
      </c>
      <c r="L590" s="3"/>
      <c r="M590" s="8"/>
      <c r="N590" s="13"/>
      <c r="O590" s="8"/>
      <c r="P590" s="3"/>
      <c r="Q590" s="23" t="s">
        <v>645</v>
      </c>
      <c r="R590" s="3"/>
    </row>
    <row r="591" spans="1:18">
      <c r="A591" s="14"/>
      <c r="B591" s="9"/>
      <c r="C591" s="10" t="str">
        <f t="shared" si="102"/>
        <v/>
      </c>
      <c r="D591" s="9"/>
      <c r="E591" s="9" t="str">
        <f t="shared" si="103"/>
        <v>NUTTAPON VANAKITTISTIEN</v>
      </c>
      <c r="F591" s="9"/>
      <c r="G591" s="3"/>
      <c r="H591" s="13"/>
      <c r="I591" s="36"/>
      <c r="J591" s="3"/>
      <c r="K591" s="31" t="s">
        <v>568</v>
      </c>
      <c r="L591" s="3"/>
      <c r="M591" s="63"/>
      <c r="N591" s="13"/>
      <c r="O591" s="8"/>
      <c r="P591" s="3"/>
      <c r="Q591" s="13" t="s">
        <v>568</v>
      </c>
      <c r="R591" s="3"/>
    </row>
    <row r="592" spans="1:18">
      <c r="A592" s="14"/>
      <c r="B592" s="9"/>
      <c r="C592" s="10" t="str">
        <f t="shared" si="102"/>
        <v/>
      </c>
      <c r="D592" s="9"/>
      <c r="E592" s="9" t="str">
        <f t="shared" si="103"/>
        <v>APISIT SENLUANG</v>
      </c>
      <c r="F592" s="9"/>
      <c r="G592" s="3"/>
      <c r="H592" s="13"/>
      <c r="I592" s="36"/>
      <c r="J592" s="3"/>
      <c r="K592" s="31" t="s">
        <v>569</v>
      </c>
      <c r="L592" s="3"/>
      <c r="M592" s="8"/>
      <c r="N592" s="13"/>
      <c r="O592" s="8"/>
      <c r="P592" s="3"/>
      <c r="Q592" s="13" t="s">
        <v>569</v>
      </c>
      <c r="R592" s="3"/>
    </row>
    <row r="593" spans="1:18">
      <c r="A593" s="14"/>
      <c r="B593" s="9"/>
      <c r="C593" s="10" t="str">
        <f t="shared" si="102"/>
        <v/>
      </c>
      <c r="D593" s="9"/>
      <c r="E593" s="9" t="str">
        <f t="shared" si="103"/>
        <v/>
      </c>
      <c r="F593" s="9"/>
      <c r="G593" s="3"/>
      <c r="H593" s="13"/>
      <c r="I593" s="36"/>
      <c r="J593" s="3"/>
      <c r="K593" s="31"/>
      <c r="L593" s="3"/>
      <c r="M593" s="8"/>
      <c r="N593" s="13"/>
      <c r="O593" s="8"/>
      <c r="P593" s="3"/>
      <c r="Q593" s="13"/>
      <c r="R593" s="3"/>
    </row>
    <row r="594" spans="1:18">
      <c r="A594" s="14"/>
      <c r="B594" s="9"/>
      <c r="C594" s="10" t="str">
        <f t="shared" si="102"/>
        <v>LEAD TECHNICAL DIRECTOR</v>
      </c>
      <c r="D594" s="9"/>
      <c r="E594" s="9" t="str">
        <f t="shared" si="103"/>
        <v>THANAPAT TUMMATI</v>
      </c>
      <c r="F594" s="9"/>
      <c r="G594" s="3"/>
      <c r="H594" s="13"/>
      <c r="I594" s="36" t="s">
        <v>570</v>
      </c>
      <c r="J594" s="3"/>
      <c r="K594" s="31" t="s">
        <v>571</v>
      </c>
      <c r="L594" s="3"/>
      <c r="M594" s="8"/>
      <c r="N594" s="13"/>
      <c r="O594" s="8" t="s">
        <v>570</v>
      </c>
      <c r="P594" s="3"/>
      <c r="Q594" s="13" t="s">
        <v>571</v>
      </c>
      <c r="R594" s="3"/>
    </row>
    <row r="595" spans="1:18">
      <c r="A595" s="14"/>
      <c r="B595" s="9"/>
      <c r="C595" s="10" t="str">
        <f t="shared" si="102"/>
        <v/>
      </c>
      <c r="D595" s="9"/>
      <c r="E595" s="9" t="str">
        <f t="shared" si="103"/>
        <v/>
      </c>
      <c r="F595" s="9"/>
      <c r="G595" s="3"/>
      <c r="H595" s="13"/>
      <c r="I595" s="36"/>
      <c r="J595" s="3"/>
      <c r="K595" s="31"/>
      <c r="L595" s="3"/>
      <c r="M595" s="8"/>
      <c r="N595" s="13"/>
      <c r="O595" s="8"/>
      <c r="P595" s="3"/>
      <c r="Q595" s="13"/>
      <c r="R595" s="3"/>
    </row>
    <row r="596" spans="1:18">
      <c r="A596" s="14"/>
      <c r="B596" s="9"/>
      <c r="C596" s="10" t="str">
        <f t="shared" si="102"/>
        <v>TECHNICAL DIRECTOR</v>
      </c>
      <c r="D596" s="9"/>
      <c r="E596" s="9" t="str">
        <f t="shared" si="103"/>
        <v>TANAWOOT  SINGTHONGPRASERT</v>
      </c>
      <c r="F596" s="9"/>
      <c r="G596" s="3"/>
      <c r="H596" s="13"/>
      <c r="I596" s="36" t="s">
        <v>572</v>
      </c>
      <c r="J596" s="3"/>
      <c r="K596" s="31" t="s">
        <v>646</v>
      </c>
      <c r="L596" s="3"/>
      <c r="M596" s="8"/>
      <c r="N596" s="13"/>
      <c r="O596" s="8" t="s">
        <v>572</v>
      </c>
      <c r="P596" s="3"/>
      <c r="Q596" s="13" t="s">
        <v>646</v>
      </c>
      <c r="R596" s="3"/>
    </row>
    <row r="597" spans="1:18">
      <c r="A597" s="14"/>
      <c r="B597" s="9"/>
      <c r="C597" s="10" t="str">
        <f t="shared" si="102"/>
        <v/>
      </c>
      <c r="D597" s="9"/>
      <c r="E597" s="9" t="str">
        <f t="shared" si="103"/>
        <v>PEERAPAT SRIPENG</v>
      </c>
      <c r="F597" s="9"/>
      <c r="G597" s="3"/>
      <c r="H597" s="13"/>
      <c r="I597" s="36"/>
      <c r="J597" s="3"/>
      <c r="K597" s="31" t="s">
        <v>574</v>
      </c>
      <c r="L597" s="3"/>
      <c r="M597" s="8"/>
      <c r="N597" s="13"/>
      <c r="O597" s="8"/>
      <c r="P597" s="3"/>
      <c r="Q597" s="13" t="s">
        <v>574</v>
      </c>
      <c r="R597" s="3"/>
    </row>
    <row r="598" spans="1:18">
      <c r="A598" s="14"/>
      <c r="B598" s="9"/>
      <c r="C598" s="10" t="str">
        <f t="shared" si="102"/>
        <v/>
      </c>
      <c r="D598" s="9"/>
      <c r="E598" s="9" t="str">
        <f t="shared" si="103"/>
        <v>THIRADA THEETHUM</v>
      </c>
      <c r="F598" s="9"/>
      <c r="G598" s="3"/>
      <c r="H598" s="13"/>
      <c r="I598" s="36"/>
      <c r="J598" s="3"/>
      <c r="K598" s="31" t="s">
        <v>575</v>
      </c>
      <c r="L598" s="3"/>
      <c r="M598" s="8"/>
      <c r="N598" s="13"/>
      <c r="O598" s="8"/>
      <c r="P598" s="3"/>
      <c r="Q598" s="13" t="s">
        <v>575</v>
      </c>
      <c r="R598" s="3"/>
    </row>
    <row r="599" spans="1:18">
      <c r="A599" s="14"/>
      <c r="B599" s="9"/>
      <c r="C599" s="10" t="str">
        <f t="shared" si="102"/>
        <v/>
      </c>
      <c r="D599" s="9"/>
      <c r="E599" s="9" t="str">
        <f t="shared" si="103"/>
        <v>NICHAPAT KACHACHEEWA</v>
      </c>
      <c r="F599" s="9"/>
      <c r="G599" s="3"/>
      <c r="H599" s="13"/>
      <c r="I599" s="36"/>
      <c r="J599" s="3"/>
      <c r="K599" s="31" t="s">
        <v>576</v>
      </c>
      <c r="L599" s="3"/>
      <c r="M599" s="8"/>
      <c r="N599" s="13"/>
      <c r="O599" s="8"/>
      <c r="P599" s="3"/>
      <c r="Q599" s="13" t="s">
        <v>576</v>
      </c>
      <c r="R599" s="3"/>
    </row>
    <row r="600" spans="1:18">
      <c r="A600" s="14"/>
      <c r="B600" s="9"/>
      <c r="C600" s="10" t="str">
        <f t="shared" si="102"/>
        <v/>
      </c>
      <c r="D600" s="9"/>
      <c r="E600" s="9" t="str">
        <f t="shared" si="103"/>
        <v>SUCHADA  KHAMWAN</v>
      </c>
      <c r="F600" s="9"/>
      <c r="G600" s="3"/>
      <c r="H600" s="13"/>
      <c r="I600" s="36"/>
      <c r="J600" s="3"/>
      <c r="K600" s="31" t="s">
        <v>577</v>
      </c>
      <c r="L600" s="3"/>
      <c r="M600" s="8"/>
      <c r="N600" s="13"/>
      <c r="O600" s="8"/>
      <c r="P600" s="3"/>
      <c r="Q600" s="13" t="s">
        <v>577</v>
      </c>
      <c r="R600" s="3"/>
    </row>
    <row r="601" spans="1:18">
      <c r="A601" s="14"/>
      <c r="B601" s="9"/>
      <c r="C601" s="10" t="str">
        <f t="shared" si="102"/>
        <v/>
      </c>
      <c r="D601" s="9"/>
      <c r="E601" s="9" t="str">
        <f t="shared" si="103"/>
        <v/>
      </c>
      <c r="F601" s="9"/>
      <c r="G601" s="3"/>
      <c r="H601" s="13"/>
      <c r="I601" s="36"/>
      <c r="J601" s="3"/>
      <c r="K601" s="31"/>
      <c r="L601" s="3"/>
      <c r="M601" s="8"/>
      <c r="N601" s="13"/>
      <c r="O601" s="8"/>
      <c r="P601" s="3"/>
      <c r="Q601" s="13"/>
      <c r="R601" s="3"/>
    </row>
    <row r="602" spans="1:18">
      <c r="A602" s="14"/>
      <c r="B602" s="9"/>
      <c r="C602" s="10" t="str">
        <f t="shared" si="102"/>
        <v>RIG TECHNICAL DIRECTOR</v>
      </c>
      <c r="D602" s="9"/>
      <c r="E602" s="9" t="str">
        <f t="shared" si="103"/>
        <v>PONGSOPON  SROYSOMWONG</v>
      </c>
      <c r="F602" s="9"/>
      <c r="G602" s="3"/>
      <c r="H602" s="13"/>
      <c r="I602" s="36" t="s">
        <v>578</v>
      </c>
      <c r="J602" s="3"/>
      <c r="K602" s="31" t="s">
        <v>647</v>
      </c>
      <c r="L602" s="3"/>
      <c r="M602" s="8"/>
      <c r="N602" s="13"/>
      <c r="O602" s="8" t="s">
        <v>578</v>
      </c>
      <c r="P602" s="3"/>
      <c r="Q602" s="13" t="s">
        <v>647</v>
      </c>
      <c r="R602" s="3"/>
    </row>
    <row r="603" spans="1:18">
      <c r="A603" s="14"/>
      <c r="B603" s="9"/>
      <c r="C603" s="10" t="str">
        <f t="shared" si="102"/>
        <v/>
      </c>
      <c r="D603" s="9"/>
      <c r="E603" s="9" t="str">
        <f t="shared" si="103"/>
        <v>SARAWUT SUWAN</v>
      </c>
      <c r="F603" s="9"/>
      <c r="G603" s="3"/>
      <c r="H603" s="13"/>
      <c r="I603" s="36"/>
      <c r="J603" s="3"/>
      <c r="K603" s="31" t="s">
        <v>580</v>
      </c>
      <c r="L603" s="3"/>
      <c r="M603" s="8"/>
      <c r="N603" s="13"/>
      <c r="O603" s="8"/>
      <c r="P603" s="3"/>
      <c r="Q603" s="13" t="s">
        <v>580</v>
      </c>
      <c r="R603" s="3"/>
    </row>
    <row r="604" spans="1:18">
      <c r="A604" s="14"/>
      <c r="B604" s="6"/>
      <c r="C604" s="6"/>
      <c r="D604" s="6"/>
      <c r="E604" s="6"/>
      <c r="F604" s="6"/>
      <c r="G604" s="3"/>
      <c r="H604" s="74"/>
      <c r="I604" s="5"/>
      <c r="J604" s="5"/>
      <c r="K604" s="5"/>
      <c r="L604" s="74"/>
      <c r="M604" s="8"/>
      <c r="N604" s="47"/>
      <c r="O604" s="21"/>
      <c r="P604" s="20"/>
      <c r="Q604" s="47"/>
      <c r="R604" s="3"/>
    </row>
    <row r="605" spans="1:18">
      <c r="A605" s="14"/>
      <c r="B605" s="26"/>
      <c r="C605" s="26"/>
      <c r="D605" s="26"/>
      <c r="E605" s="26"/>
      <c r="F605" s="26"/>
      <c r="G605" s="3"/>
      <c r="H605" s="74"/>
      <c r="I605" s="5"/>
      <c r="J605" s="5"/>
      <c r="K605" s="5"/>
      <c r="L605" s="74"/>
      <c r="M605" s="8"/>
      <c r="N605" s="47"/>
      <c r="O605" s="21"/>
      <c r="P605" s="20"/>
      <c r="Q605" s="47"/>
      <c r="R605" s="3"/>
    </row>
    <row r="606" spans="1:18">
      <c r="A606" s="14"/>
      <c r="B606" s="6"/>
      <c r="C606" s="6"/>
      <c r="D606" s="6"/>
      <c r="E606" s="6"/>
      <c r="F606" s="6"/>
      <c r="G606" s="3"/>
      <c r="H606" s="74"/>
      <c r="I606" s="5"/>
      <c r="J606" s="5"/>
      <c r="K606" s="5"/>
      <c r="L606" s="74"/>
      <c r="M606" s="8"/>
      <c r="N606" s="47"/>
      <c r="O606" s="21"/>
      <c r="P606" s="20"/>
      <c r="Q606" s="47"/>
      <c r="R606" s="3"/>
    </row>
    <row r="607" spans="1:18">
      <c r="A607" s="14"/>
      <c r="B607" s="143" t="str">
        <f t="shared" ref="B607:B608" si="104">UPPER(H607)</f>
        <v>PRODUCTION SERVICES PROVIDED BY</v>
      </c>
      <c r="C607" s="141"/>
      <c r="D607" s="141"/>
      <c r="E607" s="141"/>
      <c r="F607" s="141"/>
      <c r="G607" s="3"/>
      <c r="H607" s="145" t="s">
        <v>530</v>
      </c>
      <c r="I607" s="141"/>
      <c r="J607" s="141"/>
      <c r="K607" s="141"/>
      <c r="L607" s="141"/>
      <c r="M607" s="8"/>
      <c r="N607" s="145" t="s">
        <v>940</v>
      </c>
      <c r="O607" s="141"/>
      <c r="P607" s="141"/>
      <c r="Q607" s="141"/>
      <c r="R607" s="141"/>
    </row>
    <row r="608" spans="1:18">
      <c r="A608" s="14"/>
      <c r="B608" s="146" t="str">
        <f t="shared" si="104"/>
        <v>THE MONK STUDIOS</v>
      </c>
      <c r="C608" s="141"/>
      <c r="D608" s="141"/>
      <c r="E608" s="141"/>
      <c r="F608" s="141"/>
      <c r="G608" s="8"/>
      <c r="H608" s="149" t="s">
        <v>202</v>
      </c>
      <c r="I608" s="141"/>
      <c r="J608" s="141"/>
      <c r="K608" s="141"/>
      <c r="L608" s="141"/>
      <c r="M608" s="8"/>
      <c r="N608" s="149" t="s">
        <v>202</v>
      </c>
      <c r="O608" s="141"/>
      <c r="P608" s="141"/>
      <c r="Q608" s="141"/>
      <c r="R608" s="141"/>
    </row>
    <row r="609" spans="1:18">
      <c r="A609" s="14"/>
      <c r="B609" s="9"/>
      <c r="C609" s="10"/>
      <c r="D609" s="9"/>
      <c r="E609" s="9"/>
      <c r="F609" s="9"/>
      <c r="G609" s="3"/>
      <c r="H609" s="13"/>
      <c r="I609" s="8"/>
      <c r="J609" s="3"/>
      <c r="K609" s="13"/>
      <c r="L609" s="3"/>
      <c r="M609" s="8"/>
      <c r="N609" s="13"/>
      <c r="O609" s="8"/>
      <c r="P609" s="3"/>
      <c r="Q609" s="13"/>
      <c r="R609" s="3"/>
    </row>
    <row r="610" spans="1:18">
      <c r="A610" s="14"/>
      <c r="B610" s="146" t="str">
        <f>UPPER(H610)</f>
        <v>IT</v>
      </c>
      <c r="C610" s="141"/>
      <c r="D610" s="141"/>
      <c r="E610" s="141"/>
      <c r="F610" s="141"/>
      <c r="G610" s="3"/>
      <c r="H610" s="151" t="s">
        <v>581</v>
      </c>
      <c r="I610" s="141"/>
      <c r="J610" s="141"/>
      <c r="K610" s="141"/>
      <c r="L610" s="141"/>
      <c r="M610" s="8"/>
      <c r="N610" s="151" t="s">
        <v>581</v>
      </c>
      <c r="O610" s="141"/>
      <c r="P610" s="141"/>
      <c r="Q610" s="141"/>
      <c r="R610" s="141"/>
    </row>
    <row r="611" spans="1:18">
      <c r="A611" s="14"/>
      <c r="B611" s="9"/>
      <c r="C611" s="10" t="str">
        <f t="shared" ref="C611:C616" si="105">UPPER(I611)</f>
        <v>IT DIRECTOR</v>
      </c>
      <c r="D611" s="9"/>
      <c r="E611" s="9" t="str">
        <f t="shared" ref="E611:E616" si="106">UPPER(K611)</f>
        <v>PAKORN CHUTINIMITKUL</v>
      </c>
      <c r="F611" s="9"/>
      <c r="G611" s="3"/>
      <c r="H611" s="13"/>
      <c r="I611" s="30" t="s">
        <v>582</v>
      </c>
      <c r="J611" s="3"/>
      <c r="K611" s="22" t="s">
        <v>583</v>
      </c>
      <c r="L611" s="3"/>
      <c r="M611" s="8"/>
      <c r="N611" s="13"/>
      <c r="O611" s="44" t="s">
        <v>582</v>
      </c>
      <c r="P611" s="3"/>
      <c r="Q611" s="23" t="s">
        <v>583</v>
      </c>
      <c r="R611" s="3"/>
    </row>
    <row r="612" spans="1:18">
      <c r="A612" s="14"/>
      <c r="B612" s="9"/>
      <c r="C612" s="10" t="str">
        <f t="shared" si="105"/>
        <v/>
      </c>
      <c r="D612" s="9"/>
      <c r="E612" s="9" t="str">
        <f t="shared" si="106"/>
        <v/>
      </c>
      <c r="F612" s="9"/>
      <c r="G612" s="3"/>
      <c r="H612" s="13"/>
      <c r="I612" s="30"/>
      <c r="J612" s="3"/>
      <c r="K612" s="22"/>
      <c r="L612" s="3"/>
      <c r="M612" s="8"/>
      <c r="N612" s="13"/>
      <c r="O612" s="44"/>
      <c r="P612" s="3"/>
      <c r="Q612" s="23"/>
      <c r="R612" s="3"/>
    </row>
    <row r="613" spans="1:18">
      <c r="A613" s="14"/>
      <c r="B613" s="9"/>
      <c r="C613" s="10" t="str">
        <f t="shared" si="105"/>
        <v>SYSTEM ENGINEER</v>
      </c>
      <c r="D613" s="9"/>
      <c r="E613" s="9" t="str">
        <f t="shared" si="106"/>
        <v>NATEE KOONJATURAPAT</v>
      </c>
      <c r="F613" s="9"/>
      <c r="G613" s="3"/>
      <c r="H613" s="13"/>
      <c r="I613" s="30" t="s">
        <v>584</v>
      </c>
      <c r="J613" s="3"/>
      <c r="K613" s="22" t="s">
        <v>585</v>
      </c>
      <c r="L613" s="3"/>
      <c r="M613" s="8"/>
      <c r="N613" s="13"/>
      <c r="O613" s="44" t="s">
        <v>584</v>
      </c>
      <c r="P613" s="3"/>
      <c r="Q613" s="23" t="s">
        <v>585</v>
      </c>
      <c r="R613" s="3"/>
    </row>
    <row r="614" spans="1:18">
      <c r="A614" s="14"/>
      <c r="B614" s="9"/>
      <c r="C614" s="10" t="str">
        <f t="shared" si="105"/>
        <v/>
      </c>
      <c r="D614" s="9"/>
      <c r="E614" s="9" t="str">
        <f t="shared" si="106"/>
        <v/>
      </c>
      <c r="F614" s="9"/>
      <c r="G614" s="3"/>
      <c r="H614" s="13"/>
      <c r="I614" s="30"/>
      <c r="J614" s="3"/>
      <c r="K614" s="22"/>
      <c r="L614" s="3"/>
      <c r="M614" s="8"/>
      <c r="N614" s="13"/>
      <c r="O614" s="44"/>
      <c r="P614" s="3"/>
      <c r="Q614" s="23"/>
      <c r="R614" s="3"/>
    </row>
    <row r="615" spans="1:18">
      <c r="A615" s="14"/>
      <c r="B615" s="9"/>
      <c r="C615" s="10" t="str">
        <f t="shared" si="105"/>
        <v>IT SUPPORT</v>
      </c>
      <c r="D615" s="9"/>
      <c r="E615" s="9" t="str">
        <f t="shared" si="106"/>
        <v>CHATCHAI LOHSIRI</v>
      </c>
      <c r="F615" s="9"/>
      <c r="G615" s="3"/>
      <c r="H615" s="13"/>
      <c r="I615" s="30" t="s">
        <v>586</v>
      </c>
      <c r="J615" s="3"/>
      <c r="K615" s="22" t="s">
        <v>587</v>
      </c>
      <c r="L615" s="3"/>
      <c r="M615" s="8"/>
      <c r="N615" s="13"/>
      <c r="O615" s="44" t="s">
        <v>586</v>
      </c>
      <c r="P615" s="3"/>
      <c r="Q615" s="23" t="s">
        <v>587</v>
      </c>
      <c r="R615" s="3"/>
    </row>
    <row r="616" spans="1:18">
      <c r="A616" s="14"/>
      <c r="B616" s="9"/>
      <c r="C616" s="10" t="str">
        <f t="shared" si="105"/>
        <v/>
      </c>
      <c r="D616" s="9"/>
      <c r="E616" s="9" t="str">
        <f t="shared" si="106"/>
        <v>WIMONWAN LERTTHONGKAM</v>
      </c>
      <c r="F616" s="9"/>
      <c r="G616" s="3"/>
      <c r="H616" s="13"/>
      <c r="I616" s="30"/>
      <c r="J616" s="3"/>
      <c r="K616" s="22" t="s">
        <v>588</v>
      </c>
      <c r="L616" s="3"/>
      <c r="M616" s="8"/>
      <c r="N616" s="13"/>
      <c r="O616" s="44"/>
      <c r="P616" s="3"/>
      <c r="Q616" s="23" t="s">
        <v>588</v>
      </c>
      <c r="R616" s="3"/>
    </row>
    <row r="617" spans="1:18">
      <c r="A617" s="14"/>
      <c r="B617" s="9"/>
      <c r="C617" s="10"/>
      <c r="D617" s="9"/>
      <c r="E617" s="9"/>
      <c r="F617" s="9"/>
      <c r="G617" s="3"/>
      <c r="H617" s="13"/>
      <c r="I617" s="30"/>
      <c r="J617" s="3"/>
      <c r="K617" s="22"/>
      <c r="L617" s="3"/>
      <c r="M617" s="8"/>
      <c r="N617" s="13"/>
      <c r="O617" s="44"/>
      <c r="P617" s="3"/>
      <c r="Q617" s="23"/>
      <c r="R617" s="3"/>
    </row>
    <row r="618" spans="1:18">
      <c r="A618" s="14"/>
      <c r="B618" s="11"/>
      <c r="C618" s="12" t="str">
        <f>UPPER(I618)</f>
        <v/>
      </c>
      <c r="D618" s="11"/>
      <c r="E618" s="11" t="str">
        <f>UPPER(K618)</f>
        <v/>
      </c>
      <c r="F618" s="11"/>
      <c r="G618" s="3"/>
      <c r="H618" s="3"/>
      <c r="I618" s="8"/>
      <c r="J618" s="3"/>
      <c r="K618" s="13"/>
      <c r="L618" s="3"/>
      <c r="M618" s="8"/>
      <c r="N618" s="8"/>
      <c r="O618" s="21"/>
      <c r="P618" s="3"/>
      <c r="Q618" s="3"/>
      <c r="R618" s="3"/>
    </row>
    <row r="619" spans="1:18">
      <c r="A619" s="14"/>
      <c r="B619" s="61"/>
      <c r="C619" s="61"/>
      <c r="D619" s="61"/>
      <c r="E619" s="61"/>
      <c r="F619" s="61"/>
      <c r="G619" s="3"/>
      <c r="H619" s="7"/>
      <c r="I619" s="7"/>
      <c r="J619" s="7"/>
      <c r="K619" s="7"/>
      <c r="L619" s="7"/>
      <c r="M619" s="8"/>
      <c r="N619" s="8"/>
      <c r="O619" s="21"/>
      <c r="P619" s="3"/>
      <c r="Q619" s="3"/>
      <c r="R619" s="3"/>
    </row>
    <row r="620" spans="1:18">
      <c r="A620" s="14"/>
      <c r="B620" s="143" t="str">
        <f t="shared" ref="B620:B621" si="107">UPPER(H620)</f>
        <v>PRODUCTION SERVICES PROVIDED BY</v>
      </c>
      <c r="C620" s="141"/>
      <c r="D620" s="141"/>
      <c r="E620" s="141"/>
      <c r="F620" s="141"/>
      <c r="G620" s="3"/>
      <c r="H620" s="145" t="s">
        <v>530</v>
      </c>
      <c r="I620" s="141"/>
      <c r="J620" s="141"/>
      <c r="K620" s="141"/>
      <c r="L620" s="141"/>
      <c r="M620" s="8"/>
      <c r="N620" s="145" t="s">
        <v>940</v>
      </c>
      <c r="O620" s="141"/>
      <c r="P620" s="141"/>
      <c r="Q620" s="141"/>
      <c r="R620" s="141"/>
    </row>
    <row r="621" spans="1:18">
      <c r="A621" s="14"/>
      <c r="B621" s="146" t="str">
        <f t="shared" si="107"/>
        <v>STUDIO GOINDOL INC.</v>
      </c>
      <c r="C621" s="141"/>
      <c r="D621" s="141"/>
      <c r="E621" s="141"/>
      <c r="F621" s="141"/>
      <c r="G621" s="3"/>
      <c r="H621" s="149" t="s">
        <v>176</v>
      </c>
      <c r="I621" s="141"/>
      <c r="J621" s="141"/>
      <c r="K621" s="141"/>
      <c r="L621" s="141"/>
      <c r="M621" s="8"/>
      <c r="N621" s="149" t="s">
        <v>176</v>
      </c>
      <c r="O621" s="141"/>
      <c r="P621" s="141"/>
      <c r="Q621" s="141"/>
      <c r="R621" s="141"/>
    </row>
    <row r="622" spans="1:18">
      <c r="A622" s="14"/>
      <c r="B622" s="6"/>
      <c r="C622" s="6"/>
      <c r="D622" s="6"/>
      <c r="E622" s="6"/>
      <c r="F622" s="6"/>
      <c r="G622" s="3"/>
      <c r="H622" s="5"/>
      <c r="I622" s="5"/>
      <c r="J622" s="5"/>
      <c r="K622" s="5"/>
      <c r="L622" s="5"/>
      <c r="M622" s="8"/>
      <c r="N622" s="15"/>
      <c r="O622" s="15"/>
      <c r="P622" s="15"/>
      <c r="Q622" s="15"/>
      <c r="R622" s="15"/>
    </row>
    <row r="623" spans="1:18">
      <c r="A623" s="14"/>
      <c r="B623" s="146" t="str">
        <f>UPPER(H623)</f>
        <v>STORYBOARD &amp; DESIGN</v>
      </c>
      <c r="C623" s="141"/>
      <c r="D623" s="141"/>
      <c r="E623" s="141"/>
      <c r="F623" s="141"/>
      <c r="G623" s="3"/>
      <c r="H623" s="149" t="s">
        <v>589</v>
      </c>
      <c r="I623" s="141"/>
      <c r="J623" s="141"/>
      <c r="K623" s="141"/>
      <c r="L623" s="141"/>
      <c r="M623" s="8"/>
      <c r="N623" s="149" t="s">
        <v>941</v>
      </c>
      <c r="O623" s="141"/>
      <c r="P623" s="141"/>
      <c r="Q623" s="141"/>
      <c r="R623" s="141"/>
    </row>
    <row r="624" spans="1:18">
      <c r="A624" s="14"/>
      <c r="B624" s="9"/>
      <c r="C624" s="10" t="str">
        <f>UPPER(I624)</f>
        <v>CHIEF PRODUCER</v>
      </c>
      <c r="D624" s="9"/>
      <c r="E624" s="9" t="str">
        <f>UPPER(K624)</f>
        <v>JUNGSOO HUR</v>
      </c>
      <c r="F624" s="9"/>
      <c r="G624" s="3"/>
      <c r="H624" s="3"/>
      <c r="I624" s="8" t="s">
        <v>590</v>
      </c>
      <c r="J624" s="3"/>
      <c r="K624" s="3" t="s">
        <v>591</v>
      </c>
      <c r="L624" s="3"/>
      <c r="M624" s="8"/>
      <c r="N624" s="3"/>
      <c r="O624" s="63" t="s">
        <v>772</v>
      </c>
      <c r="P624" s="3"/>
      <c r="Q624" s="3" t="s">
        <v>942</v>
      </c>
      <c r="R624" s="3"/>
    </row>
    <row r="625" spans="1:18">
      <c r="A625" s="14"/>
      <c r="B625" s="9"/>
      <c r="C625" s="10"/>
      <c r="D625" s="9"/>
      <c r="E625" s="9"/>
      <c r="F625" s="9"/>
      <c r="G625" s="3"/>
      <c r="H625" s="3"/>
      <c r="I625" s="8"/>
      <c r="J625" s="3"/>
      <c r="K625" s="3"/>
      <c r="L625" s="3"/>
      <c r="M625" s="8"/>
      <c r="N625" s="3"/>
      <c r="O625" s="8"/>
      <c r="P625" s="3"/>
      <c r="Q625" s="3"/>
      <c r="R625" s="3"/>
    </row>
    <row r="626" spans="1:18">
      <c r="A626" s="14"/>
      <c r="B626" s="9"/>
      <c r="C626" s="10" t="str">
        <f>UPPER(I626)</f>
        <v>PRODUCER</v>
      </c>
      <c r="D626" s="9"/>
      <c r="E626" s="9" t="str">
        <f>UPPER(K626)</f>
        <v>GEUNJEONG KIM</v>
      </c>
      <c r="F626" s="9"/>
      <c r="G626" s="3"/>
      <c r="H626" s="3"/>
      <c r="I626" s="8" t="s">
        <v>504</v>
      </c>
      <c r="J626" s="3"/>
      <c r="K626" s="3" t="s">
        <v>592</v>
      </c>
      <c r="L626" s="3"/>
      <c r="M626" s="8"/>
      <c r="N626" s="3"/>
      <c r="O626" s="8" t="s">
        <v>773</v>
      </c>
      <c r="P626" s="3"/>
      <c r="Q626" s="3" t="s">
        <v>943</v>
      </c>
      <c r="R626" s="3"/>
    </row>
    <row r="627" spans="1:18">
      <c r="A627" s="14"/>
      <c r="B627" s="9"/>
      <c r="C627" s="10"/>
      <c r="D627" s="9"/>
      <c r="E627" s="9"/>
      <c r="F627" s="9"/>
      <c r="G627" s="3"/>
      <c r="H627" s="3"/>
      <c r="I627" s="8"/>
      <c r="J627" s="3"/>
      <c r="K627" s="3"/>
      <c r="L627" s="3"/>
      <c r="M627" s="8"/>
      <c r="N627" s="3"/>
      <c r="O627" s="8"/>
      <c r="P627" s="3"/>
      <c r="Q627" s="3"/>
      <c r="R627" s="3"/>
    </row>
    <row r="628" spans="1:18">
      <c r="A628" s="14"/>
      <c r="B628" s="9"/>
      <c r="C628" s="10" t="str">
        <f>UPPER(I628)</f>
        <v>COORDINATOR</v>
      </c>
      <c r="D628" s="9"/>
      <c r="E628" s="9" t="str">
        <f>UPPER(K628)</f>
        <v>JOWON JUNG</v>
      </c>
      <c r="F628" s="9"/>
      <c r="G628" s="3"/>
      <c r="H628" s="3"/>
      <c r="I628" s="8" t="s">
        <v>593</v>
      </c>
      <c r="J628" s="3"/>
      <c r="K628" s="3" t="s">
        <v>594</v>
      </c>
      <c r="L628" s="3"/>
      <c r="M628" s="8"/>
      <c r="N628" s="3"/>
      <c r="O628" s="8" t="s">
        <v>944</v>
      </c>
      <c r="P628" s="3"/>
      <c r="Q628" s="3" t="s">
        <v>945</v>
      </c>
      <c r="R628" s="3"/>
    </row>
    <row r="629" spans="1:18">
      <c r="A629" s="14"/>
      <c r="B629" s="9"/>
      <c r="C629" s="10"/>
      <c r="D629" s="9"/>
      <c r="E629" s="9"/>
      <c r="F629" s="9"/>
      <c r="G629" s="3"/>
      <c r="H629" s="3"/>
      <c r="I629" s="8"/>
      <c r="J629" s="3"/>
      <c r="K629" s="3"/>
      <c r="L629" s="3"/>
      <c r="M629" s="8"/>
      <c r="N629" s="3"/>
      <c r="O629" s="8"/>
      <c r="P629" s="3"/>
      <c r="Q629" s="3"/>
      <c r="R629" s="3"/>
    </row>
    <row r="630" spans="1:18">
      <c r="A630" s="14"/>
      <c r="B630" s="9"/>
      <c r="C630" s="10" t="str">
        <f t="shared" ref="C630:C637" si="108">UPPER(I630)</f>
        <v>LEAD DESIGNER</v>
      </c>
      <c r="D630" s="9"/>
      <c r="E630" s="9" t="str">
        <f t="shared" ref="E630:E637" si="109">UPPER(K630)</f>
        <v>WOOJIN SEOK</v>
      </c>
      <c r="F630" s="9"/>
      <c r="G630" s="3"/>
      <c r="H630" s="3"/>
      <c r="I630" s="8" t="s">
        <v>595</v>
      </c>
      <c r="J630" s="3"/>
      <c r="K630" s="3" t="s">
        <v>596</v>
      </c>
      <c r="L630" s="3"/>
      <c r="M630" s="8"/>
      <c r="N630" s="3"/>
      <c r="O630" s="8" t="s">
        <v>946</v>
      </c>
      <c r="P630" s="3"/>
      <c r="Q630" s="3" t="s">
        <v>947</v>
      </c>
      <c r="R630" s="3"/>
    </row>
    <row r="631" spans="1:18">
      <c r="A631" s="14"/>
      <c r="B631" s="9"/>
      <c r="C631" s="10" t="str">
        <f t="shared" si="108"/>
        <v/>
      </c>
      <c r="D631" s="9"/>
      <c r="E631" s="9" t="str">
        <f t="shared" si="109"/>
        <v/>
      </c>
      <c r="F631" s="9"/>
      <c r="G631" s="3"/>
      <c r="H631" s="3"/>
      <c r="I631" s="8"/>
      <c r="J631" s="3"/>
      <c r="K631" s="3"/>
      <c r="L631" s="3"/>
      <c r="M631" s="8"/>
      <c r="N631" s="3"/>
      <c r="O631" s="8"/>
      <c r="P631" s="3"/>
      <c r="Q631" s="3"/>
      <c r="R631" s="3"/>
    </row>
    <row r="632" spans="1:18">
      <c r="A632" s="14"/>
      <c r="B632" s="9"/>
      <c r="C632" s="10" t="str">
        <f t="shared" si="108"/>
        <v>DESIGNER</v>
      </c>
      <c r="D632" s="9"/>
      <c r="E632" s="9" t="str">
        <f t="shared" si="109"/>
        <v>JIHYUN KIM</v>
      </c>
      <c r="F632" s="9"/>
      <c r="G632" s="3"/>
      <c r="H632" s="3"/>
      <c r="I632" s="8" t="s">
        <v>597</v>
      </c>
      <c r="J632" s="3"/>
      <c r="K632" s="3" t="s">
        <v>598</v>
      </c>
      <c r="L632" s="3"/>
      <c r="M632" s="8"/>
      <c r="N632" s="3"/>
      <c r="O632" s="8" t="s">
        <v>948</v>
      </c>
      <c r="P632" s="3"/>
      <c r="Q632" s="3" t="s">
        <v>771</v>
      </c>
      <c r="R632" s="3"/>
    </row>
    <row r="633" spans="1:18">
      <c r="A633" s="14"/>
      <c r="B633" s="9"/>
      <c r="C633" s="10" t="str">
        <f t="shared" si="108"/>
        <v/>
      </c>
      <c r="D633" s="9"/>
      <c r="E633" s="9" t="str">
        <f t="shared" si="109"/>
        <v>MINCHANG KIM</v>
      </c>
      <c r="F633" s="9"/>
      <c r="G633" s="3"/>
      <c r="H633" s="3"/>
      <c r="I633" s="8"/>
      <c r="J633" s="3"/>
      <c r="K633" s="3" t="s">
        <v>599</v>
      </c>
      <c r="L633" s="3"/>
      <c r="M633" s="8"/>
      <c r="N633" s="3"/>
      <c r="O633" s="3"/>
      <c r="P633" s="3"/>
      <c r="Q633" s="3" t="s">
        <v>949</v>
      </c>
      <c r="R633" s="3"/>
    </row>
    <row r="634" spans="1:18">
      <c r="A634" s="14"/>
      <c r="B634" s="9"/>
      <c r="C634" s="10" t="str">
        <f t="shared" si="108"/>
        <v/>
      </c>
      <c r="D634" s="9"/>
      <c r="E634" s="9" t="str">
        <f t="shared" si="109"/>
        <v>JAEWOOK JOO</v>
      </c>
      <c r="F634" s="9"/>
      <c r="G634" s="3"/>
      <c r="H634" s="3"/>
      <c r="I634" s="8"/>
      <c r="J634" s="3"/>
      <c r="K634" s="3" t="s">
        <v>600</v>
      </c>
      <c r="L634" s="3"/>
      <c r="M634" s="8"/>
      <c r="N634" s="3"/>
      <c r="O634" s="3"/>
      <c r="P634" s="3"/>
      <c r="Q634" s="3" t="s">
        <v>950</v>
      </c>
      <c r="R634" s="3"/>
    </row>
    <row r="635" spans="1:18">
      <c r="A635" s="14"/>
      <c r="B635" s="9"/>
      <c r="C635" s="10" t="str">
        <f t="shared" si="108"/>
        <v/>
      </c>
      <c r="D635" s="9"/>
      <c r="E635" s="9" t="str">
        <f t="shared" si="109"/>
        <v>NAMOK EU</v>
      </c>
      <c r="F635" s="9"/>
      <c r="G635" s="3"/>
      <c r="H635" s="3"/>
      <c r="I635" s="8"/>
      <c r="J635" s="3"/>
      <c r="K635" s="3" t="s">
        <v>601</v>
      </c>
      <c r="L635" s="3"/>
      <c r="M635" s="8"/>
      <c r="N635" s="3"/>
      <c r="O635" s="3"/>
      <c r="P635" s="3"/>
      <c r="Q635" s="3" t="s">
        <v>951</v>
      </c>
      <c r="R635" s="3"/>
    </row>
    <row r="636" spans="1:18">
      <c r="A636" s="14"/>
      <c r="B636" s="9"/>
      <c r="C636" s="10" t="str">
        <f t="shared" si="108"/>
        <v/>
      </c>
      <c r="D636" s="9"/>
      <c r="E636" s="9" t="str">
        <f t="shared" si="109"/>
        <v>DAI JEONG</v>
      </c>
      <c r="F636" s="9"/>
      <c r="G636" s="3"/>
      <c r="H636" s="3"/>
      <c r="I636" s="8"/>
      <c r="J636" s="3"/>
      <c r="K636" s="3" t="s">
        <v>602</v>
      </c>
      <c r="L636" s="3"/>
      <c r="M636" s="8"/>
      <c r="N636" s="3"/>
      <c r="O636" s="3"/>
      <c r="P636" s="3"/>
      <c r="Q636" s="3" t="s">
        <v>952</v>
      </c>
      <c r="R636" s="3"/>
    </row>
    <row r="637" spans="1:18">
      <c r="A637" s="14"/>
      <c r="B637" s="9"/>
      <c r="C637" s="10" t="str">
        <f t="shared" si="108"/>
        <v/>
      </c>
      <c r="D637" s="9"/>
      <c r="E637" s="9" t="str">
        <f t="shared" si="109"/>
        <v/>
      </c>
      <c r="F637" s="9"/>
      <c r="G637" s="3"/>
      <c r="H637" s="3"/>
      <c r="I637" s="8"/>
      <c r="J637" s="3"/>
      <c r="K637" s="3"/>
      <c r="L637" s="3"/>
      <c r="M637" s="8"/>
      <c r="N637" s="8"/>
      <c r="O637" s="21"/>
      <c r="P637" s="3"/>
      <c r="Q637" s="3"/>
      <c r="R637" s="3"/>
    </row>
    <row r="638" spans="1:18">
      <c r="A638" s="14"/>
      <c r="B638" s="3"/>
      <c r="C638" s="12"/>
      <c r="D638" s="3"/>
      <c r="E638" s="11"/>
      <c r="F638" s="3"/>
      <c r="G638" s="3"/>
      <c r="H638" s="8"/>
      <c r="I638" s="8"/>
      <c r="J638" s="8"/>
      <c r="K638" s="13"/>
      <c r="L638" s="8"/>
      <c r="M638" s="12"/>
      <c r="N638" s="12"/>
      <c r="O638" s="21"/>
      <c r="P638" s="3"/>
      <c r="Q638" s="3"/>
      <c r="R638" s="3"/>
    </row>
    <row r="639" spans="1:18">
      <c r="A639" s="14"/>
      <c r="B639" s="3"/>
      <c r="C639" s="12" t="str">
        <f>UPPER(I639)</f>
        <v/>
      </c>
      <c r="D639" s="11"/>
      <c r="E639" s="11" t="str">
        <f>UPPER(K639)</f>
        <v/>
      </c>
      <c r="F639" s="3"/>
      <c r="G639" s="3"/>
      <c r="H639" s="8"/>
      <c r="I639" s="8"/>
      <c r="J639" s="8"/>
      <c r="K639" s="13"/>
      <c r="L639" s="8"/>
      <c r="M639" s="12"/>
      <c r="N639" s="12"/>
      <c r="O639" s="21"/>
      <c r="P639" s="3"/>
      <c r="Q639" s="3"/>
      <c r="R639" s="3"/>
    </row>
    <row r="640" spans="1:18">
      <c r="A640" s="14"/>
      <c r="B640" s="3"/>
      <c r="C640" s="3"/>
      <c r="D640" s="3"/>
      <c r="E640" s="3"/>
      <c r="F640" s="3"/>
      <c r="G640" s="3"/>
      <c r="H640" s="3"/>
      <c r="I640" s="8"/>
      <c r="J640" s="3"/>
      <c r="K640" s="3"/>
      <c r="L640" s="3"/>
      <c r="M640" s="3"/>
      <c r="N640" s="3"/>
      <c r="O640" s="21"/>
      <c r="P640" s="3"/>
      <c r="Q640" s="3"/>
      <c r="R640" s="3"/>
    </row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</sheetData>
  <mergeCells count="209">
    <mergeCell ref="H442:L442"/>
    <mergeCell ref="B449:F449"/>
    <mergeCell ref="H449:L449"/>
    <mergeCell ref="H450:L450"/>
    <mergeCell ref="H453:L453"/>
    <mergeCell ref="B450:F450"/>
    <mergeCell ref="B462:F462"/>
    <mergeCell ref="H462:L462"/>
    <mergeCell ref="B463:F463"/>
    <mergeCell ref="H463:L463"/>
    <mergeCell ref="B464:F464"/>
    <mergeCell ref="H464:L464"/>
    <mergeCell ref="N551:R551"/>
    <mergeCell ref="N552:R552"/>
    <mergeCell ref="B525:F525"/>
    <mergeCell ref="H525:L525"/>
    <mergeCell ref="N525:R525"/>
    <mergeCell ref="B551:F551"/>
    <mergeCell ref="H551:L551"/>
    <mergeCell ref="B552:F552"/>
    <mergeCell ref="H552:L552"/>
    <mergeCell ref="N510:R510"/>
    <mergeCell ref="N511:R511"/>
    <mergeCell ref="B499:F499"/>
    <mergeCell ref="H499:L499"/>
    <mergeCell ref="N499:R499"/>
    <mergeCell ref="B510:F510"/>
    <mergeCell ref="H510:L510"/>
    <mergeCell ref="B511:F511"/>
    <mergeCell ref="H511:L511"/>
    <mergeCell ref="N580:R580"/>
    <mergeCell ref="N581:R581"/>
    <mergeCell ref="B554:F554"/>
    <mergeCell ref="H554:L554"/>
    <mergeCell ref="N554:R554"/>
    <mergeCell ref="B580:F580"/>
    <mergeCell ref="H580:L580"/>
    <mergeCell ref="B581:F581"/>
    <mergeCell ref="H581:L581"/>
    <mergeCell ref="N607:R607"/>
    <mergeCell ref="N608:R608"/>
    <mergeCell ref="B583:F583"/>
    <mergeCell ref="H583:L583"/>
    <mergeCell ref="N583:R583"/>
    <mergeCell ref="B607:F607"/>
    <mergeCell ref="H607:L607"/>
    <mergeCell ref="B608:F608"/>
    <mergeCell ref="H608:L608"/>
    <mergeCell ref="N620:R620"/>
    <mergeCell ref="N621:R621"/>
    <mergeCell ref="B610:F610"/>
    <mergeCell ref="H610:L610"/>
    <mergeCell ref="N610:R610"/>
    <mergeCell ref="B620:F620"/>
    <mergeCell ref="H620:L620"/>
    <mergeCell ref="B621:F621"/>
    <mergeCell ref="H621:L621"/>
    <mergeCell ref="B356:F356"/>
    <mergeCell ref="H356:L356"/>
    <mergeCell ref="N356:R356"/>
    <mergeCell ref="B372:F372"/>
    <mergeCell ref="H372:L372"/>
    <mergeCell ref="N372:R372"/>
    <mergeCell ref="N377:R377"/>
    <mergeCell ref="B378:F378"/>
    <mergeCell ref="H378:L378"/>
    <mergeCell ref="N378:R378"/>
    <mergeCell ref="H419:L419"/>
    <mergeCell ref="N419:R419"/>
    <mergeCell ref="B437:F437"/>
    <mergeCell ref="H437:L437"/>
    <mergeCell ref="B438:F438"/>
    <mergeCell ref="B439:F439"/>
    <mergeCell ref="N439:R439"/>
    <mergeCell ref="N383:R383"/>
    <mergeCell ref="B385:F385"/>
    <mergeCell ref="H385:L385"/>
    <mergeCell ref="N385:R385"/>
    <mergeCell ref="H418:L418"/>
    <mergeCell ref="N418:R418"/>
    <mergeCell ref="B398:F398"/>
    <mergeCell ref="H398:L398"/>
    <mergeCell ref="N398:R398"/>
    <mergeCell ref="B399:F399"/>
    <mergeCell ref="H399:L399"/>
    <mergeCell ref="N399:R399"/>
    <mergeCell ref="B418:F418"/>
    <mergeCell ref="H438:L438"/>
    <mergeCell ref="H439:L439"/>
    <mergeCell ref="B623:F623"/>
    <mergeCell ref="H623:L623"/>
    <mergeCell ref="N623:R623"/>
    <mergeCell ref="A1:R2"/>
    <mergeCell ref="B4:F4"/>
    <mergeCell ref="H4:L4"/>
    <mergeCell ref="N4:R4"/>
    <mergeCell ref="B27:F27"/>
    <mergeCell ref="H27:L27"/>
    <mergeCell ref="N27:R27"/>
    <mergeCell ref="B53:F53"/>
    <mergeCell ref="H53:L53"/>
    <mergeCell ref="N53:R53"/>
    <mergeCell ref="B54:F54"/>
    <mergeCell ref="H54:L54"/>
    <mergeCell ref="N54:R54"/>
    <mergeCell ref="H72:L72"/>
    <mergeCell ref="B72:F72"/>
    <mergeCell ref="B73:F73"/>
    <mergeCell ref="H73:L73"/>
    <mergeCell ref="N73:R73"/>
    <mergeCell ref="B85:F85"/>
    <mergeCell ref="H85:L85"/>
    <mergeCell ref="N85:R85"/>
    <mergeCell ref="N107:R107"/>
    <mergeCell ref="N108:R108"/>
    <mergeCell ref="B94:F94"/>
    <mergeCell ref="H94:L94"/>
    <mergeCell ref="N94:R94"/>
    <mergeCell ref="B107:F107"/>
    <mergeCell ref="H107:L107"/>
    <mergeCell ref="B108:F108"/>
    <mergeCell ref="H108:L108"/>
    <mergeCell ref="H156:L156"/>
    <mergeCell ref="N156:R156"/>
    <mergeCell ref="B134:F134"/>
    <mergeCell ref="H134:L134"/>
    <mergeCell ref="N134:R134"/>
    <mergeCell ref="B135:F135"/>
    <mergeCell ref="H135:L135"/>
    <mergeCell ref="N135:R135"/>
    <mergeCell ref="B156:F156"/>
    <mergeCell ref="N256:R256"/>
    <mergeCell ref="N257:R257"/>
    <mergeCell ref="B242:F242"/>
    <mergeCell ref="H242:L242"/>
    <mergeCell ref="N242:R242"/>
    <mergeCell ref="B256:F256"/>
    <mergeCell ref="H256:L256"/>
    <mergeCell ref="B257:F257"/>
    <mergeCell ref="H257:L257"/>
    <mergeCell ref="H287:L287"/>
    <mergeCell ref="N287:R287"/>
    <mergeCell ref="B271:F271"/>
    <mergeCell ref="H271:L271"/>
    <mergeCell ref="N271:R271"/>
    <mergeCell ref="B272:F272"/>
    <mergeCell ref="H272:L272"/>
    <mergeCell ref="N272:R272"/>
    <mergeCell ref="B287:F287"/>
    <mergeCell ref="H316:L316"/>
    <mergeCell ref="N316:R316"/>
    <mergeCell ref="B288:F288"/>
    <mergeCell ref="H288:L288"/>
    <mergeCell ref="N288:R288"/>
    <mergeCell ref="B310:F310"/>
    <mergeCell ref="H310:L310"/>
    <mergeCell ref="N310:R310"/>
    <mergeCell ref="B316:F316"/>
    <mergeCell ref="N176:R176"/>
    <mergeCell ref="N177:R177"/>
    <mergeCell ref="B157:F157"/>
    <mergeCell ref="H157:L157"/>
    <mergeCell ref="N157:R157"/>
    <mergeCell ref="B176:F176"/>
    <mergeCell ref="H176:L176"/>
    <mergeCell ref="B177:F177"/>
    <mergeCell ref="H177:L177"/>
    <mergeCell ref="H205:L205"/>
    <mergeCell ref="N205:R205"/>
    <mergeCell ref="B189:F189"/>
    <mergeCell ref="H189:L189"/>
    <mergeCell ref="N189:R189"/>
    <mergeCell ref="B193:F193"/>
    <mergeCell ref="H193:L193"/>
    <mergeCell ref="N193:R193"/>
    <mergeCell ref="B205:F205"/>
    <mergeCell ref="N232:R232"/>
    <mergeCell ref="N233:R233"/>
    <mergeCell ref="B210:F210"/>
    <mergeCell ref="H210:L210"/>
    <mergeCell ref="N210:R210"/>
    <mergeCell ref="B232:F232"/>
    <mergeCell ref="H232:L232"/>
    <mergeCell ref="B233:F233"/>
    <mergeCell ref="H233:L233"/>
    <mergeCell ref="B319:F319"/>
    <mergeCell ref="B333:F333"/>
    <mergeCell ref="H333:L333"/>
    <mergeCell ref="N333:R333"/>
    <mergeCell ref="B334:F334"/>
    <mergeCell ref="H334:L334"/>
    <mergeCell ref="N334:R334"/>
    <mergeCell ref="N483:R483"/>
    <mergeCell ref="N484:R484"/>
    <mergeCell ref="B482:F482"/>
    <mergeCell ref="H482:L482"/>
    <mergeCell ref="N482:R482"/>
    <mergeCell ref="B483:F483"/>
    <mergeCell ref="H483:L483"/>
    <mergeCell ref="B484:F484"/>
    <mergeCell ref="H484:L484"/>
    <mergeCell ref="N437:R437"/>
    <mergeCell ref="N438:R438"/>
    <mergeCell ref="N449:R449"/>
    <mergeCell ref="N450:R450"/>
    <mergeCell ref="N462:R462"/>
    <mergeCell ref="N463:R463"/>
    <mergeCell ref="N464:R464"/>
    <mergeCell ref="B419:F419"/>
  </mergeCells>
  <phoneticPr fontId="5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R746"/>
  <sheetViews>
    <sheetView workbookViewId="0">
      <pane ySplit="2" topLeftCell="A3" activePane="bottomLeft" state="frozen"/>
      <selection pane="bottomLeft" sqref="A1:R2"/>
    </sheetView>
  </sheetViews>
  <sheetFormatPr defaultColWidth="12.5703125" defaultRowHeight="15.75" customHeight="1"/>
  <cols>
    <col min="1" max="1" width="2.5703125" customWidth="1"/>
    <col min="2" max="3" width="18.85546875" customWidth="1"/>
    <col min="4" max="4" width="1.42578125" customWidth="1"/>
    <col min="5" max="6" width="18.85546875" customWidth="1"/>
    <col min="7" max="7" width="1.42578125" customWidth="1"/>
    <col min="8" max="9" width="18.85546875" customWidth="1"/>
    <col min="10" max="10" width="1.42578125" customWidth="1"/>
    <col min="11" max="12" width="18.85546875" customWidth="1"/>
    <col min="13" max="13" width="1.42578125" customWidth="1"/>
    <col min="16" max="16" width="1.42578125" customWidth="1"/>
  </cols>
  <sheetData>
    <row r="1" spans="1:18">
      <c r="A1" s="152" t="s">
        <v>648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</row>
    <row r="2" spans="1:18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</row>
    <row r="3" spans="1:18">
      <c r="A3" s="1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16"/>
      <c r="P3" s="5"/>
      <c r="Q3" s="5"/>
      <c r="R3" s="5"/>
    </row>
    <row r="4" spans="1:18">
      <c r="A4" s="14"/>
      <c r="B4" s="150" t="str">
        <f>UPPER(H4)</f>
        <v>VOICE</v>
      </c>
      <c r="C4" s="141"/>
      <c r="D4" s="141"/>
      <c r="E4" s="141"/>
      <c r="F4" s="141"/>
      <c r="G4" s="18"/>
      <c r="H4" s="167" t="s">
        <v>157</v>
      </c>
      <c r="I4" s="141"/>
      <c r="J4" s="141"/>
      <c r="K4" s="141"/>
      <c r="L4" s="141"/>
      <c r="M4" s="18"/>
      <c r="N4" s="149" t="s">
        <v>777</v>
      </c>
      <c r="O4" s="141"/>
      <c r="P4" s="141"/>
      <c r="Q4" s="141"/>
      <c r="R4" s="141"/>
    </row>
    <row r="5" spans="1:18">
      <c r="A5" s="14"/>
      <c r="B5" s="9"/>
      <c r="C5" s="10" t="str">
        <f t="shared" ref="C5:C24" si="0">UPPER(I5)</f>
        <v>MICHAEL</v>
      </c>
      <c r="D5" s="9"/>
      <c r="E5" s="9" t="str">
        <f t="shared" ref="E5:E23" si="1">UPPER(K5)</f>
        <v>MARC THOMPSON</v>
      </c>
      <c r="F5" s="9"/>
      <c r="G5" s="3"/>
      <c r="H5" s="3"/>
      <c r="I5" s="44" t="s">
        <v>158</v>
      </c>
      <c r="J5" s="14"/>
      <c r="K5" s="24" t="s">
        <v>10</v>
      </c>
      <c r="L5" s="3"/>
      <c r="M5" s="8"/>
      <c r="N5" s="8"/>
      <c r="O5" s="21" t="s">
        <v>778</v>
      </c>
      <c r="P5" s="3"/>
      <c r="Q5" s="3" t="s">
        <v>117</v>
      </c>
      <c r="R5" s="3"/>
    </row>
    <row r="6" spans="1:18">
      <c r="A6" s="14"/>
      <c r="B6" s="9"/>
      <c r="C6" s="10" t="str">
        <f t="shared" si="0"/>
        <v>LUCY</v>
      </c>
      <c r="D6" s="9"/>
      <c r="E6" s="9" t="str">
        <f t="shared" si="1"/>
        <v>SAMANTHA COOPER</v>
      </c>
      <c r="F6" s="9"/>
      <c r="G6" s="3"/>
      <c r="H6" s="3"/>
      <c r="I6" s="44" t="s">
        <v>159</v>
      </c>
      <c r="J6" s="14"/>
      <c r="K6" s="24" t="s">
        <v>37</v>
      </c>
      <c r="L6" s="3"/>
      <c r="M6" s="8"/>
      <c r="N6" s="8"/>
      <c r="O6" s="21" t="s">
        <v>779</v>
      </c>
      <c r="P6" s="3"/>
      <c r="Q6" s="3" t="s">
        <v>118</v>
      </c>
      <c r="R6" s="3"/>
    </row>
    <row r="7" spans="1:18">
      <c r="A7" s="14"/>
      <c r="B7" s="9"/>
      <c r="C7" s="10" t="str">
        <f t="shared" si="0"/>
        <v>NICK</v>
      </c>
      <c r="D7" s="9"/>
      <c r="E7" s="9" t="str">
        <f t="shared" si="1"/>
        <v>JAMES BROWN JR</v>
      </c>
      <c r="F7" s="9"/>
      <c r="G7" s="3"/>
      <c r="H7" s="3"/>
      <c r="I7" s="44" t="s">
        <v>42</v>
      </c>
      <c r="J7" s="14"/>
      <c r="K7" s="24" t="s">
        <v>43</v>
      </c>
      <c r="L7" s="3"/>
      <c r="M7" s="8"/>
      <c r="N7" s="8"/>
      <c r="O7" s="21" t="s">
        <v>119</v>
      </c>
      <c r="P7" s="3"/>
      <c r="Q7" s="3" t="s">
        <v>120</v>
      </c>
      <c r="R7" s="3"/>
    </row>
    <row r="8" spans="1:18">
      <c r="A8" s="14"/>
      <c r="B8" s="9"/>
      <c r="C8" s="10" t="str">
        <f t="shared" si="0"/>
        <v>CRYING MAN</v>
      </c>
      <c r="D8" s="9"/>
      <c r="E8" s="9" t="str">
        <f t="shared" si="1"/>
        <v>BARRETT LEDDY</v>
      </c>
      <c r="F8" s="9"/>
      <c r="G8" s="3"/>
      <c r="H8" s="3"/>
      <c r="I8" s="44" t="s">
        <v>0</v>
      </c>
      <c r="J8" s="14"/>
      <c r="K8" s="24" t="s">
        <v>1</v>
      </c>
      <c r="L8" s="3"/>
      <c r="M8" s="8"/>
      <c r="N8" s="8"/>
      <c r="O8" s="21" t="s">
        <v>74</v>
      </c>
      <c r="P8" s="3"/>
      <c r="Q8" s="3" t="s">
        <v>75</v>
      </c>
      <c r="R8" s="3"/>
    </row>
    <row r="9" spans="1:18">
      <c r="A9" s="14"/>
      <c r="B9" s="9"/>
      <c r="C9" s="10" t="str">
        <f t="shared" si="0"/>
        <v>GINSENG MAN</v>
      </c>
      <c r="D9" s="9"/>
      <c r="E9" s="9" t="str">
        <f t="shared" si="1"/>
        <v>JASON GRIFFITH</v>
      </c>
      <c r="F9" s="9"/>
      <c r="G9" s="3"/>
      <c r="H9" s="3"/>
      <c r="I9" s="44" t="s">
        <v>22</v>
      </c>
      <c r="J9" s="14"/>
      <c r="K9" s="24" t="s">
        <v>23</v>
      </c>
      <c r="L9" s="3"/>
      <c r="M9" s="8"/>
      <c r="N9" s="8"/>
      <c r="O9" s="21" t="s">
        <v>97</v>
      </c>
      <c r="P9" s="3"/>
      <c r="Q9" s="3" t="s">
        <v>81</v>
      </c>
      <c r="R9" s="3"/>
    </row>
    <row r="10" spans="1:18">
      <c r="A10" s="14"/>
      <c r="B10" s="9"/>
      <c r="C10" s="10" t="str">
        <f t="shared" si="0"/>
        <v>TARA</v>
      </c>
      <c r="D10" s="9"/>
      <c r="E10" s="9" t="str">
        <f t="shared" si="1"/>
        <v>JUSTIS BOLDING</v>
      </c>
      <c r="F10" s="9"/>
      <c r="G10" s="3"/>
      <c r="H10" s="3"/>
      <c r="I10" s="44" t="s">
        <v>44</v>
      </c>
      <c r="J10" s="14"/>
      <c r="K10" s="24" t="s">
        <v>45</v>
      </c>
      <c r="L10" s="3"/>
      <c r="M10" s="8"/>
      <c r="N10" s="8"/>
      <c r="O10" s="21" t="s">
        <v>121</v>
      </c>
      <c r="P10" s="3"/>
      <c r="Q10" s="3" t="s">
        <v>87</v>
      </c>
      <c r="R10" s="3"/>
    </row>
    <row r="11" spans="1:18">
      <c r="A11" s="14"/>
      <c r="B11" s="9"/>
      <c r="C11" s="10" t="str">
        <f t="shared" si="0"/>
        <v>KRISTA</v>
      </c>
      <c r="D11" s="9"/>
      <c r="E11" s="9" t="str">
        <f t="shared" si="1"/>
        <v>ZURI WASHINGTON</v>
      </c>
      <c r="F11" s="9"/>
      <c r="G11" s="3"/>
      <c r="H11" s="3"/>
      <c r="I11" s="30" t="s">
        <v>163</v>
      </c>
      <c r="J11" s="24"/>
      <c r="K11" s="24" t="s">
        <v>47</v>
      </c>
      <c r="L11" s="3"/>
      <c r="M11" s="8"/>
      <c r="N11" s="8"/>
      <c r="O11" s="21" t="s">
        <v>123</v>
      </c>
      <c r="P11" s="3"/>
      <c r="Q11" s="3" t="s">
        <v>87</v>
      </c>
      <c r="R11" s="3"/>
    </row>
    <row r="12" spans="1:18">
      <c r="A12" s="14"/>
      <c r="B12" s="9"/>
      <c r="C12" s="10" t="str">
        <f t="shared" si="0"/>
        <v>TIMO</v>
      </c>
      <c r="D12" s="9"/>
      <c r="E12" s="9" t="str">
        <f t="shared" si="1"/>
        <v>AMANDA HUFFORD</v>
      </c>
      <c r="F12" s="9"/>
      <c r="G12" s="3"/>
      <c r="H12" s="3"/>
      <c r="I12" s="30" t="s">
        <v>46</v>
      </c>
      <c r="J12" s="14"/>
      <c r="K12" s="24" t="s">
        <v>18</v>
      </c>
      <c r="L12" s="3"/>
      <c r="M12" s="8"/>
      <c r="N12" s="8"/>
      <c r="O12" s="21" t="s">
        <v>122</v>
      </c>
      <c r="P12" s="3"/>
      <c r="Q12" s="3" t="s">
        <v>87</v>
      </c>
      <c r="R12" s="3"/>
    </row>
    <row r="13" spans="1:18">
      <c r="A13" s="14"/>
      <c r="B13" s="9"/>
      <c r="C13" s="10" t="str">
        <f t="shared" si="0"/>
        <v>FIRE HEAD</v>
      </c>
      <c r="D13" s="9"/>
      <c r="E13" s="9" t="str">
        <f t="shared" si="1"/>
        <v>ERICA SCHROEDER</v>
      </c>
      <c r="F13" s="9"/>
      <c r="G13" s="3"/>
      <c r="H13" s="3"/>
      <c r="I13" s="30" t="s">
        <v>15</v>
      </c>
      <c r="J13" s="14"/>
      <c r="K13" s="24" t="s">
        <v>16</v>
      </c>
      <c r="L13" s="3"/>
      <c r="M13" s="8"/>
      <c r="N13" s="8"/>
      <c r="O13" s="77" t="s">
        <v>89</v>
      </c>
      <c r="P13" s="78"/>
      <c r="Q13" s="79" t="s">
        <v>90</v>
      </c>
      <c r="R13" s="3"/>
    </row>
    <row r="14" spans="1:18">
      <c r="A14" s="14"/>
      <c r="B14" s="9"/>
      <c r="C14" s="10" t="str">
        <f t="shared" si="0"/>
        <v>JELLY KING</v>
      </c>
      <c r="D14" s="9"/>
      <c r="E14" s="9" t="str">
        <f t="shared" si="1"/>
        <v>MARC THOMPSON</v>
      </c>
      <c r="F14" s="9"/>
      <c r="G14" s="3"/>
      <c r="H14" s="3"/>
      <c r="I14" s="30" t="s">
        <v>29</v>
      </c>
      <c r="J14" s="24"/>
      <c r="K14" s="24" t="s">
        <v>10</v>
      </c>
      <c r="L14" s="3"/>
      <c r="M14" s="8"/>
      <c r="N14" s="8"/>
      <c r="O14" s="21" t="s">
        <v>105</v>
      </c>
      <c r="P14" s="3"/>
      <c r="Q14" s="3" t="s">
        <v>79</v>
      </c>
      <c r="R14" s="3"/>
    </row>
    <row r="15" spans="1:18">
      <c r="A15" s="14"/>
      <c r="B15" s="9"/>
      <c r="C15" s="10" t="str">
        <f t="shared" si="0"/>
        <v>BOBBY</v>
      </c>
      <c r="D15" s="9"/>
      <c r="E15" s="9" t="str">
        <f t="shared" si="1"/>
        <v>ALLEN WINTER</v>
      </c>
      <c r="F15" s="9"/>
      <c r="G15" s="3"/>
      <c r="H15" s="3"/>
      <c r="I15" s="30" t="s">
        <v>164</v>
      </c>
      <c r="J15" s="14"/>
      <c r="K15" s="14" t="s">
        <v>607</v>
      </c>
      <c r="L15" s="3"/>
      <c r="M15" s="8"/>
      <c r="N15" s="8"/>
      <c r="O15" s="21" t="s">
        <v>124</v>
      </c>
      <c r="P15" s="3"/>
      <c r="Q15" s="3" t="s">
        <v>113</v>
      </c>
      <c r="R15" s="3"/>
    </row>
    <row r="16" spans="1:18">
      <c r="A16" s="14"/>
      <c r="B16" s="9"/>
      <c r="C16" s="10" t="str">
        <f t="shared" si="0"/>
        <v>MIST</v>
      </c>
      <c r="D16" s="9"/>
      <c r="E16" s="9" t="str">
        <f t="shared" si="1"/>
        <v>MIKE SMITH</v>
      </c>
      <c r="F16" s="9"/>
      <c r="G16" s="3"/>
      <c r="H16" s="3"/>
      <c r="I16" s="30" t="s">
        <v>27</v>
      </c>
      <c r="J16" s="14"/>
      <c r="K16" s="24" t="s">
        <v>28</v>
      </c>
      <c r="L16" s="3"/>
      <c r="M16" s="8"/>
      <c r="N16" s="8"/>
      <c r="O16" s="21" t="s">
        <v>103</v>
      </c>
      <c r="P16" s="3"/>
      <c r="Q16" s="3" t="s">
        <v>104</v>
      </c>
      <c r="R16" s="3"/>
    </row>
    <row r="17" spans="1:18">
      <c r="A17" s="14"/>
      <c r="B17" s="9"/>
      <c r="C17" s="10" t="str">
        <f t="shared" si="0"/>
        <v>DR. TENNYSON</v>
      </c>
      <c r="D17" s="9"/>
      <c r="E17" s="9" t="str">
        <f t="shared" si="1"/>
        <v>TOM WAYLAND</v>
      </c>
      <c r="F17" s="9"/>
      <c r="G17" s="3"/>
      <c r="H17" s="3"/>
      <c r="I17" s="44" t="s">
        <v>62</v>
      </c>
      <c r="J17" s="14"/>
      <c r="K17" s="22" t="s">
        <v>58</v>
      </c>
      <c r="L17" s="3"/>
      <c r="M17" s="8"/>
      <c r="N17" s="8"/>
      <c r="O17" s="21" t="s">
        <v>138</v>
      </c>
      <c r="P17" s="3"/>
      <c r="Q17" s="3" t="s">
        <v>85</v>
      </c>
      <c r="R17" s="3"/>
    </row>
    <row r="18" spans="1:18">
      <c r="A18" s="14"/>
      <c r="B18" s="9"/>
      <c r="C18" s="10" t="str">
        <f t="shared" si="0"/>
        <v>PROFESSOR Z</v>
      </c>
      <c r="D18" s="9"/>
      <c r="E18" s="9" t="str">
        <f t="shared" si="1"/>
        <v>PETE ZARUSTICA</v>
      </c>
      <c r="F18" s="9"/>
      <c r="G18" s="3"/>
      <c r="H18" s="3"/>
      <c r="I18" s="30" t="s">
        <v>25</v>
      </c>
      <c r="J18" s="24"/>
      <c r="K18" s="24" t="s">
        <v>26</v>
      </c>
      <c r="L18" s="3"/>
      <c r="M18" s="8"/>
      <c r="N18" s="8"/>
      <c r="O18" s="21" t="s">
        <v>101</v>
      </c>
      <c r="P18" s="3"/>
      <c r="Q18" s="3" t="s">
        <v>102</v>
      </c>
      <c r="R18" s="3"/>
    </row>
    <row r="19" spans="1:18">
      <c r="A19" s="14"/>
      <c r="B19" s="9"/>
      <c r="C19" s="10" t="str">
        <f t="shared" si="0"/>
        <v>TWO TONE TONY</v>
      </c>
      <c r="D19" s="9"/>
      <c r="E19" s="9" t="str">
        <f t="shared" si="1"/>
        <v>GIANNI MATRAGRANO</v>
      </c>
      <c r="F19" s="9"/>
      <c r="G19" s="3"/>
      <c r="H19" s="3"/>
      <c r="I19" s="30" t="s">
        <v>48</v>
      </c>
      <c r="J19" s="14"/>
      <c r="K19" s="22" t="s">
        <v>32</v>
      </c>
      <c r="L19" s="3"/>
      <c r="M19" s="8"/>
      <c r="N19" s="8"/>
      <c r="O19" s="21" t="s">
        <v>125</v>
      </c>
      <c r="P19" s="3"/>
      <c r="Q19" s="3" t="s">
        <v>108</v>
      </c>
      <c r="R19" s="3"/>
    </row>
    <row r="20" spans="1:18">
      <c r="A20" s="14"/>
      <c r="B20" s="9"/>
      <c r="C20" s="10" t="str">
        <f t="shared" si="0"/>
        <v>NICOLO</v>
      </c>
      <c r="D20" s="9"/>
      <c r="E20" s="9" t="str">
        <f t="shared" si="1"/>
        <v>ROBB MOREIRA</v>
      </c>
      <c r="F20" s="9"/>
      <c r="G20" s="3"/>
      <c r="H20" s="3"/>
      <c r="I20" s="44" t="s">
        <v>65</v>
      </c>
      <c r="J20" s="14"/>
      <c r="K20" s="22" t="s">
        <v>6</v>
      </c>
      <c r="L20" s="3"/>
      <c r="M20" s="8"/>
      <c r="N20" s="8"/>
      <c r="O20" s="21" t="s">
        <v>141</v>
      </c>
      <c r="P20" s="3"/>
      <c r="Q20" s="3" t="s">
        <v>117</v>
      </c>
      <c r="R20" s="3"/>
    </row>
    <row r="21" spans="1:18">
      <c r="A21" s="14"/>
      <c r="B21" s="9"/>
      <c r="C21" s="10" t="str">
        <f t="shared" si="0"/>
        <v>ANGELO</v>
      </c>
      <c r="D21" s="9"/>
      <c r="E21" s="9" t="str">
        <f t="shared" si="1"/>
        <v>TOM WAYLAND</v>
      </c>
      <c r="F21" s="9"/>
      <c r="G21" s="3"/>
      <c r="H21" s="3"/>
      <c r="I21" s="44" t="s">
        <v>64</v>
      </c>
      <c r="J21" s="14"/>
      <c r="K21" s="22" t="s">
        <v>58</v>
      </c>
      <c r="L21" s="3"/>
      <c r="M21" s="8"/>
      <c r="N21" s="8"/>
      <c r="O21" s="21" t="s">
        <v>140</v>
      </c>
      <c r="P21" s="3"/>
      <c r="Q21" s="3" t="s">
        <v>120</v>
      </c>
      <c r="R21" s="3"/>
    </row>
    <row r="22" spans="1:18">
      <c r="A22" s="14"/>
      <c r="B22" s="9"/>
      <c r="C22" s="10" t="str">
        <f t="shared" si="0"/>
        <v>CHAMELI</v>
      </c>
      <c r="D22" s="9"/>
      <c r="E22" s="9" t="str">
        <f t="shared" si="1"/>
        <v>SIMONA BERMAN</v>
      </c>
      <c r="F22" s="9"/>
      <c r="G22" s="3"/>
      <c r="H22" s="3"/>
      <c r="I22" s="30" t="s">
        <v>19</v>
      </c>
      <c r="J22" s="14"/>
      <c r="K22" s="24" t="s">
        <v>20</v>
      </c>
      <c r="L22" s="3"/>
      <c r="M22" s="8"/>
      <c r="N22" s="8"/>
      <c r="O22" s="21" t="s">
        <v>93</v>
      </c>
      <c r="P22" s="3"/>
      <c r="Q22" s="3" t="s">
        <v>94</v>
      </c>
      <c r="R22" s="3"/>
    </row>
    <row r="23" spans="1:18">
      <c r="A23" s="14"/>
      <c r="B23" s="9"/>
      <c r="C23" s="10" t="str">
        <f t="shared" si="0"/>
        <v>JERRY</v>
      </c>
      <c r="D23" s="9"/>
      <c r="E23" s="9" t="str">
        <f t="shared" si="1"/>
        <v>MARC THOMPSON</v>
      </c>
      <c r="F23" s="9"/>
      <c r="G23" s="3"/>
      <c r="H23" s="3"/>
      <c r="I23" s="30" t="s">
        <v>63</v>
      </c>
      <c r="J23" s="24"/>
      <c r="K23" s="24" t="s">
        <v>10</v>
      </c>
      <c r="L23" s="3"/>
      <c r="M23" s="8"/>
      <c r="N23" s="8"/>
      <c r="O23" s="21" t="s">
        <v>139</v>
      </c>
      <c r="P23" s="3"/>
      <c r="Q23" s="3" t="s">
        <v>79</v>
      </c>
      <c r="R23" s="3"/>
    </row>
    <row r="24" spans="1:18">
      <c r="A24" s="14"/>
      <c r="B24" s="9"/>
      <c r="C24" s="10" t="str">
        <f t="shared" si="0"/>
        <v/>
      </c>
      <c r="D24" s="9"/>
      <c r="E24" s="9"/>
      <c r="F24" s="9"/>
      <c r="G24" s="3"/>
      <c r="H24" s="3"/>
      <c r="I24" s="8"/>
      <c r="J24" s="3"/>
      <c r="K24" s="25"/>
      <c r="L24" s="3"/>
      <c r="M24" s="8"/>
      <c r="N24" s="8"/>
      <c r="O24" s="21"/>
      <c r="P24" s="3"/>
      <c r="Q24" s="3"/>
      <c r="R24" s="3"/>
    </row>
    <row r="25" spans="1:18">
      <c r="A25" s="14"/>
      <c r="B25" s="11"/>
      <c r="C25" s="12"/>
      <c r="D25" s="11"/>
      <c r="E25" s="11"/>
      <c r="F25" s="11"/>
      <c r="G25" s="3"/>
      <c r="H25" s="3"/>
      <c r="I25" s="8"/>
      <c r="J25" s="3"/>
      <c r="K25" s="25"/>
      <c r="L25" s="3"/>
      <c r="M25" s="8"/>
      <c r="N25" s="8"/>
      <c r="O25" s="21"/>
      <c r="P25" s="3"/>
      <c r="Q25" s="3"/>
      <c r="R25" s="3"/>
    </row>
    <row r="26" spans="1:18">
      <c r="A26" s="14"/>
      <c r="B26" s="9"/>
      <c r="C26" s="10"/>
      <c r="D26" s="9"/>
      <c r="E26" s="9"/>
      <c r="F26" s="9"/>
      <c r="G26" s="3"/>
      <c r="H26" s="3"/>
      <c r="I26" s="8"/>
      <c r="J26" s="3"/>
      <c r="K26" s="25"/>
      <c r="L26" s="3"/>
      <c r="M26" s="8"/>
      <c r="N26" s="8"/>
      <c r="O26" s="21"/>
      <c r="P26" s="3"/>
      <c r="Q26" s="3"/>
      <c r="R26" s="3"/>
    </row>
    <row r="27" spans="1:18">
      <c r="A27" s="14"/>
      <c r="B27" s="150" t="str">
        <f>UPPER(H27)</f>
        <v>VOICE</v>
      </c>
      <c r="C27" s="141"/>
      <c r="D27" s="141"/>
      <c r="E27" s="141"/>
      <c r="F27" s="141"/>
      <c r="G27" s="18"/>
      <c r="H27" s="167" t="s">
        <v>157</v>
      </c>
      <c r="I27" s="141"/>
      <c r="J27" s="141"/>
      <c r="K27" s="141"/>
      <c r="L27" s="141"/>
      <c r="M27" s="18"/>
      <c r="N27" s="149" t="s">
        <v>777</v>
      </c>
      <c r="O27" s="141"/>
      <c r="P27" s="141"/>
      <c r="Q27" s="141"/>
      <c r="R27" s="141"/>
    </row>
    <row r="28" spans="1:18">
      <c r="A28" s="14"/>
      <c r="B28" s="9"/>
      <c r="C28" s="10" t="str">
        <f t="shared" ref="C28:C32" si="2">UPPER(I28)</f>
        <v>DIRK-O</v>
      </c>
      <c r="D28" s="9"/>
      <c r="E28" s="9" t="str">
        <f t="shared" ref="E28:E33" si="3">UPPER(K28)</f>
        <v>MARC THOMPSON</v>
      </c>
      <c r="F28" s="9"/>
      <c r="G28" s="3"/>
      <c r="H28" s="3"/>
      <c r="I28" s="30" t="s">
        <v>649</v>
      </c>
      <c r="J28" s="24"/>
      <c r="K28" s="24" t="s">
        <v>10</v>
      </c>
      <c r="L28" s="3"/>
      <c r="M28" s="8"/>
      <c r="N28" s="8"/>
      <c r="O28" s="21" t="s">
        <v>129</v>
      </c>
      <c r="P28" s="3"/>
      <c r="Q28" s="3" t="s">
        <v>130</v>
      </c>
      <c r="R28" s="3"/>
    </row>
    <row r="29" spans="1:18">
      <c r="A29" s="14"/>
      <c r="B29" s="9"/>
      <c r="C29" s="10" t="str">
        <f t="shared" si="2"/>
        <v/>
      </c>
      <c r="D29" s="9"/>
      <c r="E29" s="9" t="str">
        <f t="shared" si="3"/>
        <v/>
      </c>
      <c r="F29" s="9"/>
      <c r="G29" s="3"/>
      <c r="H29" s="3"/>
      <c r="I29" s="44"/>
      <c r="J29" s="14"/>
      <c r="K29" s="14"/>
      <c r="L29" s="3"/>
      <c r="M29" s="8"/>
      <c r="N29" s="8"/>
      <c r="O29" s="21"/>
      <c r="P29" s="3"/>
      <c r="Q29" s="3"/>
      <c r="R29" s="3"/>
    </row>
    <row r="30" spans="1:18">
      <c r="A30" s="14"/>
      <c r="B30" s="9"/>
      <c r="C30" s="10" t="str">
        <f t="shared" si="2"/>
        <v>OTHER VOICES</v>
      </c>
      <c r="D30" s="9"/>
      <c r="E30" s="9" t="str">
        <f t="shared" si="3"/>
        <v>SIMONA BERMAN</v>
      </c>
      <c r="F30" s="9"/>
      <c r="G30" s="3"/>
      <c r="H30" s="3"/>
      <c r="I30" s="44" t="s">
        <v>165</v>
      </c>
      <c r="J30" s="14"/>
      <c r="K30" s="24" t="s">
        <v>20</v>
      </c>
      <c r="L30" s="3"/>
      <c r="M30" s="8"/>
      <c r="N30" s="8"/>
      <c r="O30" s="21" t="s">
        <v>782</v>
      </c>
      <c r="P30" s="3"/>
      <c r="Q30" s="3" t="s">
        <v>111</v>
      </c>
      <c r="R30" s="3"/>
    </row>
    <row r="31" spans="1:18">
      <c r="A31" s="14"/>
      <c r="B31" s="9"/>
      <c r="C31" s="10" t="str">
        <f t="shared" si="2"/>
        <v/>
      </c>
      <c r="D31" s="9"/>
      <c r="E31" s="9" t="str">
        <f t="shared" si="3"/>
        <v>MIKE SMITH</v>
      </c>
      <c r="F31" s="9"/>
      <c r="G31" s="3"/>
      <c r="H31" s="3"/>
      <c r="I31" s="44"/>
      <c r="J31" s="14"/>
      <c r="K31" s="22" t="s">
        <v>28</v>
      </c>
      <c r="L31" s="3"/>
      <c r="M31" s="8"/>
      <c r="N31" s="8"/>
      <c r="O31" s="21"/>
      <c r="P31" s="3"/>
      <c r="Q31" s="3"/>
      <c r="R31" s="3"/>
    </row>
    <row r="32" spans="1:18">
      <c r="A32" s="14"/>
      <c r="B32" s="9"/>
      <c r="C32" s="10" t="str">
        <f t="shared" si="2"/>
        <v/>
      </c>
      <c r="D32" s="9"/>
      <c r="E32" s="9" t="str">
        <f t="shared" si="3"/>
        <v/>
      </c>
      <c r="F32" s="9"/>
      <c r="G32" s="3"/>
      <c r="H32" s="3"/>
      <c r="I32" s="8"/>
      <c r="J32" s="3"/>
      <c r="K32" s="23"/>
      <c r="L32" s="3"/>
      <c r="M32" s="8"/>
      <c r="N32" s="8"/>
      <c r="O32" s="21"/>
      <c r="P32" s="3"/>
      <c r="Q32" s="3"/>
      <c r="R32" s="3"/>
    </row>
    <row r="33" spans="1:18">
      <c r="A33" s="14"/>
      <c r="B33" s="11" t="str">
        <f t="shared" ref="B33:C33" si="4">UPPER(H33)</f>
        <v/>
      </c>
      <c r="C33" s="12" t="str">
        <f t="shared" si="4"/>
        <v/>
      </c>
      <c r="D33" s="11"/>
      <c r="E33" s="11" t="str">
        <f t="shared" si="3"/>
        <v/>
      </c>
      <c r="F33" s="11"/>
      <c r="G33" s="3"/>
      <c r="H33" s="3"/>
      <c r="I33" s="8"/>
      <c r="J33" s="3"/>
      <c r="K33" s="13"/>
      <c r="L33" s="3"/>
      <c r="M33" s="8"/>
      <c r="N33" s="8"/>
      <c r="O33" s="21"/>
      <c r="P33" s="3"/>
      <c r="Q33" s="3"/>
      <c r="R33" s="3"/>
    </row>
    <row r="34" spans="1:18">
      <c r="A34" s="14"/>
      <c r="B34" s="9"/>
      <c r="C34" s="10"/>
      <c r="D34" s="9"/>
      <c r="E34" s="9"/>
      <c r="F34" s="9"/>
      <c r="G34" s="3"/>
      <c r="H34" s="3"/>
      <c r="I34" s="8"/>
      <c r="J34" s="3"/>
      <c r="K34" s="3"/>
      <c r="L34" s="3"/>
      <c r="M34" s="8"/>
      <c r="N34" s="8"/>
      <c r="O34" s="21"/>
      <c r="P34" s="3"/>
      <c r="Q34" s="3"/>
      <c r="R34" s="3"/>
    </row>
    <row r="35" spans="1:18">
      <c r="A35" s="14"/>
      <c r="B35" s="9"/>
      <c r="C35" s="10" t="str">
        <f t="shared" ref="C35:C49" si="5">UPPER(I35)</f>
        <v>DIRECTOR</v>
      </c>
      <c r="D35" s="9"/>
      <c r="E35" s="9" t="str">
        <f t="shared" ref="E35:E49" si="6">UPPER(K35)</f>
        <v>JOOGONG MAENG</v>
      </c>
      <c r="F35" s="9"/>
      <c r="G35" s="3"/>
      <c r="H35" s="3"/>
      <c r="I35" s="8" t="s">
        <v>168</v>
      </c>
      <c r="J35" s="3"/>
      <c r="K35" s="3" t="s">
        <v>148</v>
      </c>
      <c r="L35" s="3"/>
      <c r="M35" s="8"/>
      <c r="N35" s="8"/>
      <c r="O35" s="8" t="s">
        <v>783</v>
      </c>
      <c r="P35" s="3"/>
      <c r="Q35" s="3" t="s">
        <v>769</v>
      </c>
      <c r="R35" s="3"/>
    </row>
    <row r="36" spans="1:18">
      <c r="A36" s="14"/>
      <c r="B36" s="9"/>
      <c r="C36" s="10" t="str">
        <f t="shared" si="5"/>
        <v/>
      </c>
      <c r="D36" s="9"/>
      <c r="E36" s="9" t="str">
        <f t="shared" si="6"/>
        <v/>
      </c>
      <c r="F36" s="9"/>
      <c r="G36" s="3"/>
      <c r="H36" s="3"/>
      <c r="I36" s="8"/>
      <c r="J36" s="3"/>
      <c r="K36" s="13"/>
      <c r="L36" s="3"/>
      <c r="M36" s="8"/>
      <c r="N36" s="8"/>
      <c r="O36" s="3"/>
      <c r="P36" s="3"/>
      <c r="Q36" s="3"/>
      <c r="R36" s="3"/>
    </row>
    <row r="37" spans="1:18">
      <c r="A37" s="14"/>
      <c r="B37" s="9"/>
      <c r="C37" s="10" t="str">
        <f t="shared" si="5"/>
        <v>CO-DIRECTOR</v>
      </c>
      <c r="D37" s="9"/>
      <c r="E37" s="9" t="str">
        <f t="shared" si="6"/>
        <v>TAEWOOK KOH</v>
      </c>
      <c r="F37" s="9"/>
      <c r="G37" s="3"/>
      <c r="H37" s="3"/>
      <c r="I37" s="8" t="s">
        <v>169</v>
      </c>
      <c r="J37" s="3"/>
      <c r="K37" s="13" t="s">
        <v>149</v>
      </c>
      <c r="L37" s="3"/>
      <c r="M37" s="8"/>
      <c r="N37" s="8"/>
      <c r="O37" s="8" t="s">
        <v>784</v>
      </c>
      <c r="P37" s="3"/>
      <c r="Q37" s="3" t="s">
        <v>770</v>
      </c>
      <c r="R37" s="3"/>
    </row>
    <row r="38" spans="1:18">
      <c r="A38" s="14"/>
      <c r="B38" s="9"/>
      <c r="C38" s="10" t="str">
        <f t="shared" si="5"/>
        <v/>
      </c>
      <c r="D38" s="9"/>
      <c r="E38" s="9" t="str">
        <f t="shared" si="6"/>
        <v/>
      </c>
      <c r="F38" s="9"/>
      <c r="G38" s="3"/>
      <c r="H38" s="3"/>
      <c r="I38" s="8"/>
      <c r="J38" s="3"/>
      <c r="K38" s="13"/>
      <c r="L38" s="3"/>
      <c r="M38" s="8"/>
      <c r="N38" s="8"/>
      <c r="O38" s="3"/>
      <c r="P38" s="3"/>
      <c r="Q38" s="3"/>
      <c r="R38" s="3"/>
    </row>
    <row r="39" spans="1:18">
      <c r="A39" s="14"/>
      <c r="B39" s="9"/>
      <c r="C39" s="10" t="str">
        <f t="shared" si="5"/>
        <v>ASSISTANT DIRECTOR</v>
      </c>
      <c r="D39" s="9"/>
      <c r="E39" s="9" t="str">
        <f t="shared" si="6"/>
        <v>JEEHYUN KIM</v>
      </c>
      <c r="F39" s="9"/>
      <c r="G39" s="3"/>
      <c r="H39" s="3"/>
      <c r="I39" s="8" t="s">
        <v>170</v>
      </c>
      <c r="J39" s="3"/>
      <c r="K39" s="13" t="s">
        <v>150</v>
      </c>
      <c r="L39" s="3"/>
      <c r="M39" s="8"/>
      <c r="N39" s="8"/>
      <c r="O39" s="8" t="s">
        <v>785</v>
      </c>
      <c r="P39" s="3"/>
      <c r="Q39" s="3" t="s">
        <v>771</v>
      </c>
      <c r="R39" s="3"/>
    </row>
    <row r="40" spans="1:18">
      <c r="A40" s="14"/>
      <c r="B40" s="9"/>
      <c r="C40" s="10" t="str">
        <f t="shared" si="5"/>
        <v/>
      </c>
      <c r="D40" s="9"/>
      <c r="E40" s="9" t="str">
        <f t="shared" si="6"/>
        <v/>
      </c>
      <c r="F40" s="9"/>
      <c r="G40" s="3"/>
      <c r="H40" s="3"/>
      <c r="I40" s="8"/>
      <c r="J40" s="3"/>
      <c r="K40" s="13"/>
      <c r="L40" s="3"/>
      <c r="M40" s="8"/>
      <c r="N40" s="8"/>
      <c r="O40" s="3"/>
      <c r="P40" s="3"/>
      <c r="Q40" s="3"/>
      <c r="R40" s="3"/>
    </row>
    <row r="41" spans="1:18">
      <c r="A41" s="14"/>
      <c r="B41" s="9"/>
      <c r="C41" s="10" t="str">
        <f t="shared" si="5"/>
        <v>STORY SUPERVISOR</v>
      </c>
      <c r="D41" s="9"/>
      <c r="E41" s="9" t="str">
        <f t="shared" si="6"/>
        <v>TAEWOOK KOH</v>
      </c>
      <c r="F41" s="9"/>
      <c r="G41" s="3"/>
      <c r="H41" s="3"/>
      <c r="I41" s="8" t="s">
        <v>171</v>
      </c>
      <c r="J41" s="3"/>
      <c r="K41" s="13" t="s">
        <v>149</v>
      </c>
      <c r="L41" s="3"/>
      <c r="M41" s="3"/>
      <c r="N41" s="3"/>
      <c r="O41" s="8" t="s">
        <v>786</v>
      </c>
      <c r="P41" s="3"/>
      <c r="Q41" s="3" t="s">
        <v>770</v>
      </c>
      <c r="R41" s="3"/>
    </row>
    <row r="42" spans="1:18">
      <c r="A42" s="14"/>
      <c r="B42" s="9"/>
      <c r="C42" s="10" t="str">
        <f t="shared" si="5"/>
        <v/>
      </c>
      <c r="D42" s="9"/>
      <c r="E42" s="9" t="str">
        <f t="shared" si="6"/>
        <v>JEEHYUN KIM</v>
      </c>
      <c r="F42" s="9"/>
      <c r="G42" s="3"/>
      <c r="H42" s="3"/>
      <c r="I42" s="8"/>
      <c r="J42" s="3"/>
      <c r="K42" s="13" t="s">
        <v>150</v>
      </c>
      <c r="L42" s="3"/>
      <c r="M42" s="8"/>
      <c r="N42" s="8"/>
      <c r="O42" s="3"/>
      <c r="P42" s="3"/>
      <c r="Q42" s="3" t="s">
        <v>771</v>
      </c>
      <c r="R42" s="3"/>
    </row>
    <row r="43" spans="1:18">
      <c r="A43" s="14"/>
      <c r="B43" s="9"/>
      <c r="C43" s="10" t="str">
        <f t="shared" si="5"/>
        <v/>
      </c>
      <c r="D43" s="9"/>
      <c r="E43" s="9" t="str">
        <f t="shared" si="6"/>
        <v>JIWON OH</v>
      </c>
      <c r="F43" s="9"/>
      <c r="G43" s="3"/>
      <c r="H43" s="3"/>
      <c r="I43" s="8"/>
      <c r="J43" s="3"/>
      <c r="K43" s="13" t="s">
        <v>151</v>
      </c>
      <c r="L43" s="3"/>
      <c r="M43" s="8"/>
      <c r="N43" s="8"/>
      <c r="O43" s="3"/>
      <c r="P43" s="3"/>
      <c r="Q43" s="3" t="s">
        <v>774</v>
      </c>
      <c r="R43" s="3"/>
    </row>
    <row r="44" spans="1:18">
      <c r="A44" s="14"/>
      <c r="B44" s="9"/>
      <c r="C44" s="10" t="str">
        <f t="shared" si="5"/>
        <v/>
      </c>
      <c r="D44" s="9"/>
      <c r="E44" s="9" t="str">
        <f t="shared" si="6"/>
        <v/>
      </c>
      <c r="F44" s="9"/>
      <c r="G44" s="3"/>
      <c r="H44" s="3"/>
      <c r="I44" s="8"/>
      <c r="J44" s="3"/>
      <c r="K44" s="13"/>
      <c r="L44" s="3"/>
      <c r="M44" s="8"/>
      <c r="N44" s="8"/>
      <c r="O44" s="3"/>
      <c r="P44" s="3"/>
      <c r="Q44" s="3"/>
      <c r="R44" s="3"/>
    </row>
    <row r="45" spans="1:18">
      <c r="A45" s="14"/>
      <c r="B45" s="9"/>
      <c r="C45" s="10" t="str">
        <f t="shared" si="5"/>
        <v>STORY ARTIST</v>
      </c>
      <c r="D45" s="9"/>
      <c r="E45" s="9" t="str">
        <f t="shared" si="6"/>
        <v>WON HWANG</v>
      </c>
      <c r="F45" s="9"/>
      <c r="G45" s="3"/>
      <c r="H45" s="3"/>
      <c r="I45" s="8" t="s">
        <v>172</v>
      </c>
      <c r="J45" s="3"/>
      <c r="K45" s="13" t="s">
        <v>173</v>
      </c>
      <c r="L45" s="3"/>
      <c r="M45" s="8"/>
      <c r="N45" s="8"/>
      <c r="O45" s="8" t="s">
        <v>787</v>
      </c>
      <c r="P45" s="3"/>
      <c r="Q45" s="3" t="s">
        <v>788</v>
      </c>
      <c r="R45" s="3"/>
    </row>
    <row r="46" spans="1:18">
      <c r="A46" s="14"/>
      <c r="B46" s="9"/>
      <c r="C46" s="10" t="str">
        <f t="shared" si="5"/>
        <v/>
      </c>
      <c r="D46" s="9"/>
      <c r="E46" s="9" t="str">
        <f t="shared" si="6"/>
        <v/>
      </c>
      <c r="F46" s="9"/>
      <c r="G46" s="3"/>
      <c r="H46" s="3"/>
      <c r="I46" s="8"/>
      <c r="J46" s="3"/>
      <c r="K46" s="13"/>
      <c r="L46" s="3"/>
      <c r="M46" s="3"/>
      <c r="N46" s="3"/>
      <c r="O46" s="8"/>
      <c r="P46" s="3"/>
      <c r="Q46" s="3"/>
      <c r="R46" s="3"/>
    </row>
    <row r="47" spans="1:18">
      <c r="A47" s="14"/>
      <c r="B47" s="9"/>
      <c r="C47" s="10" t="str">
        <f t="shared" si="5"/>
        <v>STORY EDITOR</v>
      </c>
      <c r="D47" s="9"/>
      <c r="E47" s="9" t="str">
        <f t="shared" si="6"/>
        <v>JAKE GOLDMAN</v>
      </c>
      <c r="F47" s="9"/>
      <c r="G47" s="3"/>
      <c r="H47" s="3"/>
      <c r="I47" s="8" t="s">
        <v>174</v>
      </c>
      <c r="J47" s="3"/>
      <c r="K47" s="13" t="s">
        <v>155</v>
      </c>
      <c r="L47" s="3"/>
      <c r="M47" s="3"/>
      <c r="N47" s="3"/>
      <c r="O47" s="8" t="s">
        <v>789</v>
      </c>
      <c r="P47" s="3"/>
      <c r="Q47" s="3" t="s">
        <v>155</v>
      </c>
      <c r="R47" s="3"/>
    </row>
    <row r="48" spans="1:18">
      <c r="A48" s="14"/>
      <c r="B48" s="9"/>
      <c r="C48" s="10" t="str">
        <f t="shared" si="5"/>
        <v>WRITTEN BY</v>
      </c>
      <c r="D48" s="9"/>
      <c r="E48" s="9" t="str">
        <f t="shared" si="6"/>
        <v>JESSE GOLDMAN</v>
      </c>
      <c r="F48" s="9"/>
      <c r="G48" s="3"/>
      <c r="H48" s="3"/>
      <c r="I48" s="8" t="s">
        <v>154</v>
      </c>
      <c r="J48" s="3"/>
      <c r="K48" s="2" t="s">
        <v>650</v>
      </c>
      <c r="L48" s="3"/>
      <c r="M48" s="3"/>
      <c r="N48" s="3"/>
      <c r="O48" s="8" t="s">
        <v>790</v>
      </c>
      <c r="P48" s="3"/>
      <c r="Q48" s="3" t="s">
        <v>155</v>
      </c>
      <c r="R48" s="3"/>
    </row>
    <row r="49" spans="1:18">
      <c r="A49" s="14"/>
      <c r="B49" s="9"/>
      <c r="C49" s="10" t="str">
        <f t="shared" si="5"/>
        <v/>
      </c>
      <c r="D49" s="9"/>
      <c r="E49" s="9" t="str">
        <f t="shared" si="6"/>
        <v/>
      </c>
      <c r="F49" s="9"/>
      <c r="G49" s="3"/>
      <c r="H49" s="3"/>
      <c r="I49" s="8"/>
      <c r="J49" s="3"/>
      <c r="K49" s="13"/>
      <c r="L49" s="3"/>
      <c r="M49" s="3"/>
      <c r="N49" s="3"/>
      <c r="O49" s="21"/>
      <c r="P49" s="3"/>
      <c r="Q49" s="3"/>
      <c r="R49" s="3"/>
    </row>
    <row r="50" spans="1:18">
      <c r="A50" s="14"/>
      <c r="B50" s="26"/>
      <c r="C50" s="26"/>
      <c r="D50" s="26"/>
      <c r="E50" s="26"/>
      <c r="F50" s="26"/>
      <c r="G50" s="3"/>
      <c r="H50" s="7"/>
      <c r="I50" s="8"/>
      <c r="J50" s="7"/>
      <c r="K50" s="7"/>
      <c r="L50" s="7"/>
      <c r="M50" s="3"/>
      <c r="N50" s="3"/>
      <c r="O50" s="21"/>
      <c r="P50" s="3"/>
      <c r="Q50" s="3"/>
      <c r="R50" s="3"/>
    </row>
    <row r="51" spans="1:18">
      <c r="A51" s="14"/>
      <c r="B51" s="6"/>
      <c r="C51" s="6"/>
      <c r="D51" s="6"/>
      <c r="E51" s="6"/>
      <c r="F51" s="6"/>
      <c r="G51" s="3"/>
      <c r="H51" s="7"/>
      <c r="I51" s="8"/>
      <c r="J51" s="7"/>
      <c r="K51" s="7"/>
      <c r="L51" s="7"/>
      <c r="M51" s="3"/>
      <c r="N51" s="3"/>
      <c r="O51" s="21"/>
      <c r="P51" s="3"/>
      <c r="Q51" s="3"/>
      <c r="R51" s="3"/>
    </row>
    <row r="52" spans="1:18">
      <c r="A52" s="14"/>
      <c r="B52" s="150" t="str">
        <f t="shared" ref="B52:B53" si="7">UPPER(H52)</f>
        <v>STORYBOARD</v>
      </c>
      <c r="C52" s="141"/>
      <c r="D52" s="141"/>
      <c r="E52" s="141"/>
      <c r="F52" s="141"/>
      <c r="G52" s="28"/>
      <c r="H52" s="167" t="s">
        <v>175</v>
      </c>
      <c r="I52" s="141"/>
      <c r="J52" s="141"/>
      <c r="K52" s="141"/>
      <c r="L52" s="141"/>
      <c r="M52" s="28"/>
      <c r="N52" s="149" t="s">
        <v>791</v>
      </c>
      <c r="O52" s="141"/>
      <c r="P52" s="141"/>
      <c r="Q52" s="141"/>
      <c r="R52" s="141"/>
    </row>
    <row r="53" spans="1:18">
      <c r="A53" s="14"/>
      <c r="B53" s="146" t="str">
        <f t="shared" si="7"/>
        <v>STUDIO GOINDOL INC.</v>
      </c>
      <c r="C53" s="141"/>
      <c r="D53" s="141"/>
      <c r="E53" s="141"/>
      <c r="F53" s="141"/>
      <c r="G53" s="3"/>
      <c r="H53" s="145" t="s">
        <v>176</v>
      </c>
      <c r="I53" s="141"/>
      <c r="J53" s="141"/>
      <c r="K53" s="141"/>
      <c r="L53" s="141"/>
      <c r="M53" s="3"/>
      <c r="N53" s="145" t="s">
        <v>792</v>
      </c>
      <c r="O53" s="141"/>
      <c r="P53" s="141"/>
      <c r="Q53" s="141"/>
      <c r="R53" s="141"/>
    </row>
    <row r="54" spans="1:18">
      <c r="A54" s="14"/>
      <c r="B54" s="9"/>
      <c r="C54" s="10"/>
      <c r="D54" s="9"/>
      <c r="E54" s="9"/>
      <c r="F54" s="9"/>
      <c r="G54" s="3"/>
      <c r="H54" s="3"/>
      <c r="I54" s="8"/>
      <c r="J54" s="3"/>
      <c r="K54" s="13"/>
      <c r="L54" s="3"/>
      <c r="M54" s="3"/>
      <c r="N54" s="3"/>
      <c r="O54" s="8"/>
      <c r="P54" s="3"/>
      <c r="Q54" s="3"/>
      <c r="R54" s="3"/>
    </row>
    <row r="55" spans="1:18">
      <c r="A55" s="14"/>
      <c r="B55" s="9"/>
      <c r="C55" s="10" t="str">
        <f>UPPER(I55)</f>
        <v>STORYBOARD DIRECTOR</v>
      </c>
      <c r="D55" s="9"/>
      <c r="E55" s="9" t="str">
        <f>UPPER(K55)</f>
        <v>YOUNGKWANG JO</v>
      </c>
      <c r="F55" s="9"/>
      <c r="G55" s="3"/>
      <c r="H55" s="3"/>
      <c r="I55" s="36" t="s">
        <v>177</v>
      </c>
      <c r="J55" s="2"/>
      <c r="K55" s="2" t="s">
        <v>178</v>
      </c>
      <c r="L55" s="3"/>
      <c r="M55" s="3"/>
      <c r="N55" s="3"/>
      <c r="O55" s="8" t="s">
        <v>793</v>
      </c>
      <c r="P55" s="3"/>
      <c r="Q55" s="3" t="s">
        <v>794</v>
      </c>
      <c r="R55" s="3"/>
    </row>
    <row r="56" spans="1:18">
      <c r="A56" s="14"/>
      <c r="B56" s="9"/>
      <c r="C56" s="10"/>
      <c r="D56" s="9"/>
      <c r="E56" s="9"/>
      <c r="F56" s="9"/>
      <c r="G56" s="3"/>
      <c r="H56" s="3"/>
      <c r="I56" s="8"/>
      <c r="J56" s="3"/>
      <c r="K56" s="13"/>
      <c r="L56" s="3"/>
      <c r="M56" s="3"/>
      <c r="N56" s="3"/>
      <c r="O56" s="8"/>
      <c r="P56" s="3"/>
      <c r="Q56" s="3"/>
      <c r="R56" s="3"/>
    </row>
    <row r="57" spans="1:18">
      <c r="A57" s="14"/>
      <c r="B57" s="9"/>
      <c r="C57" s="10" t="str">
        <f t="shared" ref="C57:C60" si="8">UPPER(I57)</f>
        <v>STORYBOARD ARTIST</v>
      </c>
      <c r="D57" s="9"/>
      <c r="E57" s="9" t="str">
        <f t="shared" ref="E57:E62" si="9">UPPER(K57)</f>
        <v>YONGRYUL YU</v>
      </c>
      <c r="F57" s="9"/>
      <c r="G57" s="3"/>
      <c r="H57" s="3"/>
      <c r="I57" s="36" t="s">
        <v>179</v>
      </c>
      <c r="J57" s="3"/>
      <c r="K57" s="13" t="s">
        <v>181</v>
      </c>
      <c r="L57" s="3"/>
      <c r="M57" s="3"/>
      <c r="N57" s="3"/>
      <c r="O57" s="8" t="s">
        <v>795</v>
      </c>
      <c r="P57" s="3"/>
      <c r="Q57" s="3" t="s">
        <v>797</v>
      </c>
      <c r="R57" s="3"/>
    </row>
    <row r="58" spans="1:18">
      <c r="A58" s="14"/>
      <c r="B58" s="9"/>
      <c r="C58" s="10" t="str">
        <f t="shared" si="8"/>
        <v/>
      </c>
      <c r="D58" s="9"/>
      <c r="E58" s="9" t="str">
        <f t="shared" si="9"/>
        <v/>
      </c>
      <c r="F58" s="9"/>
      <c r="G58" s="3"/>
      <c r="H58" s="3"/>
      <c r="I58" s="8"/>
      <c r="J58" s="3"/>
      <c r="K58" s="13"/>
      <c r="L58" s="3"/>
      <c r="M58" s="3"/>
      <c r="N58" s="3"/>
      <c r="O58" s="8"/>
      <c r="P58" s="3"/>
      <c r="R58" s="3"/>
    </row>
    <row r="59" spans="1:18">
      <c r="A59" s="14"/>
      <c r="B59" s="9"/>
      <c r="C59" s="10" t="str">
        <f t="shared" si="8"/>
        <v>STORYBOARD REVISIONIST</v>
      </c>
      <c r="D59" s="9"/>
      <c r="E59" s="9" t="str">
        <f t="shared" si="9"/>
        <v>SEUNGMIN LEE</v>
      </c>
      <c r="F59" s="9"/>
      <c r="G59" s="3"/>
      <c r="H59" s="3"/>
      <c r="I59" s="8" t="s">
        <v>182</v>
      </c>
      <c r="J59" s="3"/>
      <c r="K59" s="24" t="s">
        <v>651</v>
      </c>
      <c r="L59" s="3"/>
      <c r="M59" s="3"/>
      <c r="N59" s="3"/>
      <c r="O59" s="21" t="s">
        <v>957</v>
      </c>
      <c r="P59" s="3"/>
      <c r="Q59" s="3" t="s">
        <v>958</v>
      </c>
      <c r="R59" s="3"/>
    </row>
    <row r="60" spans="1:18">
      <c r="A60" s="14"/>
      <c r="B60" s="9"/>
      <c r="C60" s="10" t="str">
        <f t="shared" si="8"/>
        <v/>
      </c>
      <c r="D60" s="9"/>
      <c r="E60" s="9" t="str">
        <f t="shared" si="9"/>
        <v/>
      </c>
      <c r="F60" s="9"/>
      <c r="G60" s="3"/>
      <c r="H60" s="3"/>
      <c r="I60" s="8"/>
      <c r="J60" s="3"/>
      <c r="K60" s="13"/>
      <c r="L60" s="3"/>
      <c r="M60" s="3"/>
      <c r="N60" s="3"/>
      <c r="O60" s="21"/>
      <c r="P60" s="3"/>
      <c r="Q60" s="3"/>
      <c r="R60" s="3"/>
    </row>
    <row r="61" spans="1:18">
      <c r="A61" s="14"/>
      <c r="B61" s="11" t="str">
        <f t="shared" ref="B61:C61" si="10">UPPER(H61)</f>
        <v/>
      </c>
      <c r="C61" s="12" t="str">
        <f t="shared" si="10"/>
        <v/>
      </c>
      <c r="D61" s="11"/>
      <c r="E61" s="11" t="str">
        <f t="shared" si="9"/>
        <v/>
      </c>
      <c r="F61" s="11"/>
      <c r="G61" s="3"/>
      <c r="H61" s="3"/>
      <c r="I61" s="8"/>
      <c r="J61" s="3"/>
      <c r="K61" s="13"/>
      <c r="L61" s="3"/>
      <c r="M61" s="3"/>
      <c r="N61" s="8"/>
      <c r="O61" s="8"/>
      <c r="P61" s="3"/>
      <c r="Q61" s="3"/>
      <c r="R61" s="3"/>
    </row>
    <row r="62" spans="1:18">
      <c r="A62" s="14"/>
      <c r="B62" s="9" t="str">
        <f t="shared" ref="B62:C62" si="11">UPPER(H62)</f>
        <v/>
      </c>
      <c r="C62" s="10" t="str">
        <f t="shared" si="11"/>
        <v/>
      </c>
      <c r="D62" s="9"/>
      <c r="E62" s="9" t="str">
        <f t="shared" si="9"/>
        <v/>
      </c>
      <c r="F62" s="9"/>
      <c r="G62" s="3"/>
      <c r="H62" s="3"/>
      <c r="I62" s="8"/>
      <c r="J62" s="3"/>
      <c r="K62" s="13"/>
      <c r="L62" s="3"/>
      <c r="M62" s="8"/>
      <c r="N62" s="8"/>
      <c r="O62" s="8"/>
      <c r="P62" s="3"/>
      <c r="Q62" s="3"/>
      <c r="R62" s="3"/>
    </row>
    <row r="63" spans="1:18">
      <c r="A63" s="14"/>
      <c r="B63" s="9"/>
      <c r="C63" s="10"/>
      <c r="D63" s="9"/>
      <c r="E63" s="9"/>
      <c r="F63" s="9"/>
      <c r="G63" s="3"/>
      <c r="H63" s="3"/>
      <c r="I63" s="8"/>
      <c r="J63" s="3"/>
      <c r="K63" s="3"/>
      <c r="L63" s="3"/>
      <c r="M63" s="8"/>
      <c r="N63" s="3"/>
      <c r="O63" s="8"/>
      <c r="P63" s="3"/>
      <c r="Q63" s="3"/>
      <c r="R63" s="3"/>
    </row>
    <row r="64" spans="1:18">
      <c r="A64" s="14"/>
      <c r="B64" s="9"/>
      <c r="C64" s="10" t="str">
        <f t="shared" ref="C64:C71" si="12">UPPER(I64)</f>
        <v>PRODUCTION MANAGER</v>
      </c>
      <c r="D64" s="9"/>
      <c r="E64" s="9" t="str">
        <f t="shared" ref="E64:E71" si="13">UPPER(K64)</f>
        <v>SEMIN SHIN</v>
      </c>
      <c r="F64" s="9"/>
      <c r="G64" s="3"/>
      <c r="H64" s="3"/>
      <c r="I64" s="8" t="s">
        <v>152</v>
      </c>
      <c r="J64" s="3"/>
      <c r="K64" s="3" t="s">
        <v>153</v>
      </c>
      <c r="L64" s="3"/>
      <c r="M64" s="8"/>
      <c r="N64" s="8"/>
      <c r="O64" s="8" t="s">
        <v>775</v>
      </c>
      <c r="P64" s="3"/>
      <c r="Q64" s="3" t="s">
        <v>776</v>
      </c>
      <c r="R64" s="3"/>
    </row>
    <row r="65" spans="1:18">
      <c r="A65" s="14"/>
      <c r="B65" s="9"/>
      <c r="C65" s="10" t="str">
        <f t="shared" si="12"/>
        <v/>
      </c>
      <c r="D65" s="9"/>
      <c r="E65" s="9" t="str">
        <f t="shared" si="13"/>
        <v/>
      </c>
      <c r="F65" s="9"/>
      <c r="G65" s="3"/>
      <c r="H65" s="3"/>
      <c r="I65" s="8"/>
      <c r="J65" s="3"/>
      <c r="K65" s="3"/>
      <c r="L65" s="3"/>
      <c r="M65" s="8"/>
      <c r="N65" s="8"/>
      <c r="O65" s="8"/>
      <c r="P65" s="3"/>
      <c r="Q65" s="3"/>
      <c r="R65" s="3"/>
    </row>
    <row r="66" spans="1:18">
      <c r="A66" s="14"/>
      <c r="B66" s="9"/>
      <c r="C66" s="10" t="str">
        <f t="shared" si="12"/>
        <v>PRODUCTION COORDINATOR</v>
      </c>
      <c r="D66" s="9"/>
      <c r="E66" s="9" t="str">
        <f t="shared" si="13"/>
        <v>SEHUI JUNG</v>
      </c>
      <c r="F66" s="9"/>
      <c r="G66" s="3"/>
      <c r="H66" s="3"/>
      <c r="I66" s="8" t="s">
        <v>184</v>
      </c>
      <c r="J66" s="3"/>
      <c r="K66" s="3" t="s">
        <v>185</v>
      </c>
      <c r="L66" s="3"/>
      <c r="M66" s="3"/>
      <c r="N66" s="8"/>
      <c r="O66" s="8" t="s">
        <v>800</v>
      </c>
      <c r="P66" s="3"/>
      <c r="Q66" s="3" t="s">
        <v>801</v>
      </c>
      <c r="R66" s="3"/>
    </row>
    <row r="67" spans="1:18">
      <c r="A67" s="14"/>
      <c r="B67" s="9"/>
      <c r="C67" s="10" t="str">
        <f t="shared" si="12"/>
        <v/>
      </c>
      <c r="D67" s="9"/>
      <c r="E67" s="9" t="str">
        <f t="shared" si="13"/>
        <v>CHRISTINA YOONJUNG HAN</v>
      </c>
      <c r="F67" s="9"/>
      <c r="G67" s="3"/>
      <c r="H67" s="3"/>
      <c r="I67" s="8"/>
      <c r="J67" s="3"/>
      <c r="K67" s="3" t="s">
        <v>186</v>
      </c>
      <c r="L67" s="3"/>
      <c r="M67" s="8"/>
      <c r="N67" s="8"/>
      <c r="O67" s="3"/>
      <c r="P67" s="3"/>
      <c r="Q67" s="3" t="s">
        <v>802</v>
      </c>
      <c r="R67" s="3"/>
    </row>
    <row r="68" spans="1:18">
      <c r="A68" s="14"/>
      <c r="B68" s="9"/>
      <c r="C68" s="10" t="str">
        <f t="shared" si="12"/>
        <v/>
      </c>
      <c r="D68" s="9"/>
      <c r="E68" s="9" t="str">
        <f t="shared" si="13"/>
        <v>WOORI KO</v>
      </c>
      <c r="F68" s="9"/>
      <c r="G68" s="3"/>
      <c r="H68" s="3"/>
      <c r="I68" s="8"/>
      <c r="J68" s="3"/>
      <c r="K68" s="3" t="s">
        <v>187</v>
      </c>
      <c r="L68" s="3"/>
      <c r="M68" s="8"/>
      <c r="N68" s="8"/>
      <c r="O68" s="3"/>
      <c r="P68" s="3"/>
      <c r="Q68" s="3" t="s">
        <v>803</v>
      </c>
      <c r="R68" s="3"/>
    </row>
    <row r="69" spans="1:18">
      <c r="A69" s="14"/>
      <c r="B69" s="9"/>
      <c r="C69" s="10" t="str">
        <f t="shared" si="12"/>
        <v/>
      </c>
      <c r="D69" s="9"/>
      <c r="E69" s="9" t="str">
        <f t="shared" si="13"/>
        <v>EUNHA HWANG</v>
      </c>
      <c r="F69" s="9"/>
      <c r="G69" s="3"/>
      <c r="H69" s="3"/>
      <c r="I69" s="8"/>
      <c r="J69" s="3"/>
      <c r="K69" s="3" t="s">
        <v>188</v>
      </c>
      <c r="L69" s="3"/>
      <c r="M69" s="8"/>
      <c r="N69" s="8"/>
      <c r="O69" s="3"/>
      <c r="P69" s="3"/>
      <c r="Q69" s="3" t="s">
        <v>804</v>
      </c>
      <c r="R69" s="3"/>
    </row>
    <row r="70" spans="1:18">
      <c r="A70" s="14"/>
      <c r="B70" s="9"/>
      <c r="C70" s="10" t="str">
        <f t="shared" si="12"/>
        <v/>
      </c>
      <c r="D70" s="9"/>
      <c r="E70" s="9" t="str">
        <f t="shared" si="13"/>
        <v>YEONJAE KANG</v>
      </c>
      <c r="F70" s="9"/>
      <c r="G70" s="3"/>
      <c r="H70" s="3"/>
      <c r="I70" s="8"/>
      <c r="J70" s="3"/>
      <c r="K70" s="3" t="s">
        <v>189</v>
      </c>
      <c r="L70" s="3"/>
      <c r="M70" s="8"/>
      <c r="N70" s="8"/>
      <c r="O70" s="3"/>
      <c r="P70" s="3"/>
      <c r="Q70" s="3" t="s">
        <v>805</v>
      </c>
      <c r="R70" s="3"/>
    </row>
    <row r="71" spans="1:18">
      <c r="A71" s="14"/>
      <c r="B71" s="9"/>
      <c r="C71" s="10" t="str">
        <f t="shared" si="12"/>
        <v/>
      </c>
      <c r="D71" s="9"/>
      <c r="E71" s="9" t="str">
        <f t="shared" si="13"/>
        <v>SKYE YONJI LEE</v>
      </c>
      <c r="F71" s="9"/>
      <c r="G71" s="3"/>
      <c r="H71" s="3"/>
      <c r="I71" s="8"/>
      <c r="J71" s="3"/>
      <c r="K71" s="3" t="s">
        <v>190</v>
      </c>
      <c r="L71" s="3"/>
      <c r="M71" s="8"/>
      <c r="N71" s="8"/>
      <c r="O71" s="3"/>
      <c r="P71" s="3"/>
      <c r="Q71" s="3" t="s">
        <v>806</v>
      </c>
      <c r="R71" s="3"/>
    </row>
    <row r="72" spans="1:18">
      <c r="A72" s="14"/>
      <c r="B72" s="9"/>
      <c r="C72" s="10"/>
      <c r="D72" s="9"/>
      <c r="E72" s="9"/>
      <c r="F72" s="9"/>
      <c r="G72" s="3"/>
      <c r="H72" s="3"/>
      <c r="I72" s="8"/>
      <c r="J72" s="3"/>
      <c r="K72" s="3"/>
      <c r="L72" s="3"/>
      <c r="M72" s="8"/>
      <c r="N72" s="8"/>
      <c r="O72" s="21"/>
      <c r="P72" s="3"/>
      <c r="Q72" s="3"/>
      <c r="R72" s="3"/>
    </row>
    <row r="73" spans="1:18">
      <c r="A73" s="14"/>
      <c r="B73" s="11" t="str">
        <f t="shared" ref="B73:C73" si="14">UPPER(H73)</f>
        <v/>
      </c>
      <c r="C73" s="12" t="str">
        <f t="shared" si="14"/>
        <v/>
      </c>
      <c r="D73" s="11"/>
      <c r="E73" s="11" t="str">
        <f>UPPER(K73)</f>
        <v/>
      </c>
      <c r="F73" s="11"/>
      <c r="G73" s="3"/>
      <c r="H73" s="3"/>
      <c r="I73" s="8"/>
      <c r="J73" s="3"/>
      <c r="K73" s="13"/>
      <c r="L73" s="3"/>
      <c r="M73" s="8"/>
      <c r="N73" s="8"/>
      <c r="O73" s="21"/>
      <c r="P73" s="3"/>
      <c r="Q73" s="3"/>
      <c r="R73" s="3"/>
    </row>
    <row r="74" spans="1:18">
      <c r="A74" s="14"/>
      <c r="B74" s="146"/>
      <c r="C74" s="141"/>
      <c r="D74" s="141"/>
      <c r="E74" s="141"/>
      <c r="F74" s="141"/>
      <c r="G74" s="3"/>
      <c r="H74" s="149"/>
      <c r="I74" s="141"/>
      <c r="J74" s="141"/>
      <c r="K74" s="141"/>
      <c r="L74" s="141"/>
      <c r="M74" s="8"/>
      <c r="N74" s="8"/>
      <c r="O74" s="21"/>
      <c r="P74" s="3"/>
      <c r="Q74" s="3"/>
      <c r="R74" s="3"/>
    </row>
    <row r="75" spans="1:18">
      <c r="A75" s="14"/>
      <c r="B75" s="150" t="str">
        <f>UPPER(H75)</f>
        <v>ART</v>
      </c>
      <c r="C75" s="141"/>
      <c r="D75" s="141"/>
      <c r="E75" s="141"/>
      <c r="F75" s="141"/>
      <c r="G75" s="28"/>
      <c r="H75" s="167" t="s">
        <v>191</v>
      </c>
      <c r="I75" s="141"/>
      <c r="J75" s="141"/>
      <c r="K75" s="141"/>
      <c r="L75" s="141"/>
      <c r="M75" s="29"/>
      <c r="N75" s="149" t="s">
        <v>807</v>
      </c>
      <c r="O75" s="141"/>
      <c r="P75" s="141"/>
      <c r="Q75" s="141"/>
      <c r="R75" s="141"/>
    </row>
    <row r="76" spans="1:18">
      <c r="A76" s="14"/>
      <c r="B76" s="9"/>
      <c r="C76" s="10" t="str">
        <f t="shared" ref="C76:C79" si="15">UPPER(I76)</f>
        <v>CHARACTER DESIGN</v>
      </c>
      <c r="D76" s="9"/>
      <c r="E76" s="9" t="str">
        <f t="shared" ref="E76:E86" si="16">UPPER(K76)</f>
        <v>NANDABY KWON</v>
      </c>
      <c r="F76" s="9"/>
      <c r="G76" s="3"/>
      <c r="H76" s="3"/>
      <c r="I76" s="8" t="s">
        <v>192</v>
      </c>
      <c r="J76" s="3"/>
      <c r="K76" s="13" t="s">
        <v>193</v>
      </c>
      <c r="L76" s="3"/>
      <c r="M76" s="8"/>
      <c r="N76" s="3"/>
      <c r="O76" s="8" t="s">
        <v>808</v>
      </c>
      <c r="P76" s="3"/>
      <c r="Q76" s="3" t="s">
        <v>809</v>
      </c>
      <c r="R76" s="3"/>
    </row>
    <row r="77" spans="1:18">
      <c r="A77" s="14"/>
      <c r="B77" s="9"/>
      <c r="C77" s="10" t="str">
        <f t="shared" si="15"/>
        <v/>
      </c>
      <c r="D77" s="9"/>
      <c r="E77" s="9" t="str">
        <f t="shared" si="16"/>
        <v>MANJOONG LEE</v>
      </c>
      <c r="F77" s="9"/>
      <c r="G77" s="3"/>
      <c r="H77" s="3"/>
      <c r="I77" s="8"/>
      <c r="J77" s="3"/>
      <c r="K77" s="13" t="s">
        <v>194</v>
      </c>
      <c r="L77" s="3"/>
      <c r="M77" s="8"/>
      <c r="N77" s="3"/>
      <c r="O77" s="3"/>
      <c r="P77" s="3"/>
      <c r="Q77" s="3" t="s">
        <v>810</v>
      </c>
      <c r="R77" s="3"/>
    </row>
    <row r="78" spans="1:18">
      <c r="A78" s="14"/>
      <c r="B78" s="9"/>
      <c r="C78" s="10" t="str">
        <f t="shared" si="15"/>
        <v/>
      </c>
      <c r="D78" s="9"/>
      <c r="E78" s="9" t="str">
        <f t="shared" si="16"/>
        <v>HYUNSONG WE</v>
      </c>
      <c r="F78" s="9"/>
      <c r="G78" s="3"/>
      <c r="H78" s="3"/>
      <c r="I78" s="8"/>
      <c r="J78" s="3"/>
      <c r="K78" s="13" t="s">
        <v>195</v>
      </c>
      <c r="L78" s="3"/>
      <c r="M78" s="8"/>
      <c r="N78" s="3"/>
      <c r="O78" s="3"/>
      <c r="P78" s="3"/>
      <c r="Q78" s="3" t="s">
        <v>811</v>
      </c>
      <c r="R78" s="3"/>
    </row>
    <row r="79" spans="1:18">
      <c r="A79" s="14"/>
      <c r="B79" s="9"/>
      <c r="C79" s="10" t="str">
        <f t="shared" si="15"/>
        <v/>
      </c>
      <c r="D79" s="9"/>
      <c r="E79" s="9" t="str">
        <f t="shared" si="16"/>
        <v>HEEGYEONG JUNG</v>
      </c>
      <c r="F79" s="9"/>
      <c r="G79" s="3"/>
      <c r="H79" s="3"/>
      <c r="I79" s="8"/>
      <c r="J79" s="3"/>
      <c r="K79" s="13" t="s">
        <v>196</v>
      </c>
      <c r="L79" s="3"/>
      <c r="M79" s="8"/>
      <c r="N79" s="3"/>
      <c r="O79" s="3"/>
      <c r="P79" s="3"/>
      <c r="Q79" s="3" t="s">
        <v>812</v>
      </c>
      <c r="R79" s="3"/>
    </row>
    <row r="80" spans="1:18">
      <c r="A80" s="14"/>
      <c r="B80" s="9"/>
      <c r="C80" s="10"/>
      <c r="D80" s="9"/>
      <c r="E80" s="9" t="str">
        <f t="shared" si="16"/>
        <v>SUNGMIN JUNG</v>
      </c>
      <c r="F80" s="9"/>
      <c r="G80" s="3"/>
      <c r="H80" s="3"/>
      <c r="I80" s="8"/>
      <c r="J80" s="3"/>
      <c r="K80" s="3" t="s">
        <v>197</v>
      </c>
      <c r="L80" s="3"/>
      <c r="M80" s="8"/>
      <c r="N80" s="3"/>
      <c r="O80" s="3"/>
      <c r="P80" s="3"/>
      <c r="Q80" s="3" t="s">
        <v>813</v>
      </c>
      <c r="R80" s="3"/>
    </row>
    <row r="81" spans="1:18">
      <c r="A81" s="14"/>
      <c r="B81" s="9"/>
      <c r="C81" s="10" t="str">
        <f t="shared" ref="C81:C82" si="17">UPPER(I81)</f>
        <v/>
      </c>
      <c r="D81" s="9"/>
      <c r="E81" s="9" t="str">
        <f t="shared" si="16"/>
        <v/>
      </c>
      <c r="F81" s="9"/>
      <c r="G81" s="3"/>
      <c r="H81" s="3"/>
      <c r="I81" s="8"/>
      <c r="J81" s="3"/>
      <c r="K81" s="13"/>
      <c r="L81" s="3"/>
      <c r="M81" s="8"/>
      <c r="N81" s="3"/>
      <c r="O81" s="8"/>
      <c r="P81" s="3"/>
      <c r="Q81" s="3"/>
      <c r="R81" s="3"/>
    </row>
    <row r="82" spans="1:18">
      <c r="A82" s="14"/>
      <c r="B82" s="9"/>
      <c r="C82" s="10" t="str">
        <f t="shared" si="17"/>
        <v>SET DESIGN</v>
      </c>
      <c r="D82" s="9"/>
      <c r="E82" s="9" t="str">
        <f t="shared" si="16"/>
        <v>BOMI KIM</v>
      </c>
      <c r="F82" s="9"/>
      <c r="G82" s="3"/>
      <c r="H82" s="3"/>
      <c r="I82" s="8" t="s">
        <v>198</v>
      </c>
      <c r="J82" s="3"/>
      <c r="K82" s="13" t="s">
        <v>199</v>
      </c>
      <c r="L82" s="3"/>
      <c r="M82" s="8"/>
      <c r="N82" s="3"/>
      <c r="O82" s="8" t="s">
        <v>814</v>
      </c>
      <c r="P82" s="3"/>
      <c r="Q82" s="3" t="s">
        <v>815</v>
      </c>
      <c r="R82" s="3"/>
    </row>
    <row r="83" spans="1:18">
      <c r="A83" s="14"/>
      <c r="B83" s="9"/>
      <c r="C83" s="10"/>
      <c r="D83" s="9"/>
      <c r="E83" s="9" t="str">
        <f t="shared" si="16"/>
        <v>CHANGRAE BAEK</v>
      </c>
      <c r="F83" s="9"/>
      <c r="G83" s="3"/>
      <c r="H83" s="3"/>
      <c r="I83" s="8"/>
      <c r="J83" s="3"/>
      <c r="K83" s="3" t="s">
        <v>200</v>
      </c>
      <c r="L83" s="3"/>
      <c r="M83" s="8"/>
      <c r="N83" s="3"/>
      <c r="O83" s="3"/>
      <c r="P83" s="3"/>
      <c r="Q83" s="3" t="s">
        <v>816</v>
      </c>
      <c r="R83" s="3"/>
    </row>
    <row r="84" spans="1:18">
      <c r="A84" s="14"/>
      <c r="B84" s="9"/>
      <c r="C84" s="10"/>
      <c r="D84" s="9"/>
      <c r="E84" s="9" t="str">
        <f t="shared" si="16"/>
        <v>SUNYOUNG PARK</v>
      </c>
      <c r="F84" s="9"/>
      <c r="G84" s="3"/>
      <c r="H84" s="3"/>
      <c r="I84" s="8"/>
      <c r="J84" s="3"/>
      <c r="K84" s="3" t="s">
        <v>201</v>
      </c>
      <c r="L84" s="3"/>
      <c r="M84" s="8"/>
      <c r="N84" s="3"/>
      <c r="O84" s="3"/>
      <c r="P84" s="3"/>
      <c r="Q84" s="3" t="s">
        <v>817</v>
      </c>
      <c r="R84" s="3"/>
    </row>
    <row r="85" spans="1:18">
      <c r="A85" s="14"/>
      <c r="B85" s="9"/>
      <c r="C85" s="10"/>
      <c r="D85" s="9"/>
      <c r="E85" s="9" t="str">
        <f t="shared" si="16"/>
        <v/>
      </c>
      <c r="F85" s="9"/>
      <c r="G85" s="3"/>
      <c r="H85" s="3"/>
      <c r="I85" s="8"/>
      <c r="J85" s="3"/>
      <c r="K85" s="3"/>
      <c r="L85" s="3"/>
      <c r="M85" s="8"/>
      <c r="N85" s="8"/>
      <c r="O85" s="21"/>
      <c r="P85" s="3"/>
      <c r="Q85" s="20"/>
      <c r="R85" s="3"/>
    </row>
    <row r="86" spans="1:18">
      <c r="A86" s="14"/>
      <c r="B86" s="9"/>
      <c r="C86" s="10" t="str">
        <f>UPPER(I86)</f>
        <v/>
      </c>
      <c r="D86" s="9"/>
      <c r="E86" s="9" t="str">
        <f t="shared" si="16"/>
        <v/>
      </c>
      <c r="F86" s="9"/>
      <c r="G86" s="3"/>
      <c r="H86" s="3"/>
      <c r="I86" s="8"/>
      <c r="J86" s="3"/>
      <c r="K86" s="13"/>
      <c r="L86" s="3"/>
      <c r="M86" s="8"/>
      <c r="N86" s="8"/>
      <c r="O86" s="21"/>
      <c r="P86" s="3"/>
      <c r="Q86" s="3"/>
      <c r="R86" s="3"/>
    </row>
    <row r="87" spans="1:18">
      <c r="A87" s="14"/>
      <c r="B87" s="146" t="str">
        <f>UPPER(H87)</f>
        <v>THE MONK STUDIOS</v>
      </c>
      <c r="C87" s="141"/>
      <c r="D87" s="141"/>
      <c r="E87" s="141"/>
      <c r="F87" s="141"/>
      <c r="G87" s="3"/>
      <c r="H87" s="149" t="s">
        <v>202</v>
      </c>
      <c r="I87" s="141"/>
      <c r="J87" s="141"/>
      <c r="K87" s="141"/>
      <c r="L87" s="141"/>
      <c r="M87" s="8"/>
      <c r="N87" s="149" t="s">
        <v>202</v>
      </c>
      <c r="O87" s="141"/>
      <c r="P87" s="141"/>
      <c r="Q87" s="141"/>
      <c r="R87" s="141"/>
    </row>
    <row r="88" spans="1:18">
      <c r="A88" s="14"/>
      <c r="B88" s="9"/>
      <c r="C88" s="10"/>
      <c r="D88" s="9"/>
      <c r="E88" s="9"/>
      <c r="F88" s="9"/>
      <c r="G88" s="3"/>
      <c r="H88" s="3"/>
      <c r="I88" s="30"/>
      <c r="J88" s="3"/>
      <c r="K88" s="31"/>
      <c r="L88" s="3"/>
      <c r="M88" s="8"/>
      <c r="N88" s="3"/>
      <c r="O88" s="30"/>
      <c r="P88" s="3"/>
      <c r="Q88" s="31"/>
      <c r="R88" s="3"/>
    </row>
    <row r="89" spans="1:18">
      <c r="A89" s="14"/>
      <c r="B89" s="9"/>
      <c r="C89" s="10" t="str">
        <f t="shared" ref="C89:C92" si="18">UPPER(I89)</f>
        <v>CONCEPT ARTIST</v>
      </c>
      <c r="D89" s="9"/>
      <c r="E89" s="9" t="str">
        <f t="shared" ref="E89:E92" si="19">UPPER(K89)</f>
        <v>WANICHAYA PHRAEJUNYA</v>
      </c>
      <c r="F89" s="9"/>
      <c r="G89" s="3"/>
      <c r="H89" s="3"/>
      <c r="I89" s="32" t="s">
        <v>203</v>
      </c>
      <c r="J89" s="3"/>
      <c r="K89" s="31" t="s">
        <v>610</v>
      </c>
      <c r="L89" s="3"/>
      <c r="M89" s="8"/>
      <c r="N89" s="3"/>
      <c r="O89" s="32" t="s">
        <v>203</v>
      </c>
      <c r="P89" s="3"/>
      <c r="Q89" s="31" t="s">
        <v>610</v>
      </c>
      <c r="R89" s="3"/>
    </row>
    <row r="90" spans="1:18">
      <c r="A90" s="14"/>
      <c r="B90" s="9"/>
      <c r="C90" s="10" t="str">
        <f t="shared" si="18"/>
        <v/>
      </c>
      <c r="D90" s="9"/>
      <c r="E90" s="9" t="str">
        <f t="shared" si="19"/>
        <v>PAKORN THONGKWANJAI</v>
      </c>
      <c r="F90" s="9"/>
      <c r="G90" s="3"/>
      <c r="H90" s="3"/>
      <c r="I90" s="8"/>
      <c r="J90" s="3"/>
      <c r="K90" s="31" t="s">
        <v>205</v>
      </c>
      <c r="L90" s="3"/>
      <c r="M90" s="8"/>
      <c r="N90" s="3"/>
      <c r="O90" s="8"/>
      <c r="P90" s="3"/>
      <c r="Q90" s="31" t="s">
        <v>205</v>
      </c>
      <c r="R90" s="3"/>
    </row>
    <row r="91" spans="1:18">
      <c r="A91" s="14"/>
      <c r="B91" s="9"/>
      <c r="C91" s="10" t="str">
        <f t="shared" si="18"/>
        <v/>
      </c>
      <c r="D91" s="9"/>
      <c r="E91" s="9" t="str">
        <f t="shared" si="19"/>
        <v>SURACHART YAMKUNTONG</v>
      </c>
      <c r="F91" s="9"/>
      <c r="G91" s="3"/>
      <c r="H91" s="3"/>
      <c r="I91" s="8"/>
      <c r="J91" s="3"/>
      <c r="K91" s="31" t="s">
        <v>206</v>
      </c>
      <c r="L91" s="3"/>
      <c r="M91" s="8"/>
      <c r="N91" s="3"/>
      <c r="O91" s="8"/>
      <c r="P91" s="3"/>
      <c r="Q91" s="31" t="s">
        <v>206</v>
      </c>
      <c r="R91" s="3"/>
    </row>
    <row r="92" spans="1:18">
      <c r="A92" s="14"/>
      <c r="B92" s="9"/>
      <c r="C92" s="10" t="str">
        <f t="shared" si="18"/>
        <v/>
      </c>
      <c r="D92" s="9"/>
      <c r="E92" s="9" t="str">
        <f t="shared" si="19"/>
        <v>BURATOUCH THONGPHISITSOMBAT</v>
      </c>
      <c r="F92" s="9"/>
      <c r="G92" s="3"/>
      <c r="H92" s="3"/>
      <c r="I92" s="8"/>
      <c r="J92" s="3"/>
      <c r="K92" s="31" t="s">
        <v>207</v>
      </c>
      <c r="L92" s="3"/>
      <c r="M92" s="8"/>
      <c r="N92" s="3"/>
      <c r="O92" s="8"/>
      <c r="P92" s="3"/>
      <c r="Q92" s="31" t="s">
        <v>207</v>
      </c>
      <c r="R92" s="3"/>
    </row>
    <row r="93" spans="1:18">
      <c r="A93" s="14"/>
      <c r="B93" s="9"/>
      <c r="C93" s="10"/>
      <c r="D93" s="9"/>
      <c r="E93" s="9"/>
      <c r="F93" s="9"/>
      <c r="G93" s="3"/>
      <c r="H93" s="3"/>
      <c r="I93" s="8"/>
      <c r="J93" s="3"/>
      <c r="K93" s="31"/>
      <c r="L93" s="3"/>
      <c r="M93" s="8"/>
      <c r="N93" s="8"/>
      <c r="O93" s="21"/>
      <c r="P93" s="3"/>
      <c r="Q93" s="3"/>
      <c r="R93" s="3"/>
    </row>
    <row r="94" spans="1:18">
      <c r="A94" s="14"/>
      <c r="B94" s="26"/>
      <c r="C94" s="26"/>
      <c r="D94" s="26"/>
      <c r="E94" s="26"/>
      <c r="F94" s="26"/>
      <c r="G94" s="3"/>
      <c r="H94" s="5"/>
      <c r="I94" s="72"/>
      <c r="J94" s="5"/>
      <c r="K94" s="33"/>
      <c r="L94" s="5"/>
      <c r="M94" s="8"/>
      <c r="N94" s="8"/>
      <c r="O94" s="21"/>
      <c r="P94" s="3"/>
      <c r="Q94" s="3"/>
      <c r="R94" s="3"/>
    </row>
    <row r="95" spans="1:18">
      <c r="A95" s="14"/>
      <c r="B95" s="6"/>
      <c r="C95" s="6"/>
      <c r="D95" s="6"/>
      <c r="E95" s="6"/>
      <c r="F95" s="6"/>
      <c r="G95" s="3"/>
      <c r="H95" s="5"/>
      <c r="I95" s="72"/>
      <c r="J95" s="5"/>
      <c r="K95" s="33"/>
      <c r="L95" s="5"/>
      <c r="M95" s="8"/>
      <c r="N95" s="8"/>
      <c r="O95" s="21"/>
      <c r="P95" s="3"/>
      <c r="Q95" s="3"/>
      <c r="R95" s="3"/>
    </row>
    <row r="96" spans="1:18">
      <c r="A96" s="14"/>
      <c r="B96" s="150" t="str">
        <f>UPPER(H96)</f>
        <v xml:space="preserve">ASSET </v>
      </c>
      <c r="C96" s="141"/>
      <c r="D96" s="141"/>
      <c r="E96" s="141"/>
      <c r="F96" s="141"/>
      <c r="G96" s="28"/>
      <c r="H96" s="167" t="s">
        <v>208</v>
      </c>
      <c r="I96" s="141"/>
      <c r="J96" s="141"/>
      <c r="K96" s="141"/>
      <c r="L96" s="141"/>
      <c r="M96" s="29"/>
      <c r="N96" s="149" t="s">
        <v>818</v>
      </c>
      <c r="O96" s="141"/>
      <c r="P96" s="141"/>
      <c r="Q96" s="141"/>
      <c r="R96" s="141"/>
    </row>
    <row r="97" spans="1:18">
      <c r="A97" s="14"/>
      <c r="B97" s="9"/>
      <c r="C97" s="10" t="str">
        <f t="shared" ref="C97:C105" si="20">UPPER(I97)</f>
        <v>ASSET SUPERVISOR</v>
      </c>
      <c r="D97" s="9"/>
      <c r="E97" s="9" t="str">
        <f t="shared" ref="E97:E105" si="21">UPPER(K97)</f>
        <v>SANGWOO NAM</v>
      </c>
      <c r="F97" s="9"/>
      <c r="G97" s="3"/>
      <c r="H97" s="3"/>
      <c r="I97" s="8" t="s">
        <v>209</v>
      </c>
      <c r="J97" s="3"/>
      <c r="K97" s="3" t="s">
        <v>210</v>
      </c>
      <c r="L97" s="3"/>
      <c r="M97" s="8"/>
      <c r="N97" s="8"/>
      <c r="O97" s="8" t="s">
        <v>819</v>
      </c>
      <c r="P97" s="3"/>
      <c r="Q97" s="3" t="s">
        <v>820</v>
      </c>
      <c r="R97" s="3"/>
    </row>
    <row r="98" spans="1:18">
      <c r="A98" s="14"/>
      <c r="B98" s="9"/>
      <c r="C98" s="10" t="str">
        <f t="shared" si="20"/>
        <v/>
      </c>
      <c r="D98" s="9"/>
      <c r="E98" s="9" t="str">
        <f t="shared" si="21"/>
        <v/>
      </c>
      <c r="F98" s="9"/>
      <c r="G98" s="3"/>
      <c r="H98" s="3"/>
      <c r="I98" s="8"/>
      <c r="J98" s="3"/>
      <c r="K98" s="3"/>
      <c r="L98" s="3"/>
      <c r="M98" s="8"/>
      <c r="N98" s="8"/>
      <c r="O98" s="21"/>
      <c r="P98" s="3"/>
      <c r="Q98" s="3"/>
      <c r="R98" s="3"/>
    </row>
    <row r="99" spans="1:18">
      <c r="A99" s="14"/>
      <c r="B99" s="9"/>
      <c r="C99" s="10" t="str">
        <f t="shared" si="20"/>
        <v>MODELING SUPERVISOR</v>
      </c>
      <c r="D99" s="9"/>
      <c r="E99" s="9" t="str">
        <f t="shared" si="21"/>
        <v>TEAYOUNG KIM</v>
      </c>
      <c r="F99" s="9"/>
      <c r="G99" s="3"/>
      <c r="H99" s="3"/>
      <c r="I99" s="8" t="s">
        <v>211</v>
      </c>
      <c r="J99" s="3"/>
      <c r="K99" s="3" t="s">
        <v>212</v>
      </c>
      <c r="L99" s="3"/>
      <c r="M99" s="8"/>
      <c r="N99" s="8"/>
      <c r="O99" s="8" t="s">
        <v>821</v>
      </c>
      <c r="P99" s="3"/>
      <c r="Q99" s="3" t="s">
        <v>822</v>
      </c>
      <c r="R99" s="3"/>
    </row>
    <row r="100" spans="1:18">
      <c r="A100" s="14"/>
      <c r="B100" s="9"/>
      <c r="C100" s="10" t="str">
        <f t="shared" si="20"/>
        <v/>
      </c>
      <c r="D100" s="9"/>
      <c r="E100" s="9" t="str">
        <f t="shared" si="21"/>
        <v>JUNGYUN HA</v>
      </c>
      <c r="F100" s="9"/>
      <c r="G100" s="3"/>
      <c r="H100" s="3"/>
      <c r="I100" s="8"/>
      <c r="J100" s="3"/>
      <c r="K100" s="3" t="s">
        <v>213</v>
      </c>
      <c r="L100" s="3"/>
      <c r="M100" s="8"/>
      <c r="N100" s="8"/>
      <c r="O100" s="8"/>
      <c r="P100" s="3"/>
      <c r="Q100" s="3" t="s">
        <v>823</v>
      </c>
      <c r="R100" s="3"/>
    </row>
    <row r="101" spans="1:18">
      <c r="A101" s="14"/>
      <c r="B101" s="9"/>
      <c r="C101" s="10" t="str">
        <f t="shared" si="20"/>
        <v/>
      </c>
      <c r="D101" s="9"/>
      <c r="E101" s="9" t="str">
        <f t="shared" si="21"/>
        <v>KIPYO KIM</v>
      </c>
      <c r="F101" s="9"/>
      <c r="G101" s="3"/>
      <c r="H101" s="3"/>
      <c r="I101" s="8"/>
      <c r="J101" s="3"/>
      <c r="K101" s="3" t="s">
        <v>214</v>
      </c>
      <c r="L101" s="3"/>
      <c r="M101" s="8"/>
      <c r="N101" s="8"/>
      <c r="O101" s="8"/>
      <c r="P101" s="3"/>
      <c r="Q101" s="3" t="s">
        <v>824</v>
      </c>
      <c r="R101" s="3"/>
    </row>
    <row r="102" spans="1:18">
      <c r="A102" s="14"/>
      <c r="B102" s="9"/>
      <c r="C102" s="10" t="str">
        <f t="shared" si="20"/>
        <v/>
      </c>
      <c r="D102" s="9"/>
      <c r="E102" s="9" t="str">
        <f t="shared" si="21"/>
        <v/>
      </c>
      <c r="F102" s="9"/>
      <c r="G102" s="3"/>
      <c r="H102" s="3"/>
      <c r="I102" s="8"/>
      <c r="J102" s="3"/>
      <c r="K102" s="3"/>
      <c r="L102" s="3"/>
      <c r="M102" s="8"/>
      <c r="N102" s="8"/>
      <c r="O102" s="8"/>
      <c r="P102" s="3"/>
      <c r="Q102" s="3"/>
      <c r="R102" s="3"/>
    </row>
    <row r="103" spans="1:18">
      <c r="A103" s="14"/>
      <c r="B103" s="9"/>
      <c r="C103" s="10" t="str">
        <f t="shared" si="20"/>
        <v>LOOKDEV ARTIST</v>
      </c>
      <c r="D103" s="9"/>
      <c r="E103" s="9" t="str">
        <f t="shared" si="21"/>
        <v>YEONJU LEE</v>
      </c>
      <c r="F103" s="9"/>
      <c r="G103" s="3"/>
      <c r="H103" s="3"/>
      <c r="I103" s="8" t="s">
        <v>215</v>
      </c>
      <c r="J103" s="3"/>
      <c r="K103" s="3" t="s">
        <v>216</v>
      </c>
      <c r="L103" s="3"/>
      <c r="M103" s="8"/>
      <c r="N103" s="8"/>
      <c r="O103" s="8" t="s">
        <v>825</v>
      </c>
      <c r="P103" s="3"/>
      <c r="Q103" s="3" t="s">
        <v>826</v>
      </c>
      <c r="R103" s="3"/>
    </row>
    <row r="104" spans="1:18">
      <c r="A104" s="14"/>
      <c r="B104" s="9"/>
      <c r="C104" s="10" t="str">
        <f t="shared" si="20"/>
        <v/>
      </c>
      <c r="D104" s="9"/>
      <c r="E104" s="9" t="str">
        <f t="shared" si="21"/>
        <v/>
      </c>
      <c r="F104" s="9"/>
      <c r="G104" s="3"/>
      <c r="H104" s="3"/>
      <c r="I104" s="8"/>
      <c r="J104" s="3"/>
      <c r="K104" s="3"/>
      <c r="L104" s="3"/>
      <c r="M104" s="3"/>
      <c r="N104" s="3"/>
      <c r="O104" s="8"/>
      <c r="P104" s="3"/>
      <c r="Q104" s="3"/>
      <c r="R104" s="3"/>
    </row>
    <row r="105" spans="1:18">
      <c r="A105" s="14"/>
      <c r="B105" s="9"/>
      <c r="C105" s="10" t="str">
        <f t="shared" si="20"/>
        <v>RIGGING</v>
      </c>
      <c r="D105" s="9"/>
      <c r="E105" s="9" t="str">
        <f t="shared" si="21"/>
        <v>MINJU YOO</v>
      </c>
      <c r="F105" s="9"/>
      <c r="G105" s="3"/>
      <c r="H105" s="3"/>
      <c r="I105" s="8" t="s">
        <v>217</v>
      </c>
      <c r="J105" s="3"/>
      <c r="K105" s="3" t="s">
        <v>218</v>
      </c>
      <c r="L105" s="3"/>
      <c r="M105" s="8"/>
      <c r="N105" s="8"/>
      <c r="O105" s="8" t="s">
        <v>827</v>
      </c>
      <c r="P105" s="3"/>
      <c r="Q105" s="3" t="s">
        <v>828</v>
      </c>
      <c r="R105" s="3"/>
    </row>
    <row r="106" spans="1:18">
      <c r="A106" s="14"/>
      <c r="B106" s="9"/>
      <c r="C106" s="10"/>
      <c r="D106" s="9"/>
      <c r="E106" s="9"/>
      <c r="F106" s="9"/>
      <c r="G106" s="3"/>
      <c r="H106" s="3"/>
      <c r="I106" s="2"/>
      <c r="J106" s="3"/>
      <c r="K106" s="3"/>
      <c r="L106" s="3"/>
      <c r="M106" s="8"/>
      <c r="N106" s="8"/>
      <c r="O106" s="21"/>
      <c r="P106" s="3"/>
      <c r="Q106" s="3"/>
      <c r="R106" s="3"/>
    </row>
    <row r="107" spans="1:18">
      <c r="A107" s="14"/>
      <c r="B107" s="11"/>
      <c r="C107" s="12" t="str">
        <f>UPPER(I107)</f>
        <v/>
      </c>
      <c r="D107" s="11"/>
      <c r="E107" s="11" t="str">
        <f>UPPER(K107)</f>
        <v/>
      </c>
      <c r="F107" s="11"/>
      <c r="G107" s="3"/>
      <c r="H107" s="3"/>
      <c r="I107" s="2"/>
      <c r="J107" s="3"/>
      <c r="K107" s="3"/>
      <c r="L107" s="3"/>
      <c r="M107" s="8"/>
      <c r="N107" s="8"/>
      <c r="O107" s="21"/>
      <c r="P107" s="3"/>
      <c r="Q107" s="3"/>
      <c r="R107" s="3"/>
    </row>
    <row r="108" spans="1:18">
      <c r="A108" s="14"/>
      <c r="B108" s="9"/>
      <c r="C108" s="10"/>
      <c r="D108" s="9"/>
      <c r="E108" s="9"/>
      <c r="F108" s="9"/>
      <c r="G108" s="3"/>
      <c r="H108" s="3"/>
      <c r="I108" s="2"/>
      <c r="J108" s="3"/>
      <c r="K108" s="3"/>
      <c r="L108" s="3"/>
      <c r="M108" s="8"/>
      <c r="N108" s="8"/>
      <c r="O108" s="21"/>
      <c r="P108" s="3"/>
      <c r="Q108" s="3"/>
      <c r="R108" s="3"/>
    </row>
    <row r="109" spans="1:18">
      <c r="A109" s="14"/>
      <c r="B109" s="150" t="str">
        <f t="shared" ref="B109:B110" si="22">UPPER(H109)</f>
        <v xml:space="preserve">ASSET </v>
      </c>
      <c r="C109" s="141"/>
      <c r="D109" s="141"/>
      <c r="E109" s="141"/>
      <c r="F109" s="141"/>
      <c r="G109" s="28"/>
      <c r="H109" s="167" t="s">
        <v>208</v>
      </c>
      <c r="I109" s="141"/>
      <c r="J109" s="141"/>
      <c r="K109" s="141"/>
      <c r="L109" s="141"/>
      <c r="M109" s="8"/>
      <c r="N109" s="149" t="s">
        <v>818</v>
      </c>
      <c r="O109" s="141"/>
      <c r="P109" s="141"/>
      <c r="Q109" s="141"/>
      <c r="R109" s="141"/>
    </row>
    <row r="110" spans="1:18">
      <c r="A110" s="14"/>
      <c r="B110" s="146" t="str">
        <f t="shared" si="22"/>
        <v>THE MONK STUDIOS</v>
      </c>
      <c r="C110" s="141"/>
      <c r="D110" s="141"/>
      <c r="E110" s="141"/>
      <c r="F110" s="141"/>
      <c r="G110" s="3"/>
      <c r="H110" s="149" t="s">
        <v>202</v>
      </c>
      <c r="I110" s="141"/>
      <c r="J110" s="141"/>
      <c r="K110" s="141"/>
      <c r="L110" s="141"/>
      <c r="M110" s="8"/>
      <c r="N110" s="149" t="s">
        <v>202</v>
      </c>
      <c r="O110" s="141"/>
      <c r="P110" s="141"/>
      <c r="Q110" s="141"/>
      <c r="R110" s="141"/>
    </row>
    <row r="111" spans="1:18">
      <c r="A111" s="14"/>
      <c r="B111" s="9"/>
      <c r="C111" s="10"/>
      <c r="D111" s="9"/>
      <c r="E111" s="9"/>
      <c r="F111" s="9"/>
      <c r="G111" s="3"/>
      <c r="H111" s="3"/>
      <c r="I111" s="8"/>
      <c r="J111" s="2"/>
      <c r="K111" s="34"/>
      <c r="L111" s="2"/>
      <c r="N111" s="3"/>
      <c r="O111" s="8"/>
      <c r="P111" s="2"/>
      <c r="Q111" s="34"/>
      <c r="R111" s="2"/>
    </row>
    <row r="112" spans="1:18">
      <c r="A112" s="14"/>
      <c r="B112" s="9"/>
      <c r="C112" s="10" t="str">
        <f t="shared" ref="C112:C129" si="23">UPPER(I112)</f>
        <v>ASSET SUPERVISOR</v>
      </c>
      <c r="D112" s="9"/>
      <c r="E112" s="9" t="str">
        <f t="shared" ref="E112:E132" si="24">UPPER(K112)</f>
        <v>ATTAPORN KANJANASAHAS</v>
      </c>
      <c r="F112" s="9"/>
      <c r="G112" s="3"/>
      <c r="H112" s="3"/>
      <c r="I112" s="8" t="s">
        <v>209</v>
      </c>
      <c r="J112" s="2"/>
      <c r="K112" s="34" t="s">
        <v>219</v>
      </c>
      <c r="L112" s="2"/>
      <c r="N112" s="3"/>
      <c r="O112" s="8" t="s">
        <v>209</v>
      </c>
      <c r="P112" s="2"/>
      <c r="Q112" s="34" t="s">
        <v>219</v>
      </c>
      <c r="R112" s="2"/>
    </row>
    <row r="113" spans="1:18">
      <c r="A113" s="14"/>
      <c r="B113" s="9"/>
      <c r="C113" s="10" t="str">
        <f t="shared" si="23"/>
        <v/>
      </c>
      <c r="D113" s="9"/>
      <c r="E113" s="9" t="str">
        <f t="shared" si="24"/>
        <v/>
      </c>
      <c r="F113" s="9"/>
      <c r="G113" s="3"/>
      <c r="H113" s="3"/>
      <c r="I113" s="2"/>
      <c r="J113" s="2"/>
      <c r="K113" s="35"/>
      <c r="L113" s="2"/>
      <c r="N113" s="3"/>
      <c r="O113" s="2"/>
      <c r="P113" s="2"/>
      <c r="Q113" s="35"/>
      <c r="R113" s="2"/>
    </row>
    <row r="114" spans="1:18">
      <c r="A114" s="14"/>
      <c r="B114" s="9"/>
      <c r="C114" s="10" t="str">
        <f t="shared" si="23"/>
        <v>MODEL SUPERVISOR</v>
      </c>
      <c r="D114" s="9"/>
      <c r="E114" s="9" t="str">
        <f t="shared" si="24"/>
        <v>THANITTHA PROMPATIMA</v>
      </c>
      <c r="F114" s="9"/>
      <c r="G114" s="3"/>
      <c r="H114" s="3"/>
      <c r="I114" s="36" t="s">
        <v>220</v>
      </c>
      <c r="J114" s="3"/>
      <c r="K114" s="37" t="s">
        <v>221</v>
      </c>
      <c r="L114" s="3"/>
      <c r="M114" s="8"/>
      <c r="N114" s="3"/>
      <c r="O114" s="36" t="s">
        <v>220</v>
      </c>
      <c r="P114" s="3"/>
      <c r="Q114" s="37" t="s">
        <v>221</v>
      </c>
      <c r="R114" s="3"/>
    </row>
    <row r="115" spans="1:18">
      <c r="A115" s="14"/>
      <c r="B115" s="9"/>
      <c r="C115" s="10" t="str">
        <f t="shared" si="23"/>
        <v/>
      </c>
      <c r="D115" s="9"/>
      <c r="E115" s="9" t="str">
        <f t="shared" si="24"/>
        <v/>
      </c>
      <c r="F115" s="9"/>
      <c r="G115" s="3"/>
      <c r="H115" s="3"/>
      <c r="I115" s="36"/>
      <c r="J115" s="3"/>
      <c r="K115" s="37"/>
      <c r="L115" s="3"/>
      <c r="M115" s="8"/>
      <c r="N115" s="3"/>
      <c r="O115" s="36"/>
      <c r="P115" s="3"/>
      <c r="Q115" s="37"/>
      <c r="R115" s="3"/>
    </row>
    <row r="116" spans="1:18">
      <c r="A116" s="14"/>
      <c r="B116" s="9"/>
      <c r="C116" s="10" t="str">
        <f t="shared" si="23"/>
        <v>MODELER LEADER</v>
      </c>
      <c r="D116" s="9"/>
      <c r="E116" s="9" t="str">
        <f t="shared" si="24"/>
        <v>YANNAKRON WONGPHUN</v>
      </c>
      <c r="F116" s="9"/>
      <c r="G116" s="3"/>
      <c r="H116" s="3"/>
      <c r="I116" s="36" t="s">
        <v>222</v>
      </c>
      <c r="J116" s="3"/>
      <c r="K116" s="37" t="s">
        <v>223</v>
      </c>
      <c r="L116" s="3"/>
      <c r="M116" s="8"/>
      <c r="N116" s="3"/>
      <c r="O116" s="36" t="s">
        <v>222</v>
      </c>
      <c r="P116" s="3"/>
      <c r="Q116" s="37" t="s">
        <v>223</v>
      </c>
      <c r="R116" s="3"/>
    </row>
    <row r="117" spans="1:18">
      <c r="A117" s="14"/>
      <c r="B117" s="9"/>
      <c r="C117" s="10" t="str">
        <f t="shared" si="23"/>
        <v/>
      </c>
      <c r="D117" s="9"/>
      <c r="E117" s="9" t="str">
        <f t="shared" si="24"/>
        <v>CHANATITH TAWANMAI</v>
      </c>
      <c r="F117" s="9"/>
      <c r="G117" s="3"/>
      <c r="H117" s="3"/>
      <c r="I117" s="36"/>
      <c r="J117" s="3"/>
      <c r="K117" s="37" t="s">
        <v>224</v>
      </c>
      <c r="L117" s="3"/>
      <c r="M117" s="8"/>
      <c r="N117" s="3"/>
      <c r="O117" s="36"/>
      <c r="P117" s="3"/>
      <c r="Q117" s="37" t="s">
        <v>224</v>
      </c>
      <c r="R117" s="3"/>
    </row>
    <row r="118" spans="1:18">
      <c r="A118" s="14"/>
      <c r="B118" s="9"/>
      <c r="C118" s="10" t="str">
        <f t="shared" si="23"/>
        <v/>
      </c>
      <c r="D118" s="9"/>
      <c r="E118" s="9" t="str">
        <f t="shared" si="24"/>
        <v/>
      </c>
      <c r="F118" s="9"/>
      <c r="G118" s="3"/>
      <c r="H118" s="3"/>
      <c r="I118" s="36"/>
      <c r="J118" s="3"/>
      <c r="K118" s="37"/>
      <c r="L118" s="3"/>
      <c r="M118" s="8"/>
      <c r="N118" s="3"/>
      <c r="O118" s="36"/>
      <c r="P118" s="3"/>
      <c r="Q118" s="37"/>
      <c r="R118" s="3"/>
    </row>
    <row r="119" spans="1:18">
      <c r="A119" s="14"/>
      <c r="B119" s="9"/>
      <c r="C119" s="10" t="str">
        <f t="shared" si="23"/>
        <v>MODELER</v>
      </c>
      <c r="D119" s="9"/>
      <c r="E119" s="9" t="str">
        <f t="shared" si="24"/>
        <v>JIRAWAT PANGCHOMPOO</v>
      </c>
      <c r="F119" s="9"/>
      <c r="G119" s="3"/>
      <c r="H119" s="3"/>
      <c r="I119" s="36" t="s">
        <v>225</v>
      </c>
      <c r="J119" s="3"/>
      <c r="K119" s="37" t="s">
        <v>226</v>
      </c>
      <c r="L119" s="3"/>
      <c r="M119" s="8"/>
      <c r="N119" s="3"/>
      <c r="O119" s="36" t="s">
        <v>225</v>
      </c>
      <c r="P119" s="3"/>
      <c r="Q119" s="37" t="s">
        <v>226</v>
      </c>
      <c r="R119" s="3"/>
    </row>
    <row r="120" spans="1:18">
      <c r="A120" s="14"/>
      <c r="B120" s="9"/>
      <c r="C120" s="10" t="str">
        <f t="shared" si="23"/>
        <v/>
      </c>
      <c r="D120" s="9"/>
      <c r="E120" s="9" t="str">
        <f t="shared" si="24"/>
        <v>TEERAWAT PHO-OB</v>
      </c>
      <c r="F120" s="9"/>
      <c r="G120" s="3"/>
      <c r="H120" s="3"/>
      <c r="I120" s="8"/>
      <c r="J120" s="3"/>
      <c r="K120" s="37" t="s">
        <v>227</v>
      </c>
      <c r="L120" s="3"/>
      <c r="M120" s="8"/>
      <c r="N120" s="3"/>
      <c r="O120" s="8"/>
      <c r="P120" s="3"/>
      <c r="Q120" s="37" t="s">
        <v>227</v>
      </c>
      <c r="R120" s="3"/>
    </row>
    <row r="121" spans="1:18">
      <c r="A121" s="14"/>
      <c r="B121" s="9"/>
      <c r="C121" s="10" t="str">
        <f t="shared" si="23"/>
        <v/>
      </c>
      <c r="D121" s="9"/>
      <c r="E121" s="9" t="str">
        <f t="shared" si="24"/>
        <v>SUPACHOCK NUAMTHONG</v>
      </c>
      <c r="F121" s="9"/>
      <c r="G121" s="3"/>
      <c r="H121" s="3"/>
      <c r="I121" s="8"/>
      <c r="J121" s="3"/>
      <c r="K121" s="37" t="s">
        <v>228</v>
      </c>
      <c r="L121" s="3"/>
      <c r="M121" s="8"/>
      <c r="N121" s="3"/>
      <c r="O121" s="8"/>
      <c r="P121" s="3"/>
      <c r="Q121" s="37" t="s">
        <v>228</v>
      </c>
      <c r="R121" s="3"/>
    </row>
    <row r="122" spans="1:18">
      <c r="A122" s="14"/>
      <c r="B122" s="9"/>
      <c r="C122" s="10" t="str">
        <f t="shared" si="23"/>
        <v/>
      </c>
      <c r="D122" s="9"/>
      <c r="E122" s="9" t="str">
        <f t="shared" si="24"/>
        <v>VIPHADA KARNJANAWARIT</v>
      </c>
      <c r="F122" s="9"/>
      <c r="G122" s="3"/>
      <c r="H122" s="3"/>
      <c r="I122" s="8"/>
      <c r="J122" s="3"/>
      <c r="K122" s="37" t="s">
        <v>229</v>
      </c>
      <c r="L122" s="3"/>
      <c r="M122" s="8"/>
      <c r="N122" s="3"/>
      <c r="O122" s="8"/>
      <c r="P122" s="3"/>
      <c r="Q122" s="37" t="s">
        <v>229</v>
      </c>
      <c r="R122" s="3"/>
    </row>
    <row r="123" spans="1:18">
      <c r="A123" s="14"/>
      <c r="B123" s="9"/>
      <c r="C123" s="10" t="str">
        <f t="shared" si="23"/>
        <v/>
      </c>
      <c r="D123" s="9"/>
      <c r="E123" s="9" t="str">
        <f t="shared" si="24"/>
        <v>TEERAKA KONGPAISAND</v>
      </c>
      <c r="F123" s="9"/>
      <c r="G123" s="3"/>
      <c r="H123" s="3"/>
      <c r="I123" s="8"/>
      <c r="J123" s="3"/>
      <c r="K123" s="37" t="s">
        <v>230</v>
      </c>
      <c r="L123" s="3"/>
      <c r="M123" s="8"/>
      <c r="N123" s="3"/>
      <c r="O123" s="8"/>
      <c r="P123" s="3"/>
      <c r="Q123" s="37" t="s">
        <v>230</v>
      </c>
      <c r="R123" s="3"/>
    </row>
    <row r="124" spans="1:18">
      <c r="A124" s="14"/>
      <c r="B124" s="9"/>
      <c r="C124" s="10" t="str">
        <f t="shared" si="23"/>
        <v/>
      </c>
      <c r="D124" s="9"/>
      <c r="E124" s="9" t="str">
        <f t="shared" si="24"/>
        <v>NATCHA NUNTANAJAROENKUL</v>
      </c>
      <c r="F124" s="9"/>
      <c r="G124" s="3"/>
      <c r="H124" s="3"/>
      <c r="I124" s="8"/>
      <c r="J124" s="3"/>
      <c r="K124" s="37" t="s">
        <v>231</v>
      </c>
      <c r="L124" s="3"/>
      <c r="M124" s="8"/>
      <c r="N124" s="3"/>
      <c r="O124" s="8"/>
      <c r="P124" s="3"/>
      <c r="Q124" s="37" t="s">
        <v>231</v>
      </c>
      <c r="R124" s="3"/>
    </row>
    <row r="125" spans="1:18">
      <c r="A125" s="14"/>
      <c r="B125" s="9"/>
      <c r="C125" s="10" t="str">
        <f t="shared" si="23"/>
        <v/>
      </c>
      <c r="D125" s="9"/>
      <c r="E125" s="9" t="str">
        <f t="shared" si="24"/>
        <v>PANUWAT VIVATTANAWONGSIRI</v>
      </c>
      <c r="F125" s="9"/>
      <c r="G125" s="3"/>
      <c r="H125" s="3"/>
      <c r="I125" s="8"/>
      <c r="J125" s="3"/>
      <c r="K125" s="37" t="s">
        <v>232</v>
      </c>
      <c r="L125" s="3"/>
      <c r="M125" s="8"/>
      <c r="N125" s="3"/>
      <c r="O125" s="8"/>
      <c r="P125" s="3"/>
      <c r="Q125" s="37" t="s">
        <v>232</v>
      </c>
      <c r="R125" s="3"/>
    </row>
    <row r="126" spans="1:18">
      <c r="A126" s="14"/>
      <c r="B126" s="9"/>
      <c r="C126" s="10" t="str">
        <f t="shared" si="23"/>
        <v/>
      </c>
      <c r="D126" s="9"/>
      <c r="E126" s="9" t="str">
        <f t="shared" si="24"/>
        <v>KOTCHAWAN PRADITUKRIT</v>
      </c>
      <c r="F126" s="9"/>
      <c r="G126" s="3"/>
      <c r="H126" s="3"/>
      <c r="I126" s="8"/>
      <c r="J126" s="3"/>
      <c r="K126" s="37" t="s">
        <v>233</v>
      </c>
      <c r="L126" s="3"/>
      <c r="M126" s="8"/>
      <c r="N126" s="3"/>
      <c r="O126" s="8"/>
      <c r="P126" s="3"/>
      <c r="Q126" s="37" t="s">
        <v>233</v>
      </c>
      <c r="R126" s="3"/>
    </row>
    <row r="127" spans="1:18">
      <c r="A127" s="14"/>
      <c r="B127" s="9"/>
      <c r="C127" s="10" t="str">
        <f t="shared" si="23"/>
        <v/>
      </c>
      <c r="D127" s="9"/>
      <c r="E127" s="9" t="str">
        <f t="shared" si="24"/>
        <v>SUPAPAK SUKWAN</v>
      </c>
      <c r="F127" s="9"/>
      <c r="G127" s="3"/>
      <c r="H127" s="3"/>
      <c r="I127" s="8"/>
      <c r="J127" s="3"/>
      <c r="K127" s="37" t="s">
        <v>234</v>
      </c>
      <c r="L127" s="3"/>
      <c r="M127" s="8"/>
      <c r="N127" s="3"/>
      <c r="O127" s="8"/>
      <c r="P127" s="3"/>
      <c r="Q127" s="37" t="s">
        <v>234</v>
      </c>
      <c r="R127" s="3"/>
    </row>
    <row r="128" spans="1:18">
      <c r="A128" s="14"/>
      <c r="B128" s="9"/>
      <c r="C128" s="10" t="str">
        <f t="shared" si="23"/>
        <v/>
      </c>
      <c r="D128" s="9"/>
      <c r="E128" s="9" t="str">
        <f t="shared" si="24"/>
        <v>ANURAK WASAENDEE</v>
      </c>
      <c r="F128" s="9"/>
      <c r="G128" s="3"/>
      <c r="H128" s="3"/>
      <c r="I128" s="8"/>
      <c r="J128" s="3"/>
      <c r="K128" s="37" t="s">
        <v>235</v>
      </c>
      <c r="L128" s="3"/>
      <c r="M128" s="8"/>
      <c r="N128" s="3"/>
      <c r="O128" s="8"/>
      <c r="P128" s="3"/>
      <c r="Q128" s="37" t="s">
        <v>235</v>
      </c>
      <c r="R128" s="3"/>
    </row>
    <row r="129" spans="1:18">
      <c r="A129" s="14"/>
      <c r="B129" s="9"/>
      <c r="C129" s="10" t="str">
        <f t="shared" si="23"/>
        <v/>
      </c>
      <c r="D129" s="9"/>
      <c r="E129" s="9" t="str">
        <f t="shared" si="24"/>
        <v>JAKKRIT THANAPHATTHANAKUL</v>
      </c>
      <c r="F129" s="9"/>
      <c r="G129" s="3"/>
      <c r="H129" s="3"/>
      <c r="I129" s="8"/>
      <c r="J129" s="3"/>
      <c r="K129" s="37" t="s">
        <v>236</v>
      </c>
      <c r="L129" s="3"/>
      <c r="M129" s="8"/>
      <c r="N129" s="3"/>
      <c r="O129" s="8"/>
      <c r="P129" s="3"/>
      <c r="Q129" s="37" t="s">
        <v>236</v>
      </c>
      <c r="R129" s="3"/>
    </row>
    <row r="130" spans="1:18">
      <c r="A130" s="14"/>
      <c r="B130" s="9"/>
      <c r="C130" s="10"/>
      <c r="D130" s="9"/>
      <c r="E130" s="9" t="str">
        <f t="shared" si="24"/>
        <v>TANAWAT YORIYA</v>
      </c>
      <c r="F130" s="9"/>
      <c r="G130" s="3"/>
      <c r="H130" s="3"/>
      <c r="I130" s="8"/>
      <c r="J130" s="3"/>
      <c r="K130" s="31" t="s">
        <v>237</v>
      </c>
      <c r="L130" s="3"/>
      <c r="M130" s="8"/>
      <c r="N130" s="3"/>
      <c r="O130" s="8"/>
      <c r="P130" s="3"/>
      <c r="Q130" s="31" t="s">
        <v>237</v>
      </c>
      <c r="R130" s="3"/>
    </row>
    <row r="131" spans="1:18">
      <c r="A131" s="14"/>
      <c r="B131" s="9"/>
      <c r="C131" s="10"/>
      <c r="D131" s="9"/>
      <c r="E131" s="9" t="str">
        <f t="shared" si="24"/>
        <v>WITSANUKORN CHALIAOTHAM</v>
      </c>
      <c r="F131" s="9"/>
      <c r="G131" s="3"/>
      <c r="H131" s="3"/>
      <c r="I131" s="8"/>
      <c r="J131" s="3"/>
      <c r="K131" s="31" t="s">
        <v>238</v>
      </c>
      <c r="L131" s="3"/>
      <c r="M131" s="8"/>
      <c r="N131" s="3"/>
      <c r="O131" s="8"/>
      <c r="P131" s="3"/>
      <c r="Q131" s="31" t="s">
        <v>238</v>
      </c>
      <c r="R131" s="3"/>
    </row>
    <row r="132" spans="1:18">
      <c r="A132" s="14"/>
      <c r="B132" s="9"/>
      <c r="C132" s="10"/>
      <c r="D132" s="9"/>
      <c r="E132" s="9" t="str">
        <f t="shared" si="24"/>
        <v>CHANBHASAKORN MINGSOMPAN</v>
      </c>
      <c r="F132" s="9"/>
      <c r="G132" s="3"/>
      <c r="H132" s="3"/>
      <c r="I132" s="8"/>
      <c r="J132" s="3"/>
      <c r="K132" s="31" t="s">
        <v>239</v>
      </c>
      <c r="L132" s="3"/>
      <c r="M132" s="8"/>
      <c r="N132" s="3"/>
      <c r="O132" s="8"/>
      <c r="P132" s="3"/>
      <c r="Q132" s="31" t="s">
        <v>239</v>
      </c>
      <c r="R132" s="3"/>
    </row>
    <row r="133" spans="1:18">
      <c r="A133" s="14"/>
      <c r="B133" s="9"/>
      <c r="C133" s="10"/>
      <c r="D133" s="9"/>
      <c r="E133" s="9"/>
      <c r="F133" s="9"/>
      <c r="G133" s="3"/>
      <c r="H133" s="3"/>
      <c r="I133" s="8"/>
      <c r="J133" s="3"/>
      <c r="K133" s="31"/>
      <c r="L133" s="3"/>
      <c r="M133" s="8"/>
      <c r="N133" s="8"/>
      <c r="O133" s="21"/>
      <c r="P133" s="3"/>
      <c r="Q133" s="3"/>
      <c r="R133" s="3"/>
    </row>
    <row r="134" spans="1:18">
      <c r="A134" s="14"/>
      <c r="B134" s="11"/>
      <c r="C134" s="12"/>
      <c r="D134" s="11"/>
      <c r="E134" s="11"/>
      <c r="F134" s="11"/>
      <c r="G134" s="3"/>
      <c r="H134" s="3"/>
      <c r="I134" s="8"/>
      <c r="J134" s="3"/>
      <c r="K134" s="31"/>
      <c r="L134" s="3"/>
      <c r="M134" s="8"/>
      <c r="N134" s="8"/>
      <c r="O134" s="21"/>
      <c r="P134" s="3"/>
      <c r="Q134" s="3"/>
      <c r="R134" s="3"/>
    </row>
    <row r="135" spans="1:18">
      <c r="A135" s="14"/>
      <c r="B135" s="9"/>
      <c r="C135" s="10"/>
      <c r="D135" s="9"/>
      <c r="E135" s="9"/>
      <c r="F135" s="9"/>
      <c r="G135" s="3"/>
      <c r="H135" s="3"/>
      <c r="I135" s="8"/>
      <c r="J135" s="3"/>
      <c r="K135" s="31"/>
      <c r="L135" s="3"/>
      <c r="M135" s="8"/>
      <c r="N135" s="8"/>
      <c r="O135" s="21"/>
      <c r="P135" s="3"/>
      <c r="Q135" s="3"/>
      <c r="R135" s="3"/>
    </row>
    <row r="136" spans="1:18">
      <c r="A136" s="14"/>
      <c r="B136" s="150" t="str">
        <f t="shared" ref="B136:B137" si="25">UPPER(H136)</f>
        <v xml:space="preserve">ASSET </v>
      </c>
      <c r="C136" s="141"/>
      <c r="D136" s="141"/>
      <c r="E136" s="141"/>
      <c r="F136" s="141"/>
      <c r="G136" s="28"/>
      <c r="H136" s="167" t="s">
        <v>208</v>
      </c>
      <c r="I136" s="141"/>
      <c r="J136" s="141"/>
      <c r="K136" s="141"/>
      <c r="L136" s="141"/>
      <c r="M136" s="8"/>
      <c r="N136" s="149" t="s">
        <v>818</v>
      </c>
      <c r="O136" s="141"/>
      <c r="P136" s="141"/>
      <c r="Q136" s="141"/>
      <c r="R136" s="141"/>
    </row>
    <row r="137" spans="1:18">
      <c r="A137" s="14"/>
      <c r="B137" s="146" t="str">
        <f t="shared" si="25"/>
        <v>THE MONK STUDIOS</v>
      </c>
      <c r="C137" s="141"/>
      <c r="D137" s="141"/>
      <c r="E137" s="141"/>
      <c r="F137" s="141"/>
      <c r="G137" s="3"/>
      <c r="H137" s="149" t="s">
        <v>202</v>
      </c>
      <c r="I137" s="141"/>
      <c r="J137" s="141"/>
      <c r="K137" s="141"/>
      <c r="L137" s="141"/>
      <c r="M137" s="8"/>
      <c r="N137" s="8"/>
      <c r="O137" s="36" t="s">
        <v>240</v>
      </c>
      <c r="P137" s="3"/>
      <c r="Q137" s="22" t="s">
        <v>241</v>
      </c>
      <c r="R137" s="3"/>
    </row>
    <row r="138" spans="1:18">
      <c r="A138" s="14"/>
      <c r="B138" s="38"/>
      <c r="C138" s="38"/>
      <c r="D138" s="38"/>
      <c r="E138" s="38"/>
      <c r="F138" s="38"/>
      <c r="G138" s="3"/>
      <c r="H138" s="5"/>
      <c r="I138" s="5"/>
      <c r="J138" s="5"/>
      <c r="K138" s="5"/>
      <c r="L138" s="5"/>
      <c r="M138" s="3"/>
      <c r="N138" s="3"/>
      <c r="O138" s="36"/>
      <c r="P138" s="3"/>
      <c r="Q138" s="22"/>
      <c r="R138" s="3"/>
    </row>
    <row r="139" spans="1:18">
      <c r="A139" s="14"/>
      <c r="B139" s="9"/>
      <c r="C139" s="10" t="str">
        <f t="shared" ref="C139:C152" si="26">UPPER(I139)</f>
        <v>TEXTURE SUPERVISOR</v>
      </c>
      <c r="D139" s="9"/>
      <c r="E139" s="9" t="str">
        <f t="shared" ref="E139:E154" si="27">UPPER(K139)</f>
        <v>REWAT SIKHEMNGAM</v>
      </c>
      <c r="F139" s="9"/>
      <c r="G139" s="3"/>
      <c r="H139" s="3"/>
      <c r="I139" s="36" t="s">
        <v>240</v>
      </c>
      <c r="J139" s="3"/>
      <c r="K139" s="22" t="s">
        <v>241</v>
      </c>
      <c r="L139" s="3"/>
      <c r="M139" s="8"/>
      <c r="N139" s="8"/>
      <c r="O139" s="36" t="s">
        <v>242</v>
      </c>
      <c r="P139" s="3"/>
      <c r="Q139" s="22" t="s">
        <v>243</v>
      </c>
      <c r="R139" s="3"/>
    </row>
    <row r="140" spans="1:18">
      <c r="A140" s="14"/>
      <c r="B140" s="9"/>
      <c r="C140" s="10" t="str">
        <f t="shared" si="26"/>
        <v/>
      </c>
      <c r="D140" s="9"/>
      <c r="E140" s="9" t="str">
        <f t="shared" si="27"/>
        <v/>
      </c>
      <c r="F140" s="9"/>
      <c r="G140" s="3"/>
      <c r="H140" s="3"/>
      <c r="I140" s="36"/>
      <c r="J140" s="3"/>
      <c r="K140" s="22"/>
      <c r="L140" s="3"/>
      <c r="M140" s="8"/>
      <c r="N140" s="8"/>
      <c r="O140" s="36"/>
      <c r="P140" s="3"/>
      <c r="Q140" s="22"/>
      <c r="R140" s="3"/>
    </row>
    <row r="141" spans="1:18">
      <c r="A141" s="14"/>
      <c r="B141" s="9"/>
      <c r="C141" s="10" t="str">
        <f t="shared" si="26"/>
        <v>TEXTURE LEAD</v>
      </c>
      <c r="D141" s="9"/>
      <c r="E141" s="9" t="str">
        <f t="shared" si="27"/>
        <v>DUANGRUETHAI WONGPHAKHAM</v>
      </c>
      <c r="F141" s="9"/>
      <c r="G141" s="3"/>
      <c r="H141" s="3"/>
      <c r="I141" s="36" t="s">
        <v>242</v>
      </c>
      <c r="J141" s="3"/>
      <c r="K141" s="22" t="s">
        <v>243</v>
      </c>
      <c r="L141" s="3"/>
      <c r="M141" s="8"/>
      <c r="N141" s="8"/>
      <c r="O141" s="36" t="s">
        <v>244</v>
      </c>
      <c r="P141" s="3"/>
      <c r="Q141" s="22" t="s">
        <v>245</v>
      </c>
      <c r="R141" s="3"/>
    </row>
    <row r="142" spans="1:18">
      <c r="A142" s="14"/>
      <c r="B142" s="9"/>
      <c r="C142" s="10" t="str">
        <f t="shared" si="26"/>
        <v/>
      </c>
      <c r="D142" s="9"/>
      <c r="E142" s="9" t="str">
        <f t="shared" si="27"/>
        <v/>
      </c>
      <c r="F142" s="9"/>
      <c r="G142" s="3"/>
      <c r="H142" s="3"/>
      <c r="I142" s="36"/>
      <c r="J142" s="3"/>
      <c r="K142" s="22"/>
      <c r="L142" s="3"/>
      <c r="M142" s="8"/>
      <c r="N142" s="8"/>
      <c r="O142" s="8"/>
      <c r="P142" s="3"/>
      <c r="Q142" s="22" t="s">
        <v>246</v>
      </c>
      <c r="R142" s="3"/>
    </row>
    <row r="143" spans="1:18">
      <c r="A143" s="14"/>
      <c r="B143" s="9"/>
      <c r="C143" s="10" t="str">
        <f t="shared" si="26"/>
        <v>TEXTURE ARTIST</v>
      </c>
      <c r="D143" s="9"/>
      <c r="E143" s="9" t="str">
        <f t="shared" si="27"/>
        <v>SURANG PASAMLEE</v>
      </c>
      <c r="F143" s="9"/>
      <c r="G143" s="3"/>
      <c r="H143" s="3"/>
      <c r="I143" s="36" t="s">
        <v>244</v>
      </c>
      <c r="J143" s="3"/>
      <c r="K143" s="22" t="s">
        <v>245</v>
      </c>
      <c r="L143" s="3"/>
      <c r="M143" s="8"/>
      <c r="N143" s="8"/>
      <c r="O143" s="8"/>
      <c r="P143" s="3"/>
      <c r="Q143" s="22" t="s">
        <v>247</v>
      </c>
      <c r="R143" s="3"/>
    </row>
    <row r="144" spans="1:18">
      <c r="A144" s="14"/>
      <c r="B144" s="9"/>
      <c r="C144" s="10" t="str">
        <f t="shared" si="26"/>
        <v/>
      </c>
      <c r="D144" s="9"/>
      <c r="E144" s="9" t="str">
        <f t="shared" si="27"/>
        <v>RUJIKAN PHENPAIJIT</v>
      </c>
      <c r="F144" s="9"/>
      <c r="G144" s="3"/>
      <c r="H144" s="3"/>
      <c r="I144" s="8"/>
      <c r="J144" s="3"/>
      <c r="K144" s="22" t="s">
        <v>246</v>
      </c>
      <c r="L144" s="3"/>
      <c r="M144" s="8"/>
      <c r="N144" s="8"/>
      <c r="O144" s="8"/>
      <c r="P144" s="3"/>
      <c r="Q144" s="22" t="s">
        <v>248</v>
      </c>
      <c r="R144" s="3"/>
    </row>
    <row r="145" spans="1:18">
      <c r="A145" s="14"/>
      <c r="B145" s="9"/>
      <c r="C145" s="10" t="str">
        <f t="shared" si="26"/>
        <v/>
      </c>
      <c r="D145" s="9"/>
      <c r="E145" s="9" t="str">
        <f t="shared" si="27"/>
        <v>POONNAWAT SANTIYOTHIN</v>
      </c>
      <c r="F145" s="9"/>
      <c r="G145" s="3"/>
      <c r="H145" s="3"/>
      <c r="I145" s="8"/>
      <c r="J145" s="3"/>
      <c r="K145" s="22" t="s">
        <v>247</v>
      </c>
      <c r="L145" s="3"/>
      <c r="M145" s="8"/>
      <c r="N145" s="8"/>
      <c r="O145" s="8"/>
      <c r="P145" s="3"/>
      <c r="Q145" s="22" t="s">
        <v>249</v>
      </c>
      <c r="R145" s="3"/>
    </row>
    <row r="146" spans="1:18">
      <c r="A146" s="14"/>
      <c r="B146" s="9"/>
      <c r="C146" s="10" t="str">
        <f t="shared" si="26"/>
        <v/>
      </c>
      <c r="D146" s="9"/>
      <c r="E146" s="9" t="str">
        <f t="shared" si="27"/>
        <v>NUTCHAYA PUENGPREEDA</v>
      </c>
      <c r="F146" s="9"/>
      <c r="G146" s="3"/>
      <c r="H146" s="3"/>
      <c r="I146" s="8"/>
      <c r="J146" s="3"/>
      <c r="K146" s="22" t="s">
        <v>248</v>
      </c>
      <c r="L146" s="3"/>
      <c r="M146" s="8"/>
      <c r="N146" s="8"/>
      <c r="O146" s="8"/>
      <c r="P146" s="3"/>
      <c r="Q146" s="22" t="s">
        <v>250</v>
      </c>
      <c r="R146" s="3"/>
    </row>
    <row r="147" spans="1:18">
      <c r="A147" s="14"/>
      <c r="B147" s="9"/>
      <c r="C147" s="10" t="str">
        <f t="shared" si="26"/>
        <v/>
      </c>
      <c r="D147" s="9"/>
      <c r="E147" s="9" t="str">
        <f t="shared" si="27"/>
        <v>KANLAYANEE SUWANNABUT</v>
      </c>
      <c r="F147" s="9"/>
      <c r="G147" s="3"/>
      <c r="H147" s="3"/>
      <c r="I147" s="8"/>
      <c r="J147" s="3"/>
      <c r="K147" s="22" t="s">
        <v>249</v>
      </c>
      <c r="L147" s="3"/>
      <c r="M147" s="8"/>
      <c r="N147" s="8"/>
      <c r="O147" s="8"/>
      <c r="P147" s="3"/>
      <c r="Q147" s="22" t="s">
        <v>251</v>
      </c>
      <c r="R147" s="3"/>
    </row>
    <row r="148" spans="1:18">
      <c r="A148" s="14"/>
      <c r="B148" s="9"/>
      <c r="C148" s="10" t="str">
        <f t="shared" si="26"/>
        <v/>
      </c>
      <c r="D148" s="9"/>
      <c r="E148" s="9" t="str">
        <f t="shared" si="27"/>
        <v>THANAWAT SAWATCHITANG</v>
      </c>
      <c r="F148" s="9"/>
      <c r="G148" s="3"/>
      <c r="H148" s="3"/>
      <c r="I148" s="8"/>
      <c r="J148" s="3"/>
      <c r="K148" s="22" t="s">
        <v>250</v>
      </c>
      <c r="L148" s="3"/>
      <c r="M148" s="8"/>
      <c r="N148" s="8"/>
      <c r="O148" s="8"/>
      <c r="P148" s="3"/>
      <c r="Q148" s="22" t="s">
        <v>252</v>
      </c>
      <c r="R148" s="3"/>
    </row>
    <row r="149" spans="1:18">
      <c r="A149" s="14"/>
      <c r="B149" s="9"/>
      <c r="C149" s="10" t="str">
        <f t="shared" si="26"/>
        <v/>
      </c>
      <c r="D149" s="9"/>
      <c r="E149" s="9" t="str">
        <f t="shared" si="27"/>
        <v>NATYADA WANGKAHAT</v>
      </c>
      <c r="F149" s="9"/>
      <c r="G149" s="3"/>
      <c r="H149" s="3"/>
      <c r="I149" s="8"/>
      <c r="J149" s="3"/>
      <c r="K149" s="22" t="s">
        <v>251</v>
      </c>
      <c r="L149" s="3"/>
      <c r="M149" s="8"/>
      <c r="N149" s="8"/>
      <c r="O149" s="8"/>
      <c r="P149" s="3"/>
      <c r="Q149" s="22" t="s">
        <v>253</v>
      </c>
      <c r="R149" s="3"/>
    </row>
    <row r="150" spans="1:18">
      <c r="A150" s="14"/>
      <c r="B150" s="9"/>
      <c r="C150" s="10" t="str">
        <f t="shared" si="26"/>
        <v/>
      </c>
      <c r="D150" s="9"/>
      <c r="E150" s="9" t="str">
        <f t="shared" si="27"/>
        <v>KWANLARB POTJANASUNTORN</v>
      </c>
      <c r="F150" s="9"/>
      <c r="G150" s="3"/>
      <c r="H150" s="3"/>
      <c r="I150" s="8"/>
      <c r="J150" s="3"/>
      <c r="K150" s="22" t="s">
        <v>252</v>
      </c>
      <c r="L150" s="3"/>
      <c r="M150" s="8"/>
      <c r="N150" s="8"/>
      <c r="O150" s="8"/>
      <c r="P150" s="3"/>
      <c r="Q150" s="22" t="s">
        <v>254</v>
      </c>
      <c r="R150" s="3"/>
    </row>
    <row r="151" spans="1:18">
      <c r="A151" s="14"/>
      <c r="B151" s="9"/>
      <c r="C151" s="10" t="str">
        <f t="shared" si="26"/>
        <v/>
      </c>
      <c r="D151" s="9"/>
      <c r="E151" s="9" t="str">
        <f t="shared" si="27"/>
        <v>KLAORAVEE PANPENG</v>
      </c>
      <c r="F151" s="9"/>
      <c r="G151" s="3"/>
      <c r="H151" s="3"/>
      <c r="I151" s="8"/>
      <c r="J151" s="3"/>
      <c r="K151" s="22" t="s">
        <v>253</v>
      </c>
      <c r="L151" s="3"/>
      <c r="M151" s="8"/>
      <c r="N151" s="8"/>
      <c r="O151" s="8"/>
      <c r="P151" s="3"/>
      <c r="Q151" s="22" t="s">
        <v>611</v>
      </c>
      <c r="R151" s="3"/>
    </row>
    <row r="152" spans="1:18">
      <c r="A152" s="14"/>
      <c r="B152" s="9"/>
      <c r="C152" s="10" t="str">
        <f t="shared" si="26"/>
        <v/>
      </c>
      <c r="D152" s="9"/>
      <c r="E152" s="9" t="str">
        <f t="shared" si="27"/>
        <v>NATPAPON TITICHOATRATTNA</v>
      </c>
      <c r="F152" s="9"/>
      <c r="G152" s="3"/>
      <c r="H152" s="3"/>
      <c r="I152" s="8"/>
      <c r="J152" s="3"/>
      <c r="K152" s="22" t="s">
        <v>254</v>
      </c>
      <c r="L152" s="3"/>
      <c r="M152" s="8"/>
      <c r="N152" s="8"/>
      <c r="O152" s="8"/>
      <c r="P152" s="3"/>
      <c r="Q152" s="22" t="s">
        <v>612</v>
      </c>
      <c r="R152" s="3"/>
    </row>
    <row r="153" spans="1:18">
      <c r="A153" s="14"/>
      <c r="B153" s="9"/>
      <c r="C153" s="10"/>
      <c r="D153" s="9"/>
      <c r="E153" s="9" t="str">
        <f t="shared" si="27"/>
        <v>SARUTA SANTIPRAP</v>
      </c>
      <c r="F153" s="9"/>
      <c r="G153" s="3"/>
      <c r="H153" s="3"/>
      <c r="I153" s="8"/>
      <c r="J153" s="3"/>
      <c r="K153" s="22" t="s">
        <v>611</v>
      </c>
      <c r="L153" s="3"/>
      <c r="M153" s="8"/>
      <c r="N153" s="8"/>
      <c r="O153" s="21"/>
      <c r="P153" s="3"/>
      <c r="Q153" s="3"/>
      <c r="R153" s="3"/>
    </row>
    <row r="154" spans="1:18">
      <c r="A154" s="14"/>
      <c r="B154" s="9"/>
      <c r="C154" s="10"/>
      <c r="D154" s="9"/>
      <c r="E154" s="9" t="str">
        <f t="shared" si="27"/>
        <v>PHATTARANAN CHAROENKIAT</v>
      </c>
      <c r="F154" s="9"/>
      <c r="G154" s="3"/>
      <c r="H154" s="3"/>
      <c r="I154" s="8"/>
      <c r="J154" s="3"/>
      <c r="K154" s="22" t="s">
        <v>612</v>
      </c>
      <c r="L154" s="3"/>
      <c r="M154" s="8"/>
      <c r="N154" s="8"/>
      <c r="O154" s="21"/>
      <c r="P154" s="3"/>
      <c r="Q154" s="3"/>
      <c r="R154" s="3"/>
    </row>
    <row r="155" spans="1:18">
      <c r="A155" s="14"/>
      <c r="B155" s="9"/>
      <c r="C155" s="10"/>
      <c r="D155" s="9"/>
      <c r="E155" s="9"/>
      <c r="F155" s="9"/>
      <c r="G155" s="3"/>
      <c r="H155" s="3"/>
      <c r="I155" s="8"/>
      <c r="J155" s="3"/>
      <c r="K155" s="22"/>
      <c r="L155" s="3"/>
      <c r="M155" s="8"/>
      <c r="N155" s="8"/>
      <c r="O155" s="21"/>
      <c r="P155" s="3"/>
      <c r="Q155" s="3"/>
      <c r="R155" s="3"/>
    </row>
    <row r="156" spans="1:18">
      <c r="A156" s="14"/>
      <c r="B156" s="11"/>
      <c r="C156" s="12"/>
      <c r="D156" s="11"/>
      <c r="E156" s="11"/>
      <c r="F156" s="11"/>
      <c r="G156" s="3"/>
      <c r="H156" s="3"/>
      <c r="I156" s="8"/>
      <c r="J156" s="3"/>
      <c r="K156" s="22"/>
      <c r="L156" s="3"/>
      <c r="M156" s="8"/>
      <c r="N156" s="8"/>
      <c r="O156" s="21"/>
      <c r="P156" s="3"/>
      <c r="Q156" s="3"/>
      <c r="R156" s="3"/>
    </row>
    <row r="157" spans="1:18">
      <c r="A157" s="14"/>
      <c r="B157" s="9"/>
      <c r="C157" s="10"/>
      <c r="D157" s="9"/>
      <c r="E157" s="9"/>
      <c r="F157" s="9"/>
      <c r="G157" s="3"/>
      <c r="H157" s="3"/>
      <c r="I157" s="8"/>
      <c r="J157" s="3"/>
      <c r="K157" s="22"/>
      <c r="L157" s="3"/>
      <c r="M157" s="8"/>
      <c r="N157" s="8"/>
      <c r="O157" s="21"/>
      <c r="P157" s="3"/>
      <c r="Q157" s="3"/>
      <c r="R157" s="3"/>
    </row>
    <row r="158" spans="1:18">
      <c r="A158" s="14"/>
      <c r="B158" s="150" t="str">
        <f t="shared" ref="B158:B159" si="28">UPPER(H158)</f>
        <v xml:space="preserve">ASSET </v>
      </c>
      <c r="C158" s="141"/>
      <c r="D158" s="141"/>
      <c r="E158" s="141"/>
      <c r="F158" s="141"/>
      <c r="G158" s="28"/>
      <c r="H158" s="167" t="s">
        <v>208</v>
      </c>
      <c r="I158" s="141"/>
      <c r="J158" s="141"/>
      <c r="K158" s="141"/>
      <c r="L158" s="141"/>
      <c r="M158" s="8"/>
      <c r="N158" s="149" t="s">
        <v>818</v>
      </c>
      <c r="O158" s="141"/>
      <c r="P158" s="141"/>
      <c r="Q158" s="141"/>
      <c r="R158" s="141"/>
    </row>
    <row r="159" spans="1:18">
      <c r="A159" s="14"/>
      <c r="B159" s="146" t="str">
        <f t="shared" si="28"/>
        <v>THE MONK STUDIOS</v>
      </c>
      <c r="C159" s="141"/>
      <c r="D159" s="141"/>
      <c r="E159" s="141"/>
      <c r="F159" s="141"/>
      <c r="G159" s="3"/>
      <c r="H159" s="149" t="s">
        <v>202</v>
      </c>
      <c r="I159" s="141"/>
      <c r="J159" s="141"/>
      <c r="K159" s="141"/>
      <c r="L159" s="141"/>
      <c r="M159" s="8"/>
      <c r="N159" s="149" t="s">
        <v>202</v>
      </c>
      <c r="O159" s="141"/>
      <c r="P159" s="141"/>
      <c r="Q159" s="141"/>
      <c r="R159" s="141"/>
    </row>
    <row r="160" spans="1:18">
      <c r="A160" s="14"/>
      <c r="B160" s="9"/>
      <c r="C160" s="10"/>
      <c r="D160" s="9"/>
      <c r="E160" s="9"/>
      <c r="F160" s="9"/>
      <c r="G160" s="3"/>
      <c r="H160" s="3"/>
      <c r="I160" s="36"/>
      <c r="J160" s="3"/>
      <c r="K160" s="22"/>
      <c r="L160" s="3"/>
      <c r="M160" s="8"/>
      <c r="N160" s="3"/>
      <c r="O160" s="36"/>
      <c r="P160" s="3"/>
      <c r="Q160" s="22"/>
      <c r="R160" s="3"/>
    </row>
    <row r="161" spans="1:18">
      <c r="A161" s="14"/>
      <c r="B161" s="9"/>
      <c r="C161" s="10" t="str">
        <f t="shared" ref="C161:C173" si="29">UPPER(I161)</f>
        <v>RIG SUPERVISOR</v>
      </c>
      <c r="D161" s="9"/>
      <c r="E161" s="9" t="str">
        <f t="shared" ref="E161:E175" si="30">UPPER(K161)</f>
        <v>SORAWIT LIMKERTPOL</v>
      </c>
      <c r="F161" s="9"/>
      <c r="G161" s="3"/>
      <c r="H161" s="3"/>
      <c r="I161" s="36" t="s">
        <v>255</v>
      </c>
      <c r="J161" s="3"/>
      <c r="K161" s="31" t="s">
        <v>256</v>
      </c>
      <c r="L161" s="3"/>
      <c r="M161" s="8"/>
      <c r="N161" s="3"/>
      <c r="O161" s="36" t="s">
        <v>255</v>
      </c>
      <c r="P161" s="3"/>
      <c r="Q161" s="31" t="s">
        <v>256</v>
      </c>
      <c r="R161" s="3"/>
    </row>
    <row r="162" spans="1:18">
      <c r="A162" s="14"/>
      <c r="B162" s="9"/>
      <c r="C162" s="10" t="str">
        <f t="shared" si="29"/>
        <v/>
      </c>
      <c r="D162" s="9"/>
      <c r="E162" s="9" t="str">
        <f t="shared" si="30"/>
        <v/>
      </c>
      <c r="F162" s="9"/>
      <c r="G162" s="3"/>
      <c r="H162" s="3"/>
      <c r="I162" s="36"/>
      <c r="J162" s="3"/>
      <c r="K162" s="31"/>
      <c r="L162" s="3"/>
      <c r="M162" s="8"/>
      <c r="N162" s="3"/>
      <c r="O162" s="36"/>
      <c r="P162" s="3"/>
      <c r="Q162" s="31"/>
      <c r="R162" s="3"/>
    </row>
    <row r="163" spans="1:18">
      <c r="A163" s="14"/>
      <c r="B163" s="9"/>
      <c r="C163" s="10" t="str">
        <f t="shared" si="29"/>
        <v>RIG LEAD</v>
      </c>
      <c r="D163" s="9"/>
      <c r="E163" s="9" t="str">
        <f t="shared" si="30"/>
        <v>RATHTY PONGWORAPINIT</v>
      </c>
      <c r="F163" s="9"/>
      <c r="G163" s="3"/>
      <c r="H163" s="3"/>
      <c r="I163" s="36" t="s">
        <v>257</v>
      </c>
      <c r="J163" s="3"/>
      <c r="K163" s="31" t="s">
        <v>258</v>
      </c>
      <c r="L163" s="3"/>
      <c r="M163" s="8"/>
      <c r="N163" s="3"/>
      <c r="O163" s="36" t="s">
        <v>257</v>
      </c>
      <c r="P163" s="3"/>
      <c r="Q163" s="31" t="s">
        <v>258</v>
      </c>
      <c r="R163" s="3"/>
    </row>
    <row r="164" spans="1:18">
      <c r="A164" s="14"/>
      <c r="B164" s="9"/>
      <c r="C164" s="10" t="str">
        <f t="shared" si="29"/>
        <v/>
      </c>
      <c r="D164" s="9"/>
      <c r="E164" s="9" t="str">
        <f t="shared" si="30"/>
        <v>CHONNIKAN SONSAMRIT</v>
      </c>
      <c r="F164" s="9"/>
      <c r="G164" s="3"/>
      <c r="H164" s="3"/>
      <c r="I164" s="36"/>
      <c r="J164" s="3"/>
      <c r="K164" s="31" t="s">
        <v>259</v>
      </c>
      <c r="L164" s="3"/>
      <c r="M164" s="8"/>
      <c r="N164" s="3"/>
      <c r="O164" s="36"/>
      <c r="P164" s="3"/>
      <c r="Q164" s="31" t="s">
        <v>259</v>
      </c>
      <c r="R164" s="3"/>
    </row>
    <row r="165" spans="1:18">
      <c r="A165" s="14"/>
      <c r="B165" s="9"/>
      <c r="C165" s="10" t="str">
        <f t="shared" si="29"/>
        <v/>
      </c>
      <c r="D165" s="9"/>
      <c r="E165" s="9" t="str">
        <f t="shared" si="30"/>
        <v/>
      </c>
      <c r="F165" s="9"/>
      <c r="G165" s="3"/>
      <c r="H165" s="3"/>
      <c r="I165" s="36"/>
      <c r="J165" s="3"/>
      <c r="K165" s="31"/>
      <c r="L165" s="3"/>
      <c r="M165" s="8"/>
      <c r="N165" s="3"/>
      <c r="O165" s="36"/>
      <c r="P165" s="3"/>
      <c r="Q165" s="31"/>
      <c r="R165" s="3"/>
    </row>
    <row r="166" spans="1:18">
      <c r="A166" s="14"/>
      <c r="B166" s="9"/>
      <c r="C166" s="10" t="str">
        <f t="shared" si="29"/>
        <v>RIG ARTIST</v>
      </c>
      <c r="D166" s="9"/>
      <c r="E166" s="9" t="str">
        <f t="shared" si="30"/>
        <v>ALI RAZA</v>
      </c>
      <c r="F166" s="9"/>
      <c r="G166" s="3"/>
      <c r="H166" s="3"/>
      <c r="I166" s="36" t="s">
        <v>260</v>
      </c>
      <c r="J166" s="3"/>
      <c r="K166" s="31" t="s">
        <v>261</v>
      </c>
      <c r="L166" s="3"/>
      <c r="M166" s="8"/>
      <c r="N166" s="3"/>
      <c r="O166" s="36" t="s">
        <v>260</v>
      </c>
      <c r="P166" s="3"/>
      <c r="Q166" s="31" t="s">
        <v>261</v>
      </c>
      <c r="R166" s="3"/>
    </row>
    <row r="167" spans="1:18">
      <c r="A167" s="14"/>
      <c r="B167" s="9"/>
      <c r="C167" s="10" t="str">
        <f t="shared" si="29"/>
        <v/>
      </c>
      <c r="D167" s="9"/>
      <c r="E167" s="9" t="str">
        <f t="shared" si="30"/>
        <v>BHUMINAT CHATURAMETHANONT</v>
      </c>
      <c r="F167" s="9"/>
      <c r="G167" s="3"/>
      <c r="H167" s="3"/>
      <c r="I167" s="8"/>
      <c r="J167" s="3"/>
      <c r="K167" s="31" t="s">
        <v>262</v>
      </c>
      <c r="L167" s="3"/>
      <c r="M167" s="8"/>
      <c r="N167" s="3"/>
      <c r="O167" s="8"/>
      <c r="P167" s="3"/>
      <c r="Q167" s="31" t="s">
        <v>262</v>
      </c>
      <c r="R167" s="3"/>
    </row>
    <row r="168" spans="1:18">
      <c r="A168" s="14"/>
      <c r="B168" s="9"/>
      <c r="C168" s="10" t="str">
        <f t="shared" si="29"/>
        <v/>
      </c>
      <c r="D168" s="9"/>
      <c r="E168" s="9" t="str">
        <f t="shared" si="30"/>
        <v>KRITTAPAD DEJJEENMUANG</v>
      </c>
      <c r="F168" s="9"/>
      <c r="G168" s="3"/>
      <c r="H168" s="3"/>
      <c r="I168" s="8"/>
      <c r="J168" s="3"/>
      <c r="K168" s="31" t="s">
        <v>263</v>
      </c>
      <c r="L168" s="3"/>
      <c r="M168" s="8"/>
      <c r="N168" s="3"/>
      <c r="O168" s="8"/>
      <c r="P168" s="3"/>
      <c r="Q168" s="31" t="s">
        <v>263</v>
      </c>
      <c r="R168" s="3"/>
    </row>
    <row r="169" spans="1:18">
      <c r="A169" s="14"/>
      <c r="B169" s="9"/>
      <c r="C169" s="10" t="str">
        <f t="shared" si="29"/>
        <v/>
      </c>
      <c r="D169" s="9"/>
      <c r="E169" s="9" t="str">
        <f t="shared" si="30"/>
        <v>ANAWIN SARNMOUNG</v>
      </c>
      <c r="F169" s="9"/>
      <c r="G169" s="3"/>
      <c r="H169" s="3"/>
      <c r="I169" s="8"/>
      <c r="J169" s="3"/>
      <c r="K169" s="31" t="s">
        <v>264</v>
      </c>
      <c r="L169" s="3"/>
      <c r="M169" s="8"/>
      <c r="N169" s="3"/>
      <c r="O169" s="8"/>
      <c r="P169" s="3"/>
      <c r="Q169" s="31" t="s">
        <v>264</v>
      </c>
      <c r="R169" s="3"/>
    </row>
    <row r="170" spans="1:18">
      <c r="A170" s="14"/>
      <c r="B170" s="9"/>
      <c r="C170" s="10" t="str">
        <f t="shared" si="29"/>
        <v/>
      </c>
      <c r="D170" s="9"/>
      <c r="E170" s="9" t="str">
        <f t="shared" si="30"/>
        <v>CHANYA KANICHAPONG</v>
      </c>
      <c r="F170" s="9"/>
      <c r="G170" s="3"/>
      <c r="H170" s="3"/>
      <c r="I170" s="8"/>
      <c r="J170" s="3"/>
      <c r="K170" s="31" t="s">
        <v>265</v>
      </c>
      <c r="L170" s="3"/>
      <c r="M170" s="8"/>
      <c r="N170" s="3"/>
      <c r="O170" s="8"/>
      <c r="P170" s="3"/>
      <c r="Q170" s="31" t="s">
        <v>265</v>
      </c>
      <c r="R170" s="3"/>
    </row>
    <row r="171" spans="1:18">
      <c r="A171" s="14"/>
      <c r="B171" s="9"/>
      <c r="C171" s="10" t="str">
        <f t="shared" si="29"/>
        <v/>
      </c>
      <c r="D171" s="9"/>
      <c r="E171" s="9" t="str">
        <f t="shared" si="30"/>
        <v>JIRAYUT JAIKLA</v>
      </c>
      <c r="F171" s="9"/>
      <c r="G171" s="3"/>
      <c r="H171" s="3"/>
      <c r="I171" s="8"/>
      <c r="J171" s="3"/>
      <c r="K171" s="31" t="s">
        <v>266</v>
      </c>
      <c r="L171" s="3"/>
      <c r="M171" s="8"/>
      <c r="N171" s="3"/>
      <c r="O171" s="8"/>
      <c r="P171" s="3"/>
      <c r="Q171" s="31" t="s">
        <v>266</v>
      </c>
      <c r="R171" s="3"/>
    </row>
    <row r="172" spans="1:18">
      <c r="A172" s="14"/>
      <c r="B172" s="9"/>
      <c r="C172" s="10" t="str">
        <f t="shared" si="29"/>
        <v/>
      </c>
      <c r="D172" s="9"/>
      <c r="E172" s="9" t="str">
        <f t="shared" si="30"/>
        <v>NANTAPAK PRUANGKARN</v>
      </c>
      <c r="F172" s="9"/>
      <c r="G172" s="3"/>
      <c r="H172" s="3"/>
      <c r="I172" s="8"/>
      <c r="J172" s="3"/>
      <c r="K172" s="31" t="s">
        <v>267</v>
      </c>
      <c r="L172" s="3"/>
      <c r="M172" s="8"/>
      <c r="N172" s="3"/>
      <c r="O172" s="8"/>
      <c r="P172" s="3"/>
      <c r="Q172" s="31" t="s">
        <v>267</v>
      </c>
      <c r="R172" s="3"/>
    </row>
    <row r="173" spans="1:18">
      <c r="A173" s="14"/>
      <c r="B173" s="9"/>
      <c r="C173" s="10" t="str">
        <f t="shared" si="29"/>
        <v/>
      </c>
      <c r="D173" s="9"/>
      <c r="E173" s="9" t="str">
        <f t="shared" si="30"/>
        <v>PANCHANOK CHOMCHUEN</v>
      </c>
      <c r="F173" s="9"/>
      <c r="G173" s="3"/>
      <c r="H173" s="3"/>
      <c r="I173" s="8"/>
      <c r="J173" s="3"/>
      <c r="K173" s="31" t="s">
        <v>268</v>
      </c>
      <c r="L173" s="3"/>
      <c r="M173" s="8"/>
      <c r="N173" s="3"/>
      <c r="O173" s="8"/>
      <c r="P173" s="3"/>
      <c r="Q173" s="31" t="s">
        <v>268</v>
      </c>
      <c r="R173" s="3"/>
    </row>
    <row r="174" spans="1:18">
      <c r="A174" s="14"/>
      <c r="B174" s="9"/>
      <c r="C174" s="10"/>
      <c r="D174" s="9"/>
      <c r="E174" s="9" t="str">
        <f t="shared" si="30"/>
        <v>TAWEEWAT TAWEEPASAS</v>
      </c>
      <c r="F174" s="9"/>
      <c r="G174" s="3"/>
      <c r="H174" s="3"/>
      <c r="I174" s="8"/>
      <c r="J174" s="3"/>
      <c r="K174" s="31" t="s">
        <v>269</v>
      </c>
      <c r="L174" s="3"/>
      <c r="M174" s="8"/>
      <c r="N174" s="3"/>
      <c r="O174" s="8"/>
      <c r="P174" s="3"/>
      <c r="Q174" s="31" t="s">
        <v>269</v>
      </c>
      <c r="R174" s="3"/>
    </row>
    <row r="175" spans="1:18">
      <c r="A175" s="14"/>
      <c r="B175" s="9"/>
      <c r="C175" s="10"/>
      <c r="D175" s="9"/>
      <c r="E175" s="9" t="str">
        <f t="shared" si="30"/>
        <v/>
      </c>
      <c r="F175" s="9"/>
      <c r="G175" s="3"/>
      <c r="H175" s="3"/>
      <c r="I175" s="8"/>
      <c r="J175" s="3"/>
      <c r="K175" s="31"/>
      <c r="L175" s="3"/>
      <c r="M175" s="8"/>
      <c r="N175" s="8"/>
      <c r="O175" s="21"/>
      <c r="P175" s="3"/>
      <c r="Q175" s="3"/>
      <c r="R175" s="3"/>
    </row>
    <row r="176" spans="1:18">
      <c r="A176" s="14"/>
      <c r="B176" s="11"/>
      <c r="C176" s="12"/>
      <c r="D176" s="11"/>
      <c r="E176" s="11"/>
      <c r="F176" s="11"/>
      <c r="G176" s="3"/>
      <c r="H176" s="3"/>
      <c r="I176" s="36"/>
      <c r="J176" s="3"/>
      <c r="K176" s="31"/>
      <c r="L176" s="3"/>
      <c r="M176" s="8"/>
      <c r="N176" s="8"/>
      <c r="O176" s="21"/>
      <c r="P176" s="3"/>
      <c r="Q176" s="3"/>
      <c r="R176" s="3"/>
    </row>
    <row r="177" spans="1:18">
      <c r="A177" s="14"/>
      <c r="B177" s="9"/>
      <c r="C177" s="10"/>
      <c r="D177" s="9"/>
      <c r="E177" s="9"/>
      <c r="F177" s="9"/>
      <c r="G177" s="3"/>
      <c r="H177" s="3"/>
      <c r="I177" s="36"/>
      <c r="J177" s="3"/>
      <c r="K177" s="31"/>
      <c r="L177" s="3"/>
      <c r="M177" s="8"/>
      <c r="N177" s="8"/>
      <c r="O177" s="21"/>
      <c r="P177" s="3"/>
      <c r="Q177" s="3"/>
      <c r="R177" s="3"/>
    </row>
    <row r="178" spans="1:18">
      <c r="A178" s="14"/>
      <c r="B178" s="150" t="str">
        <f t="shared" ref="B178:B179" si="31">UPPER(H178)</f>
        <v xml:space="preserve">ASSET </v>
      </c>
      <c r="C178" s="141"/>
      <c r="D178" s="141"/>
      <c r="E178" s="141"/>
      <c r="F178" s="141"/>
      <c r="G178" s="28"/>
      <c r="H178" s="167" t="s">
        <v>208</v>
      </c>
      <c r="I178" s="141"/>
      <c r="J178" s="141"/>
      <c r="K178" s="141"/>
      <c r="L178" s="141"/>
      <c r="M178" s="8"/>
      <c r="N178" s="149" t="s">
        <v>818</v>
      </c>
      <c r="O178" s="141"/>
      <c r="P178" s="141"/>
      <c r="Q178" s="141"/>
      <c r="R178" s="141"/>
    </row>
    <row r="179" spans="1:18">
      <c r="A179" s="14"/>
      <c r="B179" s="146" t="str">
        <f t="shared" si="31"/>
        <v>THE MONK STUDIOS</v>
      </c>
      <c r="C179" s="141"/>
      <c r="D179" s="141"/>
      <c r="E179" s="141"/>
      <c r="F179" s="141"/>
      <c r="G179" s="3"/>
      <c r="H179" s="149" t="s">
        <v>202</v>
      </c>
      <c r="I179" s="141"/>
      <c r="J179" s="141"/>
      <c r="K179" s="141"/>
      <c r="L179" s="141"/>
      <c r="M179" s="8"/>
      <c r="N179" s="149" t="s">
        <v>202</v>
      </c>
      <c r="O179" s="141"/>
      <c r="P179" s="141"/>
      <c r="Q179" s="141"/>
      <c r="R179" s="141"/>
    </row>
    <row r="180" spans="1:18">
      <c r="A180" s="14"/>
      <c r="B180" s="9"/>
      <c r="C180" s="10"/>
      <c r="D180" s="9"/>
      <c r="E180" s="9"/>
      <c r="F180" s="9"/>
      <c r="G180" s="3"/>
      <c r="H180" s="3"/>
      <c r="I180" s="36"/>
      <c r="J180" s="3"/>
      <c r="K180" s="31"/>
      <c r="L180" s="3"/>
      <c r="M180" s="8"/>
      <c r="N180" s="3"/>
      <c r="O180" s="36"/>
      <c r="P180" s="3"/>
      <c r="Q180" s="31"/>
      <c r="R180" s="3"/>
    </row>
    <row r="181" spans="1:18">
      <c r="A181" s="14"/>
      <c r="B181" s="9"/>
      <c r="C181" s="10" t="str">
        <f>UPPER(I181)</f>
        <v>GROOMING SUPERVISOR</v>
      </c>
      <c r="D181" s="9"/>
      <c r="E181" s="9" t="str">
        <f>UPPER(K181)</f>
        <v>PHURINUT TANGCHAROEN</v>
      </c>
      <c r="F181" s="9"/>
      <c r="G181" s="3"/>
      <c r="H181" s="3"/>
      <c r="I181" s="36" t="s">
        <v>270</v>
      </c>
      <c r="J181" s="3"/>
      <c r="K181" s="31" t="s">
        <v>271</v>
      </c>
      <c r="L181" s="3"/>
      <c r="M181" s="8"/>
      <c r="N181" s="3"/>
      <c r="O181" s="36" t="s">
        <v>270</v>
      </c>
      <c r="P181" s="3"/>
      <c r="Q181" s="31" t="s">
        <v>271</v>
      </c>
      <c r="R181" s="3"/>
    </row>
    <row r="182" spans="1:18">
      <c r="A182" s="14"/>
      <c r="B182" s="9"/>
      <c r="C182" s="10"/>
      <c r="D182" s="9"/>
      <c r="E182" s="9"/>
      <c r="F182" s="9"/>
      <c r="G182" s="3"/>
      <c r="H182" s="3"/>
      <c r="I182" s="36"/>
      <c r="J182" s="3"/>
      <c r="K182" s="31"/>
      <c r="L182" s="3"/>
      <c r="M182" s="8"/>
      <c r="N182" s="3"/>
      <c r="O182" s="36"/>
      <c r="P182" s="3"/>
      <c r="Q182" s="31"/>
      <c r="R182" s="3"/>
    </row>
    <row r="183" spans="1:18">
      <c r="A183" s="14"/>
      <c r="B183" s="9"/>
      <c r="C183" s="10" t="str">
        <f t="shared" ref="C183:C186" si="32">UPPER(I183)</f>
        <v>GROOMING ARTIST</v>
      </c>
      <c r="D183" s="9"/>
      <c r="E183" s="9" t="str">
        <f t="shared" ref="E183:E187" si="33">UPPER(K183)</f>
        <v>BUDSARAPORN WAICHUENCHORM</v>
      </c>
      <c r="F183" s="9"/>
      <c r="G183" s="3"/>
      <c r="H183" s="3"/>
      <c r="I183" s="36" t="s">
        <v>272</v>
      </c>
      <c r="J183" s="3"/>
      <c r="K183" s="31" t="s">
        <v>273</v>
      </c>
      <c r="L183" s="3"/>
      <c r="M183" s="8"/>
      <c r="N183" s="3"/>
      <c r="O183" s="36" t="s">
        <v>272</v>
      </c>
      <c r="P183" s="3"/>
      <c r="Q183" s="31" t="s">
        <v>273</v>
      </c>
      <c r="R183" s="3"/>
    </row>
    <row r="184" spans="1:18">
      <c r="A184" s="14"/>
      <c r="B184" s="9"/>
      <c r="C184" s="10" t="str">
        <f t="shared" si="32"/>
        <v/>
      </c>
      <c r="D184" s="9"/>
      <c r="E184" s="9" t="str">
        <f t="shared" si="33"/>
        <v>PRAEWPAN SAEPUNG</v>
      </c>
      <c r="F184" s="9"/>
      <c r="G184" s="3"/>
      <c r="H184" s="3"/>
      <c r="I184" s="8"/>
      <c r="J184" s="3"/>
      <c r="K184" s="39" t="s">
        <v>274</v>
      </c>
      <c r="L184" s="3"/>
      <c r="M184" s="8"/>
      <c r="N184" s="3"/>
      <c r="O184" s="8"/>
      <c r="P184" s="3"/>
      <c r="Q184" s="39" t="s">
        <v>274</v>
      </c>
      <c r="R184" s="3"/>
    </row>
    <row r="185" spans="1:18">
      <c r="A185" s="14"/>
      <c r="B185" s="9"/>
      <c r="C185" s="10" t="str">
        <f t="shared" si="32"/>
        <v/>
      </c>
      <c r="D185" s="9"/>
      <c r="E185" s="9" t="str">
        <f t="shared" si="33"/>
        <v>VANLIPHA KAEWKHAO</v>
      </c>
      <c r="F185" s="9"/>
      <c r="G185" s="3"/>
      <c r="H185" s="3"/>
      <c r="I185" s="8"/>
      <c r="J185" s="3"/>
      <c r="K185" s="31" t="s">
        <v>275</v>
      </c>
      <c r="L185" s="3"/>
      <c r="M185" s="8"/>
      <c r="N185" s="3"/>
      <c r="O185" s="8"/>
      <c r="P185" s="3"/>
      <c r="Q185" s="31" t="s">
        <v>275</v>
      </c>
      <c r="R185" s="3"/>
    </row>
    <row r="186" spans="1:18">
      <c r="A186" s="14"/>
      <c r="B186" s="9"/>
      <c r="C186" s="10" t="str">
        <f t="shared" si="32"/>
        <v/>
      </c>
      <c r="D186" s="9"/>
      <c r="E186" s="9" t="str">
        <f t="shared" si="33"/>
        <v>PATIPARN KAWINCHAN</v>
      </c>
      <c r="F186" s="9"/>
      <c r="G186" s="3"/>
      <c r="H186" s="3"/>
      <c r="I186" s="8"/>
      <c r="J186" s="3"/>
      <c r="K186" s="31" t="s">
        <v>276</v>
      </c>
      <c r="L186" s="3"/>
      <c r="M186" s="8"/>
      <c r="N186" s="3"/>
      <c r="O186" s="8"/>
      <c r="P186" s="3"/>
      <c r="Q186" s="31" t="s">
        <v>276</v>
      </c>
      <c r="R186" s="3"/>
    </row>
    <row r="187" spans="1:18">
      <c r="A187" s="14"/>
      <c r="B187" s="9"/>
      <c r="C187" s="10"/>
      <c r="D187" s="9"/>
      <c r="E187" s="9" t="str">
        <f t="shared" si="33"/>
        <v>YOTIN TONGBANTURNG</v>
      </c>
      <c r="F187" s="9"/>
      <c r="G187" s="3"/>
      <c r="H187" s="3"/>
      <c r="I187" s="8"/>
      <c r="J187" s="3"/>
      <c r="K187" s="31" t="s">
        <v>277</v>
      </c>
      <c r="L187" s="3"/>
      <c r="M187" s="8"/>
      <c r="N187" s="3"/>
      <c r="O187" s="8"/>
      <c r="P187" s="3"/>
      <c r="Q187" s="31" t="s">
        <v>277</v>
      </c>
      <c r="R187" s="3"/>
    </row>
    <row r="188" spans="1:18">
      <c r="A188" s="14"/>
      <c r="B188" s="9"/>
      <c r="C188" s="10"/>
      <c r="D188" s="9"/>
      <c r="E188" s="9"/>
      <c r="F188" s="9"/>
      <c r="G188" s="3"/>
      <c r="H188" s="3"/>
      <c r="I188" s="8"/>
      <c r="J188" s="3"/>
      <c r="K188" s="31"/>
      <c r="L188" s="3"/>
      <c r="M188" s="8"/>
      <c r="N188" s="8"/>
      <c r="O188" s="21"/>
      <c r="P188" s="3"/>
      <c r="Q188" s="3"/>
      <c r="R188" s="3"/>
    </row>
    <row r="189" spans="1:18">
      <c r="A189" s="14"/>
      <c r="B189" s="11"/>
      <c r="C189" s="12"/>
      <c r="D189" s="11"/>
      <c r="E189" s="11"/>
      <c r="F189" s="11"/>
      <c r="G189" s="3"/>
      <c r="H189" s="3"/>
      <c r="I189" s="8"/>
      <c r="J189" s="3"/>
      <c r="K189" s="31"/>
      <c r="L189" s="3"/>
      <c r="M189" s="8"/>
      <c r="N189" s="8"/>
      <c r="O189" s="21"/>
      <c r="P189" s="3"/>
      <c r="Q189" s="3"/>
      <c r="R189" s="3"/>
    </row>
    <row r="190" spans="1:18">
      <c r="A190" s="14"/>
      <c r="B190" s="9"/>
      <c r="C190" s="10"/>
      <c r="D190" s="9"/>
      <c r="E190" s="9"/>
      <c r="F190" s="9"/>
      <c r="G190" s="3"/>
      <c r="H190" s="3"/>
      <c r="I190" s="8"/>
      <c r="J190" s="3"/>
      <c r="K190" s="31"/>
      <c r="L190" s="3"/>
      <c r="M190" s="8"/>
      <c r="N190" s="8"/>
      <c r="O190" s="21"/>
      <c r="P190" s="3"/>
      <c r="Q190" s="3"/>
      <c r="R190" s="3"/>
    </row>
    <row r="191" spans="1:18">
      <c r="A191" s="14"/>
      <c r="B191" s="150" t="str">
        <f>UPPER(H191)</f>
        <v>LAYOUT</v>
      </c>
      <c r="C191" s="141"/>
      <c r="D191" s="141"/>
      <c r="E191" s="141"/>
      <c r="F191" s="141"/>
      <c r="G191" s="28"/>
      <c r="H191" s="167" t="s">
        <v>278</v>
      </c>
      <c r="I191" s="141"/>
      <c r="J191" s="141"/>
      <c r="K191" s="141"/>
      <c r="L191" s="141"/>
      <c r="M191" s="29"/>
      <c r="N191" s="149" t="s">
        <v>829</v>
      </c>
      <c r="O191" s="141"/>
      <c r="P191" s="141"/>
      <c r="Q191" s="141"/>
      <c r="R191" s="141"/>
    </row>
    <row r="192" spans="1:18">
      <c r="A192" s="14"/>
      <c r="B192" s="9"/>
      <c r="C192" s="10" t="str">
        <f>UPPER(I192)</f>
        <v>LAYOUT DIRECTOR</v>
      </c>
      <c r="D192" s="9"/>
      <c r="E192" s="9" t="str">
        <f>UPPER(K192)</f>
        <v>KYUNGMIN KIM</v>
      </c>
      <c r="F192" s="9"/>
      <c r="G192" s="3"/>
      <c r="H192" s="3"/>
      <c r="I192" s="8" t="s">
        <v>279</v>
      </c>
      <c r="J192" s="3"/>
      <c r="K192" s="3" t="s">
        <v>280</v>
      </c>
      <c r="L192" s="3"/>
      <c r="M192" s="8"/>
      <c r="N192" s="8"/>
      <c r="O192" s="21" t="s">
        <v>830</v>
      </c>
      <c r="P192" s="3"/>
      <c r="Q192" s="3" t="s">
        <v>831</v>
      </c>
      <c r="R192" s="3"/>
    </row>
    <row r="193" spans="1:18">
      <c r="A193" s="14"/>
      <c r="B193" s="9"/>
      <c r="C193" s="10"/>
      <c r="D193" s="9"/>
      <c r="E193" s="9"/>
      <c r="F193" s="9"/>
      <c r="G193" s="3"/>
      <c r="H193" s="3"/>
      <c r="I193" s="8"/>
      <c r="J193" s="3"/>
      <c r="K193" s="31"/>
      <c r="L193" s="3"/>
      <c r="M193" s="8"/>
      <c r="N193" s="8"/>
      <c r="O193" s="21"/>
      <c r="P193" s="3"/>
      <c r="Q193" s="3"/>
      <c r="R193" s="3"/>
    </row>
    <row r="194" spans="1:18">
      <c r="A194" s="14"/>
      <c r="B194" s="9"/>
      <c r="C194" s="10"/>
      <c r="D194" s="9"/>
      <c r="E194" s="9"/>
      <c r="F194" s="9"/>
      <c r="G194" s="3"/>
      <c r="H194" s="3"/>
      <c r="I194" s="8"/>
      <c r="J194" s="3"/>
      <c r="K194" s="31"/>
      <c r="L194" s="3"/>
      <c r="M194" s="8"/>
      <c r="N194" s="8"/>
      <c r="O194" s="21"/>
      <c r="P194" s="3"/>
      <c r="Q194" s="3"/>
      <c r="R194" s="3"/>
    </row>
    <row r="195" spans="1:18">
      <c r="A195" s="14"/>
      <c r="B195" s="146" t="str">
        <f>UPPER(H195)</f>
        <v>THE MONK STUDIOS</v>
      </c>
      <c r="C195" s="141"/>
      <c r="D195" s="141"/>
      <c r="E195" s="141"/>
      <c r="F195" s="141"/>
      <c r="G195" s="3"/>
      <c r="H195" s="149" t="s">
        <v>202</v>
      </c>
      <c r="I195" s="141"/>
      <c r="J195" s="141"/>
      <c r="K195" s="141"/>
      <c r="L195" s="141"/>
      <c r="M195" s="8"/>
      <c r="N195" s="149" t="s">
        <v>202</v>
      </c>
      <c r="O195" s="141"/>
      <c r="P195" s="141"/>
      <c r="Q195" s="141"/>
      <c r="R195" s="141"/>
    </row>
    <row r="196" spans="1:18">
      <c r="A196" s="14"/>
      <c r="B196" s="9"/>
      <c r="C196" s="10" t="str">
        <f>UPPER(I196)</f>
        <v>LAYOUT SUPERVISOR</v>
      </c>
      <c r="D196" s="9"/>
      <c r="E196" s="9" t="str">
        <f>UPPER(K196)</f>
        <v>NITAT	WIMANJUNT</v>
      </c>
      <c r="F196" s="9"/>
      <c r="G196" s="3"/>
      <c r="H196" s="3"/>
      <c r="I196" s="36" t="s">
        <v>281</v>
      </c>
      <c r="J196" s="3"/>
      <c r="K196" s="31" t="s">
        <v>282</v>
      </c>
      <c r="L196" s="3"/>
      <c r="M196" s="8"/>
      <c r="N196" s="3"/>
      <c r="O196" s="36" t="s">
        <v>281</v>
      </c>
      <c r="P196" s="3"/>
      <c r="Q196" s="31" t="s">
        <v>282</v>
      </c>
      <c r="R196" s="3"/>
    </row>
    <row r="197" spans="1:18">
      <c r="A197" s="14"/>
      <c r="B197" s="9"/>
      <c r="C197" s="10"/>
      <c r="D197" s="9"/>
      <c r="E197" s="9"/>
      <c r="F197" s="9"/>
      <c r="G197" s="3"/>
      <c r="H197" s="3"/>
      <c r="I197" s="36"/>
      <c r="J197" s="3"/>
      <c r="K197" s="31"/>
      <c r="L197" s="3"/>
      <c r="M197" s="8"/>
      <c r="N197" s="3"/>
      <c r="O197" s="36"/>
      <c r="P197" s="3"/>
      <c r="Q197" s="31"/>
      <c r="R197" s="3"/>
    </row>
    <row r="198" spans="1:18">
      <c r="A198" s="14"/>
      <c r="B198" s="9"/>
      <c r="C198" s="10" t="str">
        <f t="shared" ref="C198:C203" si="34">UPPER(I198)</f>
        <v>LAYOUT ARTIST</v>
      </c>
      <c r="D198" s="9"/>
      <c r="E198" s="9" t="str">
        <f t="shared" ref="E198:E203" si="35">UPPER(K198)</f>
        <v>PIYAPHON	SRIPHONGNGAM</v>
      </c>
      <c r="F198" s="9"/>
      <c r="G198" s="3"/>
      <c r="H198" s="3"/>
      <c r="I198" s="36" t="s">
        <v>283</v>
      </c>
      <c r="J198" s="3"/>
      <c r="K198" s="31" t="s">
        <v>284</v>
      </c>
      <c r="L198" s="3"/>
      <c r="M198" s="8"/>
      <c r="N198" s="3"/>
      <c r="O198" s="36" t="s">
        <v>283</v>
      </c>
      <c r="P198" s="3"/>
      <c r="Q198" s="31" t="s">
        <v>284</v>
      </c>
      <c r="R198" s="3"/>
    </row>
    <row r="199" spans="1:18">
      <c r="A199" s="14"/>
      <c r="B199" s="9"/>
      <c r="C199" s="10" t="str">
        <f t="shared" si="34"/>
        <v/>
      </c>
      <c r="D199" s="9"/>
      <c r="E199" s="9" t="str">
        <f t="shared" si="35"/>
        <v>PANYA	NATEKOBKUA</v>
      </c>
      <c r="F199" s="9"/>
      <c r="G199" s="3"/>
      <c r="H199" s="3"/>
      <c r="I199" s="8"/>
      <c r="J199" s="3"/>
      <c r="K199" s="31" t="s">
        <v>285</v>
      </c>
      <c r="L199" s="3"/>
      <c r="M199" s="8"/>
      <c r="N199" s="3"/>
      <c r="O199" s="8"/>
      <c r="P199" s="3"/>
      <c r="Q199" s="31" t="s">
        <v>285</v>
      </c>
      <c r="R199" s="3"/>
    </row>
    <row r="200" spans="1:18">
      <c r="A200" s="14"/>
      <c r="B200" s="9"/>
      <c r="C200" s="10" t="str">
        <f t="shared" si="34"/>
        <v/>
      </c>
      <c r="D200" s="9"/>
      <c r="E200" s="9" t="str">
        <f t="shared" si="35"/>
        <v>CHONLATHORN	PHUSRI</v>
      </c>
      <c r="F200" s="9"/>
      <c r="G200" s="3"/>
      <c r="H200" s="3"/>
      <c r="I200" s="8"/>
      <c r="J200" s="3"/>
      <c r="K200" s="31" t="s">
        <v>286</v>
      </c>
      <c r="L200" s="3"/>
      <c r="M200" s="8"/>
      <c r="N200" s="3"/>
      <c r="O200" s="8"/>
      <c r="P200" s="3"/>
      <c r="Q200" s="31" t="s">
        <v>286</v>
      </c>
      <c r="R200" s="3"/>
    </row>
    <row r="201" spans="1:18">
      <c r="A201" s="14"/>
      <c r="B201" s="9"/>
      <c r="C201" s="10" t="str">
        <f t="shared" si="34"/>
        <v/>
      </c>
      <c r="D201" s="9"/>
      <c r="E201" s="9" t="str">
        <f t="shared" si="35"/>
        <v>NOPPARAT	WANGSIN</v>
      </c>
      <c r="F201" s="9"/>
      <c r="G201" s="3"/>
      <c r="H201" s="3"/>
      <c r="I201" s="8"/>
      <c r="J201" s="3"/>
      <c r="K201" s="31" t="s">
        <v>287</v>
      </c>
      <c r="L201" s="3"/>
      <c r="M201" s="8"/>
      <c r="N201" s="3"/>
      <c r="O201" s="8"/>
      <c r="P201" s="3"/>
      <c r="Q201" s="31" t="s">
        <v>287</v>
      </c>
      <c r="R201" s="3"/>
    </row>
    <row r="202" spans="1:18">
      <c r="A202" s="14"/>
      <c r="B202" s="9"/>
      <c r="C202" s="10" t="str">
        <f t="shared" si="34"/>
        <v/>
      </c>
      <c r="D202" s="9"/>
      <c r="E202" s="9" t="str">
        <f t="shared" si="35"/>
        <v>KANYANEE	DUANGNAPA</v>
      </c>
      <c r="F202" s="9"/>
      <c r="G202" s="3"/>
      <c r="H202" s="3"/>
      <c r="I202" s="8"/>
      <c r="J202" s="3"/>
      <c r="K202" s="31" t="s">
        <v>288</v>
      </c>
      <c r="L202" s="3"/>
      <c r="M202" s="8"/>
      <c r="N202" s="3"/>
      <c r="O202" s="8"/>
      <c r="P202" s="3"/>
      <c r="Q202" s="31" t="s">
        <v>288</v>
      </c>
      <c r="R202" s="3"/>
    </row>
    <row r="203" spans="1:18">
      <c r="A203" s="14"/>
      <c r="B203" s="9"/>
      <c r="C203" s="10" t="str">
        <f t="shared" si="34"/>
        <v/>
      </c>
      <c r="D203" s="9"/>
      <c r="E203" s="9" t="str">
        <f t="shared" si="35"/>
        <v>PHIRAPHON	PAKAPHONGPHAN</v>
      </c>
      <c r="F203" s="9"/>
      <c r="G203" s="3"/>
      <c r="H203" s="3"/>
      <c r="I203" s="8"/>
      <c r="J203" s="3"/>
      <c r="K203" s="31" t="s">
        <v>289</v>
      </c>
      <c r="L203" s="3"/>
      <c r="M203" s="8"/>
      <c r="N203" s="3"/>
      <c r="O203" s="8"/>
      <c r="P203" s="3"/>
      <c r="Q203" s="31" t="s">
        <v>289</v>
      </c>
      <c r="R203" s="3"/>
    </row>
    <row r="204" spans="1:18">
      <c r="A204" s="14"/>
      <c r="B204" s="9"/>
      <c r="C204" s="10"/>
      <c r="D204" s="9"/>
      <c r="E204" s="9"/>
      <c r="F204" s="9"/>
      <c r="G204" s="3"/>
      <c r="H204" s="3"/>
      <c r="I204" s="8"/>
      <c r="J204" s="3"/>
      <c r="K204" s="31"/>
      <c r="L204" s="3"/>
      <c r="M204" s="8"/>
      <c r="N204" s="8"/>
      <c r="O204" s="21"/>
      <c r="P204" s="3"/>
      <c r="Q204" s="3"/>
      <c r="R204" s="3"/>
    </row>
    <row r="205" spans="1:18">
      <c r="A205" s="14"/>
      <c r="B205" s="11"/>
      <c r="C205" s="12" t="str">
        <f>UPPER(I205)</f>
        <v/>
      </c>
      <c r="D205" s="11"/>
      <c r="E205" s="11" t="str">
        <f>UPPER(K205)</f>
        <v/>
      </c>
      <c r="F205" s="11"/>
      <c r="G205" s="3"/>
      <c r="H205" s="3"/>
      <c r="I205" s="8"/>
      <c r="J205" s="3"/>
      <c r="K205" s="13"/>
      <c r="L205" s="3"/>
      <c r="M205" s="8"/>
      <c r="N205" s="8"/>
      <c r="O205" s="21"/>
      <c r="P205" s="3"/>
      <c r="Q205" s="3"/>
      <c r="R205" s="3"/>
    </row>
    <row r="206" spans="1:18">
      <c r="A206" s="14"/>
      <c r="B206" s="6"/>
      <c r="C206" s="6"/>
      <c r="D206" s="6"/>
      <c r="E206" s="6"/>
      <c r="F206" s="6"/>
      <c r="G206" s="3"/>
      <c r="H206" s="7"/>
      <c r="I206" s="8"/>
      <c r="J206" s="7"/>
      <c r="K206" s="13"/>
      <c r="L206" s="7"/>
      <c r="M206" s="8"/>
      <c r="N206" s="8"/>
      <c r="O206" s="21"/>
      <c r="P206" s="3"/>
      <c r="Q206" s="3"/>
      <c r="R206" s="3"/>
    </row>
    <row r="207" spans="1:18">
      <c r="A207" s="14"/>
      <c r="B207" s="150" t="str">
        <f>UPPER(H207)</f>
        <v>ANIMATION</v>
      </c>
      <c r="C207" s="141"/>
      <c r="D207" s="141"/>
      <c r="E207" s="141"/>
      <c r="F207" s="141"/>
      <c r="G207" s="28"/>
      <c r="H207" s="167" t="s">
        <v>290</v>
      </c>
      <c r="I207" s="141"/>
      <c r="J207" s="141"/>
      <c r="K207" s="141"/>
      <c r="L207" s="141"/>
      <c r="M207" s="29"/>
      <c r="N207" s="149" t="s">
        <v>832</v>
      </c>
      <c r="O207" s="141"/>
      <c r="P207" s="141"/>
      <c r="Q207" s="141"/>
      <c r="R207" s="141"/>
    </row>
    <row r="208" spans="1:18">
      <c r="A208" s="14"/>
      <c r="B208" s="9"/>
      <c r="C208" s="10" t="str">
        <f>UPPER(I208)</f>
        <v>ANIMATION DIRECTOR</v>
      </c>
      <c r="D208" s="9"/>
      <c r="E208" s="9" t="str">
        <f>UPPER(K208)</f>
        <v>JONGEUN LEE</v>
      </c>
      <c r="F208" s="9"/>
      <c r="G208" s="3"/>
      <c r="H208" s="3"/>
      <c r="I208" s="8" t="s">
        <v>291</v>
      </c>
      <c r="J208" s="3"/>
      <c r="K208" s="3" t="s">
        <v>292</v>
      </c>
      <c r="L208" s="3"/>
      <c r="M208" s="8"/>
      <c r="N208" s="3"/>
      <c r="O208" s="8" t="s">
        <v>833</v>
      </c>
      <c r="P208" s="3"/>
      <c r="Q208" s="3" t="s">
        <v>834</v>
      </c>
      <c r="R208" s="3"/>
    </row>
    <row r="209" spans="1:18">
      <c r="A209" s="14"/>
      <c r="B209" s="9"/>
      <c r="C209" s="10"/>
      <c r="D209" s="9"/>
      <c r="E209" s="9"/>
      <c r="F209" s="9"/>
      <c r="G209" s="3"/>
      <c r="H209" s="3"/>
      <c r="I209" s="8"/>
      <c r="J209" s="3"/>
      <c r="K209" s="3"/>
      <c r="L209" s="3"/>
      <c r="M209" s="8"/>
      <c r="N209" s="3"/>
      <c r="O209" s="8"/>
      <c r="P209" s="3"/>
      <c r="Q209" s="3"/>
      <c r="R209" s="3"/>
    </row>
    <row r="210" spans="1:18">
      <c r="A210" s="14"/>
      <c r="B210" s="9"/>
      <c r="C210" s="10" t="str">
        <f>UPPER(I210)</f>
        <v>ANIMATION SUPERVISOR</v>
      </c>
      <c r="D210" s="9"/>
      <c r="E210" s="9" t="str">
        <f t="shared" ref="E210:E219" si="36">UPPER(K210)</f>
        <v>EUGENE KIM</v>
      </c>
      <c r="F210" s="9"/>
      <c r="G210" s="3"/>
      <c r="H210" s="3"/>
      <c r="I210" s="8" t="s">
        <v>293</v>
      </c>
      <c r="J210" s="3"/>
      <c r="K210" s="13" t="s">
        <v>294</v>
      </c>
      <c r="L210" s="3"/>
      <c r="M210" s="8"/>
      <c r="N210" s="3"/>
      <c r="O210" s="8" t="s">
        <v>835</v>
      </c>
      <c r="P210" s="3"/>
      <c r="Q210" s="3" t="s">
        <v>836</v>
      </c>
      <c r="R210" s="3"/>
    </row>
    <row r="211" spans="1:18">
      <c r="A211" s="14"/>
      <c r="B211" s="9"/>
      <c r="C211" s="10"/>
      <c r="D211" s="9"/>
      <c r="E211" s="9" t="str">
        <f t="shared" si="36"/>
        <v>BORAM NOH</v>
      </c>
      <c r="F211" s="9"/>
      <c r="G211" s="3"/>
      <c r="H211" s="3"/>
      <c r="I211" s="8"/>
      <c r="J211" s="3"/>
      <c r="K211" s="13" t="s">
        <v>295</v>
      </c>
      <c r="L211" s="3"/>
      <c r="M211" s="8"/>
      <c r="N211" s="3"/>
      <c r="O211" s="8"/>
      <c r="P211" s="3"/>
      <c r="Q211" s="3" t="s">
        <v>837</v>
      </c>
      <c r="R211" s="3"/>
    </row>
    <row r="212" spans="1:18">
      <c r="A212" s="14"/>
      <c r="B212" s="9"/>
      <c r="C212" s="10" t="str">
        <f t="shared" ref="C212:C219" si="37">UPPER(I212)</f>
        <v/>
      </c>
      <c r="D212" s="9"/>
      <c r="E212" s="9" t="str">
        <f t="shared" si="36"/>
        <v/>
      </c>
      <c r="F212" s="9"/>
      <c r="G212" s="3"/>
      <c r="H212" s="3"/>
      <c r="I212" s="8"/>
      <c r="J212" s="3"/>
      <c r="K212" s="3"/>
      <c r="L212" s="3"/>
      <c r="M212" s="8"/>
      <c r="N212" s="3"/>
      <c r="O212" s="8"/>
      <c r="P212" s="3"/>
      <c r="Q212" s="3"/>
      <c r="R212" s="3"/>
    </row>
    <row r="213" spans="1:18">
      <c r="A213" s="14"/>
      <c r="B213" s="9"/>
      <c r="C213" s="10" t="str">
        <f t="shared" si="37"/>
        <v>ANIMATOR</v>
      </c>
      <c r="D213" s="9"/>
      <c r="E213" s="9" t="str">
        <f t="shared" si="36"/>
        <v>KYOUNGSIK BAE</v>
      </c>
      <c r="F213" s="9"/>
      <c r="G213" s="3"/>
      <c r="H213" s="3"/>
      <c r="I213" s="8" t="s">
        <v>296</v>
      </c>
      <c r="J213" s="3"/>
      <c r="K213" s="13" t="s">
        <v>297</v>
      </c>
      <c r="L213" s="3"/>
      <c r="M213" s="8"/>
      <c r="N213" s="3"/>
      <c r="O213" s="8" t="s">
        <v>838</v>
      </c>
      <c r="P213" s="3"/>
      <c r="Q213" s="3" t="s">
        <v>839</v>
      </c>
      <c r="R213" s="3"/>
    </row>
    <row r="214" spans="1:18">
      <c r="A214" s="14"/>
      <c r="B214" s="9"/>
      <c r="C214" s="10" t="str">
        <f t="shared" si="37"/>
        <v/>
      </c>
      <c r="D214" s="9"/>
      <c r="E214" s="9" t="str">
        <f t="shared" si="36"/>
        <v>JIHYE KIM</v>
      </c>
      <c r="F214" s="9"/>
      <c r="G214" s="3"/>
      <c r="H214" s="3"/>
      <c r="I214" s="8"/>
      <c r="J214" s="3"/>
      <c r="K214" s="13" t="s">
        <v>299</v>
      </c>
      <c r="L214" s="3"/>
      <c r="M214" s="8"/>
      <c r="N214" s="3"/>
      <c r="O214" s="8"/>
      <c r="P214" s="3"/>
      <c r="Q214" s="3" t="s">
        <v>841</v>
      </c>
      <c r="R214" s="3"/>
    </row>
    <row r="215" spans="1:18">
      <c r="A215" s="14"/>
      <c r="B215" s="9"/>
      <c r="C215" s="10" t="str">
        <f t="shared" si="37"/>
        <v/>
      </c>
      <c r="D215" s="9"/>
      <c r="E215" s="9" t="str">
        <f t="shared" si="36"/>
        <v>DOYOUNG KIM</v>
      </c>
      <c r="F215" s="9"/>
      <c r="G215" s="3"/>
      <c r="H215" s="3"/>
      <c r="I215" s="8"/>
      <c r="J215" s="3"/>
      <c r="K215" s="13" t="s">
        <v>300</v>
      </c>
      <c r="L215" s="3"/>
      <c r="M215" s="8"/>
      <c r="N215" s="8"/>
      <c r="O215" s="3"/>
      <c r="P215" s="3"/>
      <c r="Q215" s="3" t="s">
        <v>842</v>
      </c>
      <c r="R215" s="3"/>
    </row>
    <row r="216" spans="1:18">
      <c r="A216" s="14"/>
      <c r="B216" s="9"/>
      <c r="C216" s="10" t="str">
        <f t="shared" si="37"/>
        <v/>
      </c>
      <c r="D216" s="9"/>
      <c r="E216" s="9" t="str">
        <f t="shared" si="36"/>
        <v>YUNHEE KIM</v>
      </c>
      <c r="F216" s="9"/>
      <c r="G216" s="3"/>
      <c r="H216" s="3"/>
      <c r="I216" s="8"/>
      <c r="J216" s="3"/>
      <c r="K216" s="13" t="s">
        <v>301</v>
      </c>
      <c r="L216" s="3"/>
      <c r="M216" s="8"/>
      <c r="N216" s="8"/>
      <c r="O216" s="3"/>
      <c r="P216" s="3"/>
      <c r="Q216" s="3" t="s">
        <v>843</v>
      </c>
      <c r="R216" s="3"/>
    </row>
    <row r="217" spans="1:18">
      <c r="A217" s="14"/>
      <c r="B217" s="9"/>
      <c r="C217" s="10" t="str">
        <f t="shared" si="37"/>
        <v/>
      </c>
      <c r="D217" s="9"/>
      <c r="E217" s="9" t="str">
        <f t="shared" si="36"/>
        <v>SUNGJUN HONG</v>
      </c>
      <c r="F217" s="9"/>
      <c r="G217" s="3"/>
      <c r="H217" s="3"/>
      <c r="I217" s="8"/>
      <c r="J217" s="3"/>
      <c r="K217" s="2" t="s">
        <v>652</v>
      </c>
      <c r="L217" s="3"/>
      <c r="M217" s="8"/>
      <c r="N217" s="8"/>
      <c r="O217" s="21"/>
      <c r="P217" s="3"/>
      <c r="Q217" s="3" t="s">
        <v>959</v>
      </c>
      <c r="R217" s="3"/>
    </row>
    <row r="218" spans="1:18">
      <c r="A218" s="14"/>
      <c r="B218" s="9"/>
      <c r="C218" s="10" t="str">
        <f t="shared" si="37"/>
        <v/>
      </c>
      <c r="D218" s="9"/>
      <c r="E218" s="9" t="str">
        <f t="shared" si="36"/>
        <v>NASIL BAEK</v>
      </c>
      <c r="F218" s="9"/>
      <c r="G218" s="3"/>
      <c r="H218" s="3"/>
      <c r="I218" s="8"/>
      <c r="J218" s="3"/>
      <c r="K218" s="2" t="s">
        <v>653</v>
      </c>
      <c r="L218" s="3"/>
      <c r="M218" s="8"/>
      <c r="N218" s="8"/>
      <c r="O218" s="21"/>
      <c r="P218" s="3"/>
      <c r="Q218" s="3" t="s">
        <v>960</v>
      </c>
      <c r="R218" s="3"/>
    </row>
    <row r="219" spans="1:18">
      <c r="A219" s="14"/>
      <c r="B219" s="9"/>
      <c r="C219" s="10" t="str">
        <f t="shared" si="37"/>
        <v/>
      </c>
      <c r="D219" s="9"/>
      <c r="E219" s="9" t="str">
        <f t="shared" si="36"/>
        <v/>
      </c>
      <c r="F219" s="9"/>
      <c r="G219" s="3"/>
      <c r="H219" s="3"/>
      <c r="I219" s="8"/>
      <c r="J219" s="3"/>
      <c r="K219" s="13"/>
      <c r="L219" s="3"/>
      <c r="M219" s="8"/>
      <c r="N219" s="8"/>
      <c r="O219" s="21"/>
      <c r="P219" s="3"/>
      <c r="Q219" s="3"/>
      <c r="R219" s="3"/>
    </row>
    <row r="220" spans="1:18">
      <c r="A220" s="14"/>
      <c r="B220" s="11"/>
      <c r="C220" s="12"/>
      <c r="D220" s="11"/>
      <c r="E220" s="11"/>
      <c r="F220" s="11"/>
      <c r="G220" s="3"/>
      <c r="H220" s="3"/>
      <c r="I220" s="8"/>
      <c r="J220" s="3"/>
      <c r="K220" s="13"/>
      <c r="L220" s="3"/>
      <c r="M220" s="8"/>
      <c r="N220" s="8"/>
      <c r="O220" s="21"/>
      <c r="P220" s="3"/>
      <c r="Q220" s="3"/>
      <c r="R220" s="3"/>
    </row>
    <row r="221" spans="1:18">
      <c r="A221" s="14"/>
      <c r="B221" s="6"/>
      <c r="C221" s="6"/>
      <c r="D221" s="6"/>
      <c r="E221" s="6"/>
      <c r="F221" s="6"/>
      <c r="G221" s="3"/>
      <c r="H221" s="7"/>
      <c r="I221" s="8"/>
      <c r="J221" s="7"/>
      <c r="K221" s="13"/>
      <c r="L221" s="7"/>
      <c r="M221" s="8"/>
      <c r="N221" s="8"/>
      <c r="O221" s="21"/>
      <c r="P221" s="3"/>
      <c r="Q221" s="3"/>
      <c r="R221" s="3"/>
    </row>
    <row r="222" spans="1:18">
      <c r="A222" s="14"/>
      <c r="B222" s="150" t="str">
        <f t="shared" ref="B222:B223" si="38">UPPER(H222)</f>
        <v>ANIMATION</v>
      </c>
      <c r="C222" s="141"/>
      <c r="D222" s="141"/>
      <c r="E222" s="141"/>
      <c r="F222" s="141"/>
      <c r="G222" s="28"/>
      <c r="H222" s="167" t="s">
        <v>290</v>
      </c>
      <c r="I222" s="141"/>
      <c r="J222" s="141"/>
      <c r="K222" s="141"/>
      <c r="L222" s="141"/>
      <c r="M222" s="29"/>
      <c r="N222" s="149" t="s">
        <v>832</v>
      </c>
      <c r="O222" s="141"/>
      <c r="P222" s="141"/>
      <c r="Q222" s="141"/>
      <c r="R222" s="141"/>
    </row>
    <row r="223" spans="1:18">
      <c r="A223" s="14"/>
      <c r="B223" s="146" t="str">
        <f t="shared" si="38"/>
        <v>THE MONK STUDIOS</v>
      </c>
      <c r="C223" s="141"/>
      <c r="D223" s="141"/>
      <c r="E223" s="141"/>
      <c r="F223" s="141"/>
      <c r="G223" s="3"/>
      <c r="H223" s="149" t="s">
        <v>202</v>
      </c>
      <c r="I223" s="141"/>
      <c r="J223" s="141"/>
      <c r="K223" s="141"/>
      <c r="L223" s="141"/>
      <c r="M223" s="8"/>
      <c r="N223" s="149" t="s">
        <v>202</v>
      </c>
      <c r="O223" s="141"/>
      <c r="P223" s="141"/>
      <c r="Q223" s="141"/>
      <c r="R223" s="141"/>
    </row>
    <row r="224" spans="1:18">
      <c r="A224" s="14"/>
      <c r="B224" s="9"/>
      <c r="C224" s="10" t="str">
        <f t="shared" ref="C224:C230" si="39">UPPER(I224)</f>
        <v>ANIMATION DIRECTOR</v>
      </c>
      <c r="D224" s="9"/>
      <c r="E224" s="9" t="str">
        <f t="shared" ref="E224:E243" si="40">UPPER(K224)</f>
        <v>SUPAPORN KLONGPHAJONKIT</v>
      </c>
      <c r="F224" s="9"/>
      <c r="G224" s="3"/>
      <c r="H224" s="3"/>
      <c r="I224" s="36" t="s">
        <v>291</v>
      </c>
      <c r="J224" s="3"/>
      <c r="K224" s="31" t="s">
        <v>303</v>
      </c>
      <c r="L224" s="3"/>
      <c r="M224" s="8"/>
      <c r="N224" s="3"/>
      <c r="O224" s="36" t="s">
        <v>291</v>
      </c>
      <c r="P224" s="3"/>
      <c r="Q224" s="31" t="s">
        <v>303</v>
      </c>
      <c r="R224" s="3"/>
    </row>
    <row r="225" spans="1:18">
      <c r="A225" s="14"/>
      <c r="B225" s="9"/>
      <c r="C225" s="10" t="str">
        <f t="shared" si="39"/>
        <v/>
      </c>
      <c r="D225" s="9"/>
      <c r="E225" s="9" t="str">
        <f t="shared" si="40"/>
        <v/>
      </c>
      <c r="F225" s="9"/>
      <c r="G225" s="3"/>
      <c r="H225" s="3"/>
      <c r="I225" s="36"/>
      <c r="J225" s="3"/>
      <c r="K225" s="3"/>
      <c r="L225" s="3"/>
      <c r="M225" s="8"/>
      <c r="N225" s="3"/>
      <c r="O225" s="36"/>
      <c r="P225" s="3"/>
      <c r="Q225" s="3"/>
      <c r="R225" s="3"/>
    </row>
    <row r="226" spans="1:18">
      <c r="A226" s="14"/>
      <c r="B226" s="9"/>
      <c r="C226" s="10" t="str">
        <f t="shared" si="39"/>
        <v>ANIMATION SUPERVISOR</v>
      </c>
      <c r="D226" s="9"/>
      <c r="E226" s="9" t="str">
        <f t="shared" si="40"/>
        <v>CHET JEAMKITRUNG</v>
      </c>
      <c r="F226" s="9"/>
      <c r="G226" s="3"/>
      <c r="H226" s="3"/>
      <c r="I226" s="36" t="s">
        <v>293</v>
      </c>
      <c r="J226" s="3"/>
      <c r="K226" s="31" t="s">
        <v>304</v>
      </c>
      <c r="L226" s="3"/>
      <c r="M226" s="8"/>
      <c r="N226" s="3"/>
      <c r="O226" s="36" t="s">
        <v>293</v>
      </c>
      <c r="P226" s="3"/>
      <c r="Q226" s="31" t="s">
        <v>304</v>
      </c>
      <c r="R226" s="3"/>
    </row>
    <row r="227" spans="1:18">
      <c r="A227" s="14"/>
      <c r="B227" s="9"/>
      <c r="C227" s="10" t="str">
        <f t="shared" si="39"/>
        <v/>
      </c>
      <c r="D227" s="9"/>
      <c r="E227" s="9" t="str">
        <f t="shared" si="40"/>
        <v>DONNAPAT CHANTAVICHANUWONG</v>
      </c>
      <c r="F227" s="9"/>
      <c r="G227" s="3"/>
      <c r="H227" s="3"/>
      <c r="I227" s="36"/>
      <c r="J227" s="3"/>
      <c r="K227" s="31" t="s">
        <v>305</v>
      </c>
      <c r="L227" s="3"/>
      <c r="M227" s="8"/>
      <c r="N227" s="3"/>
      <c r="O227" s="36"/>
      <c r="P227" s="3"/>
      <c r="Q227" s="31" t="s">
        <v>305</v>
      </c>
      <c r="R227" s="3"/>
    </row>
    <row r="228" spans="1:18">
      <c r="A228" s="14"/>
      <c r="B228" s="9"/>
      <c r="C228" s="10" t="str">
        <f t="shared" si="39"/>
        <v/>
      </c>
      <c r="D228" s="9"/>
      <c r="E228" s="9" t="str">
        <f t="shared" si="40"/>
        <v/>
      </c>
      <c r="F228" s="9"/>
      <c r="G228" s="3"/>
      <c r="H228" s="3"/>
      <c r="I228" s="36"/>
      <c r="J228" s="3"/>
      <c r="K228" s="31"/>
      <c r="L228" s="3"/>
      <c r="M228" s="8"/>
      <c r="N228" s="3"/>
      <c r="O228" s="36"/>
      <c r="P228" s="3"/>
      <c r="Q228" s="31"/>
      <c r="R228" s="3"/>
    </row>
    <row r="229" spans="1:18">
      <c r="A229" s="14"/>
      <c r="B229" s="9"/>
      <c r="C229" s="10" t="str">
        <f t="shared" si="39"/>
        <v>ANIMATOR</v>
      </c>
      <c r="D229" s="9"/>
      <c r="E229" s="9" t="str">
        <f t="shared" si="40"/>
        <v>CHATTRIYA THATAYU</v>
      </c>
      <c r="F229" s="9"/>
      <c r="G229" s="3"/>
      <c r="H229" s="3"/>
      <c r="I229" s="36" t="s">
        <v>296</v>
      </c>
      <c r="J229" s="3"/>
      <c r="K229" s="31" t="s">
        <v>306</v>
      </c>
      <c r="L229" s="3"/>
      <c r="M229" s="8"/>
      <c r="N229" s="3"/>
      <c r="O229" s="36" t="s">
        <v>296</v>
      </c>
      <c r="P229" s="3"/>
      <c r="Q229" s="31" t="s">
        <v>306</v>
      </c>
      <c r="R229" s="3"/>
    </row>
    <row r="230" spans="1:18">
      <c r="A230" s="14"/>
      <c r="B230" s="9"/>
      <c r="C230" s="10" t="str">
        <f t="shared" si="39"/>
        <v/>
      </c>
      <c r="D230" s="9"/>
      <c r="E230" s="9" t="str">
        <f t="shared" si="40"/>
        <v>JATURATHEP KONGKHIAW</v>
      </c>
      <c r="F230" s="9"/>
      <c r="G230" s="3"/>
      <c r="H230" s="3"/>
      <c r="I230" s="8"/>
      <c r="J230" s="3"/>
      <c r="K230" s="31" t="s">
        <v>307</v>
      </c>
      <c r="L230" s="3"/>
      <c r="M230" s="8"/>
      <c r="N230" s="3"/>
      <c r="O230" s="8"/>
      <c r="P230" s="3"/>
      <c r="Q230" s="31" t="s">
        <v>307</v>
      </c>
      <c r="R230" s="3"/>
    </row>
    <row r="231" spans="1:18">
      <c r="A231" s="14"/>
      <c r="B231" s="9"/>
      <c r="C231" s="10"/>
      <c r="D231" s="9"/>
      <c r="E231" s="9" t="str">
        <f t="shared" si="40"/>
        <v>KHWANCHANOK LAEPET</v>
      </c>
      <c r="F231" s="9"/>
      <c r="G231" s="3"/>
      <c r="H231" s="3"/>
      <c r="I231" s="8"/>
      <c r="J231" s="3"/>
      <c r="K231" s="31" t="s">
        <v>309</v>
      </c>
      <c r="L231" s="3"/>
      <c r="M231" s="8"/>
      <c r="N231" s="3"/>
      <c r="O231" s="8"/>
      <c r="P231" s="3"/>
      <c r="Q231" s="31" t="s">
        <v>309</v>
      </c>
      <c r="R231" s="3"/>
    </row>
    <row r="232" spans="1:18">
      <c r="A232" s="14"/>
      <c r="B232" s="9"/>
      <c r="C232" s="10"/>
      <c r="D232" s="9"/>
      <c r="E232" s="9" t="str">
        <f t="shared" si="40"/>
        <v>KORAPATH WUNCHUM</v>
      </c>
      <c r="F232" s="9"/>
      <c r="G232" s="3"/>
      <c r="H232" s="3"/>
      <c r="I232" s="8"/>
      <c r="J232" s="3"/>
      <c r="K232" s="31" t="s">
        <v>310</v>
      </c>
      <c r="L232" s="3"/>
      <c r="M232" s="8"/>
      <c r="N232" s="3"/>
      <c r="O232" s="8"/>
      <c r="P232" s="3"/>
      <c r="Q232" s="31" t="s">
        <v>310</v>
      </c>
      <c r="R232" s="3"/>
    </row>
    <row r="233" spans="1:18">
      <c r="A233" s="14"/>
      <c r="B233" s="9"/>
      <c r="C233" s="10"/>
      <c r="D233" s="9"/>
      <c r="E233" s="9" t="str">
        <f t="shared" si="40"/>
        <v>MONNATEE KULPANUN</v>
      </c>
      <c r="F233" s="9"/>
      <c r="G233" s="3"/>
      <c r="H233" s="3"/>
      <c r="I233" s="8"/>
      <c r="J233" s="3"/>
      <c r="K233" s="31" t="s">
        <v>328</v>
      </c>
      <c r="L233" s="3"/>
      <c r="M233" s="8"/>
      <c r="N233" s="3"/>
      <c r="O233" s="8"/>
      <c r="P233" s="3"/>
      <c r="Q233" s="31" t="s">
        <v>328</v>
      </c>
      <c r="R233" s="3"/>
    </row>
    <row r="234" spans="1:18">
      <c r="A234" s="14"/>
      <c r="B234" s="9"/>
      <c r="C234" s="10"/>
      <c r="D234" s="9"/>
      <c r="E234" s="9" t="str">
        <f t="shared" si="40"/>
        <v>NANTATCHAPORN MATTARAS</v>
      </c>
      <c r="F234" s="9"/>
      <c r="G234" s="3"/>
      <c r="H234" s="3"/>
      <c r="I234" s="8"/>
      <c r="J234" s="3"/>
      <c r="K234" s="31" t="s">
        <v>311</v>
      </c>
      <c r="L234" s="3"/>
      <c r="M234" s="8"/>
      <c r="N234" s="3"/>
      <c r="O234" s="8"/>
      <c r="P234" s="3"/>
      <c r="Q234" s="31" t="s">
        <v>311</v>
      </c>
      <c r="R234" s="3"/>
    </row>
    <row r="235" spans="1:18">
      <c r="A235" s="14"/>
      <c r="B235" s="9"/>
      <c r="C235" s="10"/>
      <c r="D235" s="9"/>
      <c r="E235" s="9" t="str">
        <f t="shared" si="40"/>
        <v>NATTAWUT TONGPOR</v>
      </c>
      <c r="F235" s="9"/>
      <c r="G235" s="3"/>
      <c r="H235" s="3"/>
      <c r="I235" s="8"/>
      <c r="J235" s="3"/>
      <c r="K235" s="31" t="s">
        <v>314</v>
      </c>
      <c r="L235" s="3"/>
      <c r="M235" s="8"/>
      <c r="N235" s="3"/>
      <c r="O235" s="8"/>
      <c r="P235" s="3"/>
      <c r="Q235" s="31" t="s">
        <v>314</v>
      </c>
      <c r="R235" s="3"/>
    </row>
    <row r="236" spans="1:18">
      <c r="A236" s="14"/>
      <c r="B236" s="9"/>
      <c r="C236" s="10"/>
      <c r="D236" s="9"/>
      <c r="E236" s="9" t="str">
        <f t="shared" si="40"/>
        <v>NAVATEP DANKAO</v>
      </c>
      <c r="F236" s="9"/>
      <c r="G236" s="3"/>
      <c r="H236" s="3"/>
      <c r="I236" s="8"/>
      <c r="J236" s="3"/>
      <c r="K236" s="31" t="s">
        <v>315</v>
      </c>
      <c r="L236" s="3"/>
      <c r="M236" s="8"/>
      <c r="N236" s="3"/>
      <c r="O236" s="8"/>
      <c r="P236" s="3"/>
      <c r="Q236" s="31" t="s">
        <v>315</v>
      </c>
      <c r="R236" s="3"/>
    </row>
    <row r="237" spans="1:18">
      <c r="A237" s="14"/>
      <c r="B237" s="9"/>
      <c r="C237" s="10"/>
      <c r="D237" s="9"/>
      <c r="E237" s="9" t="str">
        <f t="shared" si="40"/>
        <v>PATTARAWUT JARUPRAMOTE</v>
      </c>
      <c r="F237" s="9"/>
      <c r="G237" s="3"/>
      <c r="H237" s="3"/>
      <c r="I237" s="8"/>
      <c r="J237" s="3"/>
      <c r="K237" s="31" t="s">
        <v>317</v>
      </c>
      <c r="L237" s="3"/>
      <c r="M237" s="8"/>
      <c r="N237" s="3"/>
      <c r="O237" s="8"/>
      <c r="P237" s="3"/>
      <c r="Q237" s="31" t="s">
        <v>317</v>
      </c>
      <c r="R237" s="3"/>
    </row>
    <row r="238" spans="1:18">
      <c r="A238" s="14"/>
      <c r="B238" s="9"/>
      <c r="C238" s="10"/>
      <c r="D238" s="9"/>
      <c r="E238" s="9" t="str">
        <f t="shared" si="40"/>
        <v>PETCH SORNSIRI</v>
      </c>
      <c r="F238" s="9"/>
      <c r="G238" s="3"/>
      <c r="H238" s="3"/>
      <c r="I238" s="8"/>
      <c r="J238" s="3"/>
      <c r="K238" s="31" t="s">
        <v>318</v>
      </c>
      <c r="L238" s="3"/>
      <c r="M238" s="8"/>
      <c r="N238" s="3"/>
      <c r="O238" s="8"/>
      <c r="P238" s="3"/>
      <c r="Q238" s="31" t="s">
        <v>318</v>
      </c>
      <c r="R238" s="3"/>
    </row>
    <row r="239" spans="1:18">
      <c r="A239" s="14"/>
      <c r="B239" s="9"/>
      <c r="C239" s="10"/>
      <c r="D239" s="9"/>
      <c r="E239" s="9" t="str">
        <f t="shared" si="40"/>
        <v>JIRAPORN SOONLIANG</v>
      </c>
      <c r="F239" s="9"/>
      <c r="G239" s="3"/>
      <c r="H239" s="3"/>
      <c r="I239" s="8"/>
      <c r="J239" s="3"/>
      <c r="K239" s="31" t="s">
        <v>329</v>
      </c>
      <c r="L239" s="3"/>
      <c r="M239" s="8"/>
      <c r="N239" s="3"/>
      <c r="O239" s="8"/>
      <c r="P239" s="3"/>
      <c r="Q239" s="31" t="s">
        <v>329</v>
      </c>
      <c r="R239" s="3"/>
    </row>
    <row r="240" spans="1:18">
      <c r="A240" s="14"/>
      <c r="B240" s="9"/>
      <c r="C240" s="10"/>
      <c r="D240" s="9"/>
      <c r="E240" s="9" t="str">
        <f t="shared" si="40"/>
        <v>RATCHATA DADUANG</v>
      </c>
      <c r="F240" s="9"/>
      <c r="G240" s="3"/>
      <c r="H240" s="3"/>
      <c r="I240" s="8"/>
      <c r="J240" s="3"/>
      <c r="K240" s="31" t="s">
        <v>319</v>
      </c>
      <c r="L240" s="3"/>
      <c r="M240" s="8"/>
      <c r="N240" s="3"/>
      <c r="O240" s="8"/>
      <c r="P240" s="3"/>
      <c r="Q240" s="31" t="s">
        <v>319</v>
      </c>
      <c r="R240" s="3"/>
    </row>
    <row r="241" spans="1:18">
      <c r="A241" s="14"/>
      <c r="B241" s="9"/>
      <c r="C241" s="10"/>
      <c r="D241" s="9"/>
      <c r="E241" s="9" t="str">
        <f t="shared" si="40"/>
        <v>MUHAMMAD RAUF</v>
      </c>
      <c r="F241" s="9"/>
      <c r="G241" s="3"/>
      <c r="H241" s="3"/>
      <c r="I241" s="8"/>
      <c r="J241" s="3"/>
      <c r="K241" s="31" t="s">
        <v>320</v>
      </c>
      <c r="L241" s="3"/>
      <c r="M241" s="8"/>
      <c r="N241" s="3"/>
      <c r="O241" s="8"/>
      <c r="P241" s="3"/>
      <c r="Q241" s="31" t="s">
        <v>320</v>
      </c>
      <c r="R241" s="3"/>
    </row>
    <row r="242" spans="1:18">
      <c r="A242" s="14"/>
      <c r="B242" s="9"/>
      <c r="C242" s="10"/>
      <c r="D242" s="9"/>
      <c r="E242" s="9" t="str">
        <f t="shared" si="40"/>
        <v>SARUT PONGSRI</v>
      </c>
      <c r="F242" s="9"/>
      <c r="G242" s="3"/>
      <c r="H242" s="3"/>
      <c r="I242" s="8"/>
      <c r="J242" s="3"/>
      <c r="K242" s="31" t="s">
        <v>321</v>
      </c>
      <c r="L242" s="3"/>
      <c r="M242" s="8"/>
      <c r="N242" s="3"/>
      <c r="O242" s="8"/>
      <c r="P242" s="3"/>
      <c r="Q242" s="31" t="s">
        <v>321</v>
      </c>
      <c r="R242" s="3"/>
    </row>
    <row r="243" spans="1:18">
      <c r="A243" s="14"/>
      <c r="B243" s="9"/>
      <c r="C243" s="10"/>
      <c r="D243" s="9"/>
      <c r="E243" s="9" t="str">
        <f t="shared" si="40"/>
        <v/>
      </c>
      <c r="F243" s="9"/>
      <c r="G243" s="3"/>
      <c r="H243" s="3"/>
      <c r="I243" s="8"/>
      <c r="J243" s="3"/>
      <c r="K243" s="31"/>
      <c r="L243" s="3"/>
      <c r="M243" s="8"/>
      <c r="N243" s="8"/>
      <c r="O243" s="21"/>
      <c r="P243" s="3"/>
      <c r="Q243" s="3"/>
      <c r="R243" s="3"/>
    </row>
    <row r="244" spans="1:18">
      <c r="A244" s="14"/>
      <c r="B244" s="26"/>
      <c r="C244" s="26"/>
      <c r="D244" s="26"/>
      <c r="E244" s="26"/>
      <c r="F244" s="26"/>
      <c r="G244" s="3"/>
      <c r="H244" s="5"/>
      <c r="I244" s="5"/>
      <c r="J244" s="5"/>
      <c r="K244" s="5"/>
      <c r="L244" s="5"/>
      <c r="M244" s="8"/>
      <c r="N244" s="8"/>
      <c r="O244" s="21"/>
      <c r="P244" s="3"/>
      <c r="Q244" s="3"/>
      <c r="R244" s="3"/>
    </row>
    <row r="245" spans="1:18">
      <c r="A245" s="14"/>
      <c r="B245" s="6"/>
      <c r="C245" s="6"/>
      <c r="D245" s="6"/>
      <c r="E245" s="6"/>
      <c r="F245" s="6"/>
      <c r="G245" s="3"/>
      <c r="H245" s="5"/>
      <c r="I245" s="5"/>
      <c r="J245" s="5"/>
      <c r="K245" s="5"/>
      <c r="L245" s="5"/>
      <c r="M245" s="8"/>
      <c r="N245" s="8"/>
      <c r="O245" s="21"/>
      <c r="P245" s="3"/>
      <c r="Q245" s="3"/>
      <c r="R245" s="3"/>
    </row>
    <row r="246" spans="1:18">
      <c r="A246" s="14"/>
      <c r="B246" s="150" t="str">
        <f t="shared" ref="B246:B247" si="41">UPPER(H246)</f>
        <v>ANIMATION</v>
      </c>
      <c r="C246" s="141"/>
      <c r="D246" s="141"/>
      <c r="E246" s="141"/>
      <c r="F246" s="141"/>
      <c r="G246" s="28"/>
      <c r="H246" s="167" t="s">
        <v>290</v>
      </c>
      <c r="I246" s="141"/>
      <c r="J246" s="141"/>
      <c r="K246" s="141"/>
      <c r="L246" s="141"/>
      <c r="M246" s="8"/>
      <c r="N246" s="149" t="s">
        <v>832</v>
      </c>
      <c r="O246" s="141"/>
      <c r="P246" s="141"/>
      <c r="Q246" s="141"/>
      <c r="R246" s="141"/>
    </row>
    <row r="247" spans="1:18">
      <c r="A247" s="14"/>
      <c r="B247" s="146" t="str">
        <f t="shared" si="41"/>
        <v>THE MONK STUDIOS</v>
      </c>
      <c r="C247" s="141"/>
      <c r="D247" s="141"/>
      <c r="E247" s="141"/>
      <c r="F247" s="141"/>
      <c r="G247" s="3"/>
      <c r="H247" s="149" t="s">
        <v>202</v>
      </c>
      <c r="I247" s="141"/>
      <c r="J247" s="141"/>
      <c r="K247" s="141"/>
      <c r="L247" s="141"/>
      <c r="M247" s="8"/>
      <c r="N247" s="149" t="s">
        <v>202</v>
      </c>
      <c r="O247" s="141"/>
      <c r="P247" s="141"/>
      <c r="Q247" s="141"/>
      <c r="R247" s="141"/>
    </row>
    <row r="248" spans="1:18">
      <c r="A248" s="14"/>
      <c r="B248" s="9"/>
      <c r="C248" s="10"/>
      <c r="D248" s="9"/>
      <c r="E248" s="9"/>
      <c r="F248" s="9"/>
      <c r="G248" s="3"/>
      <c r="H248" s="3"/>
      <c r="I248" s="36"/>
      <c r="J248" s="3"/>
      <c r="K248" s="31"/>
      <c r="L248" s="3"/>
      <c r="M248" s="8"/>
      <c r="N248" s="3"/>
      <c r="O248" s="36"/>
      <c r="P248" s="3"/>
      <c r="Q248" s="31"/>
      <c r="R248" s="3"/>
    </row>
    <row r="249" spans="1:18">
      <c r="A249" s="14"/>
      <c r="B249" s="9"/>
      <c r="C249" s="10" t="str">
        <f>UPPER(I249)</f>
        <v>ANIMATOR</v>
      </c>
      <c r="D249" s="9"/>
      <c r="E249" s="9" t="str">
        <f t="shared" ref="E249:E255" si="42">UPPER(K249)</f>
        <v>SUPICHA SITTI</v>
      </c>
      <c r="F249" s="9"/>
      <c r="G249" s="3"/>
      <c r="H249" s="3"/>
      <c r="I249" s="36" t="s">
        <v>296</v>
      </c>
      <c r="J249" s="3"/>
      <c r="K249" s="31" t="s">
        <v>322</v>
      </c>
      <c r="L249" s="3"/>
      <c r="M249" s="8"/>
      <c r="N249" s="3"/>
      <c r="O249" s="36" t="s">
        <v>296</v>
      </c>
      <c r="P249" s="3"/>
      <c r="Q249" s="31" t="s">
        <v>322</v>
      </c>
      <c r="R249" s="3"/>
    </row>
    <row r="250" spans="1:18">
      <c r="A250" s="14"/>
      <c r="B250" s="9"/>
      <c r="C250" s="10"/>
      <c r="D250" s="9"/>
      <c r="E250" s="9" t="str">
        <f t="shared" si="42"/>
        <v>SUTHIROJ JAYASANANON</v>
      </c>
      <c r="F250" s="9"/>
      <c r="G250" s="3"/>
      <c r="H250" s="3"/>
      <c r="I250" s="8"/>
      <c r="J250" s="3"/>
      <c r="K250" s="31" t="s">
        <v>324</v>
      </c>
      <c r="L250" s="3"/>
      <c r="M250" s="8"/>
      <c r="N250" s="3"/>
      <c r="O250" s="8"/>
      <c r="P250" s="3"/>
      <c r="Q250" s="31" t="s">
        <v>324</v>
      </c>
      <c r="R250" s="3"/>
    </row>
    <row r="251" spans="1:18">
      <c r="A251" s="14"/>
      <c r="B251" s="9"/>
      <c r="C251" s="10" t="str">
        <f t="shared" ref="C251:C252" si="43">UPPER(I251)</f>
        <v/>
      </c>
      <c r="D251" s="9"/>
      <c r="E251" s="9" t="str">
        <f t="shared" si="42"/>
        <v>THANAPHA YANA</v>
      </c>
      <c r="F251" s="9"/>
      <c r="G251" s="3"/>
      <c r="H251" s="3"/>
      <c r="I251" s="8"/>
      <c r="J251" s="3"/>
      <c r="K251" s="31" t="s">
        <v>326</v>
      </c>
      <c r="L251" s="3"/>
      <c r="M251" s="8"/>
      <c r="N251" s="3"/>
      <c r="O251" s="8"/>
      <c r="P251" s="3"/>
      <c r="Q251" s="31" t="s">
        <v>326</v>
      </c>
      <c r="R251" s="3"/>
    </row>
    <row r="252" spans="1:18">
      <c r="A252" s="14"/>
      <c r="B252" s="9"/>
      <c r="C252" s="10" t="str">
        <f t="shared" si="43"/>
        <v/>
      </c>
      <c r="D252" s="9"/>
      <c r="E252" s="9" t="str">
        <f t="shared" si="42"/>
        <v>WANATCHAPORN JANTARAPITAK</v>
      </c>
      <c r="F252" s="9"/>
      <c r="G252" s="3"/>
      <c r="H252" s="3"/>
      <c r="I252" s="8"/>
      <c r="J252" s="3"/>
      <c r="K252" s="31" t="s">
        <v>654</v>
      </c>
      <c r="L252" s="3"/>
      <c r="M252" s="8"/>
      <c r="N252" s="3"/>
      <c r="O252" s="8"/>
      <c r="P252" s="3"/>
      <c r="Q252" s="31" t="s">
        <v>654</v>
      </c>
      <c r="R252" s="3"/>
    </row>
    <row r="253" spans="1:18">
      <c r="A253" s="14"/>
      <c r="B253" s="9"/>
      <c r="C253" s="10"/>
      <c r="D253" s="9"/>
      <c r="E253" s="9" t="str">
        <f t="shared" si="42"/>
        <v>WORAPON PONCHAICHAROENKIT</v>
      </c>
      <c r="F253" s="9"/>
      <c r="G253" s="3"/>
      <c r="H253" s="3"/>
      <c r="I253" s="8"/>
      <c r="J253" s="3"/>
      <c r="K253" s="31" t="s">
        <v>325</v>
      </c>
      <c r="L253" s="3"/>
      <c r="M253" s="8"/>
      <c r="N253" s="3"/>
      <c r="O253" s="8"/>
      <c r="P253" s="3"/>
      <c r="Q253" s="31" t="s">
        <v>325</v>
      </c>
      <c r="R253" s="3"/>
    </row>
    <row r="254" spans="1:18">
      <c r="A254" s="14"/>
      <c r="B254" s="9"/>
      <c r="C254" s="10" t="str">
        <f t="shared" ref="C254:C255" si="44">UPPER(I254)</f>
        <v/>
      </c>
      <c r="D254" s="9"/>
      <c r="E254" s="9" t="str">
        <f t="shared" si="42"/>
        <v/>
      </c>
      <c r="F254" s="9"/>
      <c r="G254" s="3"/>
      <c r="H254" s="3"/>
      <c r="I254" s="8"/>
      <c r="J254" s="3"/>
      <c r="K254" s="31"/>
      <c r="L254" s="3"/>
      <c r="M254" s="8"/>
      <c r="N254" s="8"/>
      <c r="O254" s="21"/>
      <c r="P254" s="3"/>
      <c r="Q254" s="3"/>
      <c r="R254" s="3"/>
    </row>
    <row r="255" spans="1:18">
      <c r="A255" s="14"/>
      <c r="B255" s="11"/>
      <c r="C255" s="12" t="str">
        <f t="shared" si="44"/>
        <v/>
      </c>
      <c r="D255" s="11"/>
      <c r="E255" s="11" t="str">
        <f t="shared" si="42"/>
        <v/>
      </c>
      <c r="F255" s="11"/>
      <c r="G255" s="3"/>
      <c r="H255" s="3"/>
      <c r="I255" s="8"/>
      <c r="J255" s="3"/>
      <c r="K255" s="13"/>
      <c r="L255" s="3"/>
      <c r="M255" s="3"/>
      <c r="N255" s="3"/>
      <c r="O255" s="21"/>
      <c r="P255" s="3"/>
      <c r="Q255" s="3"/>
      <c r="R255" s="3"/>
    </row>
    <row r="256" spans="1:18">
      <c r="A256" s="14"/>
      <c r="B256" s="6"/>
      <c r="C256" s="6"/>
      <c r="D256" s="6"/>
      <c r="E256" s="6"/>
      <c r="F256" s="6"/>
      <c r="G256" s="3"/>
      <c r="H256" s="7"/>
      <c r="I256" s="8"/>
      <c r="J256" s="7"/>
      <c r="K256" s="13"/>
      <c r="L256" s="7"/>
      <c r="M256" s="8"/>
      <c r="N256" s="8"/>
      <c r="O256" s="21"/>
      <c r="P256" s="3"/>
      <c r="Q256" s="3"/>
      <c r="R256" s="3"/>
    </row>
    <row r="257" spans="1:18">
      <c r="A257" s="14"/>
      <c r="B257" s="150" t="str">
        <f>UPPER(H257)</f>
        <v>LIGHTING / VFX / COMPOSITING</v>
      </c>
      <c r="C257" s="141"/>
      <c r="D257" s="141"/>
      <c r="E257" s="141"/>
      <c r="F257" s="141"/>
      <c r="G257" s="28"/>
      <c r="H257" s="167" t="s">
        <v>330</v>
      </c>
      <c r="I257" s="141"/>
      <c r="J257" s="141"/>
      <c r="K257" s="141"/>
      <c r="L257" s="141"/>
      <c r="M257" s="29"/>
      <c r="N257" s="149" t="s">
        <v>845</v>
      </c>
      <c r="O257" s="141"/>
      <c r="P257" s="141"/>
      <c r="Q257" s="141"/>
      <c r="R257" s="141"/>
    </row>
    <row r="258" spans="1:18">
      <c r="A258" s="14"/>
      <c r="B258" s="9"/>
      <c r="C258" s="10" t="str">
        <f t="shared" ref="C258:C267" si="45">UPPER(I258)</f>
        <v>VFX SUPERVISOR</v>
      </c>
      <c r="D258" s="9"/>
      <c r="E258" s="9" t="str">
        <f t="shared" ref="E258:E267" si="46">UPPER(K258)</f>
        <v>HYEONGKI KIM</v>
      </c>
      <c r="F258" s="9"/>
      <c r="G258" s="3"/>
      <c r="H258" s="3"/>
      <c r="I258" s="8" t="s">
        <v>331</v>
      </c>
      <c r="J258" s="3"/>
      <c r="K258" s="13" t="s">
        <v>332</v>
      </c>
      <c r="L258" s="3"/>
      <c r="M258" s="8"/>
      <c r="N258" s="8"/>
      <c r="O258" s="8" t="s">
        <v>846</v>
      </c>
      <c r="P258" s="3"/>
      <c r="Q258" s="3" t="s">
        <v>847</v>
      </c>
      <c r="R258" s="3"/>
    </row>
    <row r="259" spans="1:18">
      <c r="A259" s="14"/>
      <c r="B259" s="9"/>
      <c r="C259" s="10" t="str">
        <f t="shared" si="45"/>
        <v/>
      </c>
      <c r="D259" s="9"/>
      <c r="E259" s="9" t="str">
        <f t="shared" si="46"/>
        <v/>
      </c>
      <c r="F259" s="9"/>
      <c r="G259" s="3"/>
      <c r="H259" s="3"/>
      <c r="I259" s="8"/>
      <c r="J259" s="3"/>
      <c r="K259" s="13"/>
      <c r="L259" s="3"/>
      <c r="M259" s="8"/>
      <c r="N259" s="8"/>
      <c r="O259" s="8"/>
      <c r="P259" s="3"/>
      <c r="Q259" s="3"/>
      <c r="R259" s="3"/>
    </row>
    <row r="260" spans="1:18">
      <c r="A260" s="14"/>
      <c r="B260" s="9"/>
      <c r="C260" s="10" t="str">
        <f t="shared" si="45"/>
        <v>LIGHTING SUPERVISOR</v>
      </c>
      <c r="D260" s="9"/>
      <c r="E260" s="9" t="str">
        <f t="shared" si="46"/>
        <v>TAE-IN LEE</v>
      </c>
      <c r="F260" s="9"/>
      <c r="G260" s="3"/>
      <c r="H260" s="3"/>
      <c r="I260" s="8" t="s">
        <v>333</v>
      </c>
      <c r="J260" s="3"/>
      <c r="K260" s="13" t="s">
        <v>334</v>
      </c>
      <c r="L260" s="3"/>
      <c r="M260" s="8"/>
      <c r="N260" s="8"/>
      <c r="O260" s="8" t="s">
        <v>848</v>
      </c>
      <c r="P260" s="3"/>
      <c r="Q260" s="3" t="s">
        <v>849</v>
      </c>
      <c r="R260" s="3"/>
    </row>
    <row r="261" spans="1:18">
      <c r="A261" s="14"/>
      <c r="B261" s="9"/>
      <c r="C261" s="10" t="str">
        <f t="shared" si="45"/>
        <v>LIGHTING ARTIST</v>
      </c>
      <c r="D261" s="9"/>
      <c r="E261" s="9" t="str">
        <f t="shared" si="46"/>
        <v>BYEONGHYEON HWANG</v>
      </c>
      <c r="F261" s="9"/>
      <c r="G261" s="3"/>
      <c r="H261" s="3"/>
      <c r="I261" s="8" t="s">
        <v>335</v>
      </c>
      <c r="J261" s="3"/>
      <c r="K261" s="13" t="s">
        <v>336</v>
      </c>
      <c r="L261" s="3"/>
      <c r="M261" s="8"/>
      <c r="N261" s="8"/>
      <c r="O261" s="8" t="s">
        <v>850</v>
      </c>
      <c r="P261" s="3"/>
      <c r="Q261" s="3" t="s">
        <v>851</v>
      </c>
      <c r="R261" s="3"/>
    </row>
    <row r="262" spans="1:18">
      <c r="A262" s="14"/>
      <c r="B262" s="9"/>
      <c r="C262" s="10" t="str">
        <f t="shared" si="45"/>
        <v/>
      </c>
      <c r="D262" s="9"/>
      <c r="E262" s="9" t="str">
        <f t="shared" si="46"/>
        <v/>
      </c>
      <c r="F262" s="9"/>
      <c r="G262" s="3"/>
      <c r="H262" s="3"/>
      <c r="I262" s="8"/>
      <c r="J262" s="3"/>
      <c r="K262" s="13"/>
      <c r="L262" s="3"/>
      <c r="M262" s="8"/>
      <c r="N262" s="8"/>
      <c r="O262" s="8"/>
      <c r="P262" s="3"/>
      <c r="Q262" s="3"/>
      <c r="R262" s="3"/>
    </row>
    <row r="263" spans="1:18">
      <c r="A263" s="14"/>
      <c r="B263" s="9"/>
      <c r="C263" s="10" t="str">
        <f t="shared" si="45"/>
        <v>FX SUPERVISOR</v>
      </c>
      <c r="D263" s="9"/>
      <c r="E263" s="9" t="str">
        <f t="shared" si="46"/>
        <v>SEWANG KIM</v>
      </c>
      <c r="F263" s="9"/>
      <c r="G263" s="3"/>
      <c r="H263" s="3"/>
      <c r="I263" s="8" t="s">
        <v>337</v>
      </c>
      <c r="J263" s="3"/>
      <c r="K263" s="13" t="s">
        <v>338</v>
      </c>
      <c r="L263" s="3"/>
      <c r="M263" s="8"/>
      <c r="N263" s="8"/>
      <c r="O263" s="8" t="s">
        <v>852</v>
      </c>
      <c r="P263" s="3"/>
      <c r="Q263" s="3" t="s">
        <v>853</v>
      </c>
      <c r="R263" s="3"/>
    </row>
    <row r="264" spans="1:18">
      <c r="A264" s="14"/>
      <c r="B264" s="9"/>
      <c r="C264" s="10" t="str">
        <f t="shared" si="45"/>
        <v>FX ARTIST</v>
      </c>
      <c r="D264" s="9"/>
      <c r="E264" s="9" t="str">
        <f t="shared" si="46"/>
        <v>SAEBOM OH</v>
      </c>
      <c r="F264" s="9"/>
      <c r="G264" s="3"/>
      <c r="H264" s="3"/>
      <c r="I264" s="8" t="s">
        <v>339</v>
      </c>
      <c r="J264" s="3"/>
      <c r="K264" s="13" t="s">
        <v>340</v>
      </c>
      <c r="L264" s="3"/>
      <c r="M264" s="8"/>
      <c r="N264" s="8"/>
      <c r="O264" s="8" t="s">
        <v>854</v>
      </c>
      <c r="P264" s="3"/>
      <c r="Q264" s="137" t="s">
        <v>855</v>
      </c>
      <c r="R264" s="3"/>
    </row>
    <row r="265" spans="1:18">
      <c r="A265" s="14"/>
      <c r="B265" s="9"/>
      <c r="C265" s="10" t="str">
        <f t="shared" si="45"/>
        <v/>
      </c>
      <c r="D265" s="9"/>
      <c r="E265" s="9" t="str">
        <f t="shared" si="46"/>
        <v/>
      </c>
      <c r="F265" s="9"/>
      <c r="G265" s="3"/>
      <c r="H265" s="3"/>
      <c r="I265" s="8"/>
      <c r="J265" s="3"/>
      <c r="K265" s="13"/>
      <c r="L265" s="3"/>
      <c r="M265" s="8"/>
      <c r="N265" s="8"/>
      <c r="O265" s="8"/>
      <c r="P265" s="3"/>
      <c r="Q265" s="3"/>
      <c r="R265" s="3"/>
    </row>
    <row r="266" spans="1:18">
      <c r="A266" s="14"/>
      <c r="B266" s="9"/>
      <c r="C266" s="10" t="str">
        <f t="shared" si="45"/>
        <v>COMPOSITING SUPERVISOR</v>
      </c>
      <c r="D266" s="9"/>
      <c r="E266" s="40" t="str">
        <f t="shared" si="46"/>
        <v>YOONHEE JUNG</v>
      </c>
      <c r="F266" s="9"/>
      <c r="G266" s="3"/>
      <c r="H266" s="3"/>
      <c r="I266" s="8" t="s">
        <v>341</v>
      </c>
      <c r="J266" s="3"/>
      <c r="K266" s="13" t="s">
        <v>342</v>
      </c>
      <c r="L266" s="3"/>
      <c r="M266" s="3"/>
      <c r="N266" s="3"/>
      <c r="O266" s="8" t="s">
        <v>856</v>
      </c>
      <c r="P266" s="3"/>
      <c r="Q266" s="3" t="s">
        <v>857</v>
      </c>
      <c r="R266" s="3"/>
    </row>
    <row r="267" spans="1:18">
      <c r="A267" s="14"/>
      <c r="B267" s="9"/>
      <c r="C267" s="10" t="str">
        <f t="shared" si="45"/>
        <v>COMPOSITING ARTIST</v>
      </c>
      <c r="D267" s="9"/>
      <c r="E267" s="9" t="str">
        <f t="shared" si="46"/>
        <v>NAMMIN KIM</v>
      </c>
      <c r="F267" s="9"/>
      <c r="G267" s="3"/>
      <c r="H267" s="3"/>
      <c r="I267" s="8" t="s">
        <v>343</v>
      </c>
      <c r="J267" s="3"/>
      <c r="K267" s="13" t="s">
        <v>344</v>
      </c>
      <c r="L267" s="3"/>
      <c r="M267" s="8"/>
      <c r="N267" s="8"/>
      <c r="O267" s="8" t="s">
        <v>858</v>
      </c>
      <c r="P267" s="3"/>
      <c r="Q267" s="3" t="s">
        <v>859</v>
      </c>
      <c r="R267" s="3"/>
    </row>
    <row r="268" spans="1:18">
      <c r="A268" s="14"/>
      <c r="B268" s="9"/>
      <c r="C268" s="10"/>
      <c r="D268" s="9"/>
      <c r="E268" s="9"/>
      <c r="F268" s="9"/>
      <c r="G268" s="3"/>
      <c r="H268" s="3"/>
      <c r="I268" s="8"/>
      <c r="J268" s="3"/>
      <c r="K268" s="13"/>
      <c r="L268" s="3"/>
      <c r="M268" s="8"/>
      <c r="N268" s="8"/>
      <c r="O268" s="21"/>
      <c r="P268" s="3"/>
      <c r="Q268" s="3"/>
      <c r="R268" s="3"/>
    </row>
    <row r="269" spans="1:18">
      <c r="A269" s="14"/>
      <c r="B269" s="26"/>
      <c r="C269" s="26"/>
      <c r="D269" s="26"/>
      <c r="E269" s="26"/>
      <c r="F269" s="26"/>
      <c r="G269" s="3"/>
      <c r="H269" s="5"/>
      <c r="I269" s="5"/>
      <c r="J269" s="5"/>
      <c r="K269" s="5"/>
      <c r="L269" s="5"/>
      <c r="M269" s="8"/>
      <c r="N269" s="8"/>
      <c r="O269" s="21"/>
      <c r="P269" s="3"/>
      <c r="Q269" s="3"/>
      <c r="R269" s="3"/>
    </row>
    <row r="270" spans="1:18">
      <c r="A270" s="14"/>
      <c r="B270" s="6"/>
      <c r="C270" s="6"/>
      <c r="D270" s="6"/>
      <c r="E270" s="6"/>
      <c r="F270" s="6"/>
      <c r="G270" s="3"/>
      <c r="H270" s="5"/>
      <c r="I270" s="5"/>
      <c r="J270" s="5"/>
      <c r="K270" s="5"/>
      <c r="L270" s="5"/>
      <c r="M270" s="8"/>
      <c r="N270" s="8"/>
      <c r="O270" s="21"/>
      <c r="P270" s="3"/>
      <c r="Q270" s="3"/>
      <c r="R270" s="3"/>
    </row>
    <row r="271" spans="1:18">
      <c r="A271" s="14"/>
      <c r="B271" s="150" t="str">
        <f t="shared" ref="B271:B272" si="47">UPPER(H271)</f>
        <v>LIGHTING / VFX / COMPOSITING</v>
      </c>
      <c r="C271" s="141"/>
      <c r="D271" s="141"/>
      <c r="E271" s="141"/>
      <c r="F271" s="141"/>
      <c r="G271" s="28"/>
      <c r="H271" s="167" t="s">
        <v>330</v>
      </c>
      <c r="I271" s="141"/>
      <c r="J271" s="141"/>
      <c r="K271" s="141"/>
      <c r="L271" s="141"/>
      <c r="M271" s="8"/>
      <c r="N271" s="149" t="s">
        <v>845</v>
      </c>
      <c r="O271" s="141"/>
      <c r="P271" s="141"/>
      <c r="Q271" s="141"/>
      <c r="R271" s="141"/>
    </row>
    <row r="272" spans="1:18">
      <c r="A272" s="14"/>
      <c r="B272" s="146" t="str">
        <f t="shared" si="47"/>
        <v>THE MONK STUDIOS</v>
      </c>
      <c r="C272" s="141"/>
      <c r="D272" s="141"/>
      <c r="E272" s="141"/>
      <c r="F272" s="141"/>
      <c r="G272" s="3"/>
      <c r="H272" s="149" t="s">
        <v>202</v>
      </c>
      <c r="I272" s="141"/>
      <c r="J272" s="141"/>
      <c r="K272" s="141"/>
      <c r="L272" s="141"/>
      <c r="M272" s="8"/>
      <c r="N272" s="149" t="s">
        <v>202</v>
      </c>
      <c r="O272" s="141"/>
      <c r="P272" s="141"/>
      <c r="Q272" s="141"/>
      <c r="R272" s="141"/>
    </row>
    <row r="273" spans="1:18">
      <c r="A273" s="14"/>
      <c r="B273" s="9"/>
      <c r="C273" s="10"/>
      <c r="D273" s="9"/>
      <c r="E273" s="9"/>
      <c r="F273" s="9"/>
      <c r="G273" s="3"/>
      <c r="H273" s="3"/>
      <c r="I273" s="36"/>
      <c r="J273" s="3"/>
      <c r="K273" s="22"/>
      <c r="L273" s="3"/>
      <c r="M273" s="8"/>
      <c r="N273" s="3"/>
      <c r="O273" s="36"/>
      <c r="P273" s="3"/>
      <c r="Q273" s="22"/>
      <c r="R273" s="3"/>
    </row>
    <row r="274" spans="1:18">
      <c r="A274" s="14"/>
      <c r="B274" s="9"/>
      <c r="C274" s="10" t="str">
        <f>UPPER(I274)</f>
        <v>CFX SUPERVISOR</v>
      </c>
      <c r="D274" s="9"/>
      <c r="E274" s="41" t="str">
        <f>UPPER(K274)</f>
        <v>KORRAPAT TANGSUTTHIWONG</v>
      </c>
      <c r="F274" s="9"/>
      <c r="G274" s="3"/>
      <c r="H274" s="3"/>
      <c r="I274" s="36" t="s">
        <v>345</v>
      </c>
      <c r="J274" s="3"/>
      <c r="K274" s="22" t="s">
        <v>346</v>
      </c>
      <c r="L274" s="3"/>
      <c r="M274" s="8"/>
      <c r="N274" s="3"/>
      <c r="O274" s="36" t="s">
        <v>345</v>
      </c>
      <c r="P274" s="3"/>
      <c r="Q274" s="22" t="s">
        <v>346</v>
      </c>
      <c r="R274" s="3"/>
    </row>
    <row r="275" spans="1:18">
      <c r="A275" s="14"/>
      <c r="B275" s="9"/>
      <c r="C275" s="10"/>
      <c r="D275" s="9"/>
      <c r="E275" s="9"/>
      <c r="F275" s="9"/>
      <c r="G275" s="3"/>
      <c r="H275" s="3"/>
      <c r="I275" s="36"/>
      <c r="J275" s="3"/>
      <c r="K275" s="22"/>
      <c r="L275" s="3"/>
      <c r="M275" s="8"/>
      <c r="N275" s="3"/>
      <c r="O275" s="36"/>
      <c r="P275" s="3"/>
      <c r="Q275" s="22"/>
      <c r="R275" s="3"/>
    </row>
    <row r="276" spans="1:18">
      <c r="A276" s="14"/>
      <c r="B276" s="9"/>
      <c r="C276" s="10" t="str">
        <f>UPPER(I276)</f>
        <v>CFX ARTIST</v>
      </c>
      <c r="D276" s="9"/>
      <c r="E276" s="9" t="str">
        <f t="shared" ref="E276:E283" si="48">UPPER(K276)</f>
        <v>CHERMAR WITOONWUTTIKUL</v>
      </c>
      <c r="F276" s="9"/>
      <c r="G276" s="3"/>
      <c r="H276" s="3"/>
      <c r="I276" s="36" t="s">
        <v>349</v>
      </c>
      <c r="J276" s="3"/>
      <c r="K276" s="22" t="s">
        <v>350</v>
      </c>
      <c r="L276" s="3"/>
      <c r="M276" s="8"/>
      <c r="N276" s="3"/>
      <c r="O276" s="36" t="s">
        <v>349</v>
      </c>
      <c r="P276" s="3"/>
      <c r="Q276" s="22" t="s">
        <v>350</v>
      </c>
      <c r="R276" s="3"/>
    </row>
    <row r="277" spans="1:18">
      <c r="A277" s="14"/>
      <c r="B277" s="9"/>
      <c r="C277" s="10"/>
      <c r="D277" s="9"/>
      <c r="E277" s="9" t="str">
        <f t="shared" si="48"/>
        <v>KOMSON SEECHAN</v>
      </c>
      <c r="F277" s="9"/>
      <c r="G277" s="3"/>
      <c r="H277" s="3"/>
      <c r="I277" s="36"/>
      <c r="J277" s="3"/>
      <c r="K277" s="22" t="s">
        <v>351</v>
      </c>
      <c r="L277" s="3"/>
      <c r="M277" s="8"/>
      <c r="N277" s="3"/>
      <c r="O277" s="36"/>
      <c r="P277" s="3"/>
      <c r="Q277" s="22" t="s">
        <v>351</v>
      </c>
      <c r="R277" s="3"/>
    </row>
    <row r="278" spans="1:18">
      <c r="A278" s="14"/>
      <c r="B278" s="9"/>
      <c r="C278" s="10" t="str">
        <f t="shared" ref="C278:C283" si="49">UPPER(I278)</f>
        <v/>
      </c>
      <c r="D278" s="9"/>
      <c r="E278" s="9" t="str">
        <f t="shared" si="48"/>
        <v>PREECHAPONG NOPRUMPA</v>
      </c>
      <c r="F278" s="9"/>
      <c r="G278" s="3"/>
      <c r="H278" s="3"/>
      <c r="I278" s="36"/>
      <c r="J278" s="3"/>
      <c r="K278" s="22" t="s">
        <v>352</v>
      </c>
      <c r="L278" s="3"/>
      <c r="M278" s="8"/>
      <c r="N278" s="3"/>
      <c r="O278" s="36"/>
      <c r="P278" s="3"/>
      <c r="Q278" s="22" t="s">
        <v>352</v>
      </c>
      <c r="R278" s="3"/>
    </row>
    <row r="279" spans="1:18">
      <c r="A279" s="14"/>
      <c r="B279" s="9"/>
      <c r="C279" s="10" t="str">
        <f t="shared" si="49"/>
        <v/>
      </c>
      <c r="D279" s="9"/>
      <c r="E279" s="9" t="str">
        <f t="shared" si="48"/>
        <v>SUPPACHAI WONGSALINGKARN</v>
      </c>
      <c r="F279" s="9"/>
      <c r="G279" s="3"/>
      <c r="H279" s="3"/>
      <c r="I279" s="8"/>
      <c r="J279" s="3"/>
      <c r="K279" s="22" t="s">
        <v>353</v>
      </c>
      <c r="L279" s="3"/>
      <c r="M279" s="8"/>
      <c r="N279" s="3"/>
      <c r="O279" s="8"/>
      <c r="P279" s="3"/>
      <c r="Q279" s="22" t="s">
        <v>353</v>
      </c>
      <c r="R279" s="3"/>
    </row>
    <row r="280" spans="1:18">
      <c r="A280" s="14"/>
      <c r="B280" s="9"/>
      <c r="C280" s="10" t="str">
        <f t="shared" si="49"/>
        <v/>
      </c>
      <c r="D280" s="9"/>
      <c r="E280" s="9" t="str">
        <f t="shared" si="48"/>
        <v>THAWATCHAY KAEWPHUY</v>
      </c>
      <c r="F280" s="9"/>
      <c r="G280" s="3"/>
      <c r="H280" s="3"/>
      <c r="I280" s="8"/>
      <c r="J280" s="3"/>
      <c r="K280" s="22" t="s">
        <v>354</v>
      </c>
      <c r="L280" s="3"/>
      <c r="M280" s="8"/>
      <c r="N280" s="3"/>
      <c r="O280" s="8"/>
      <c r="P280" s="3"/>
      <c r="Q280" s="22" t="s">
        <v>354</v>
      </c>
      <c r="R280" s="3"/>
    </row>
    <row r="281" spans="1:18">
      <c r="A281" s="14"/>
      <c r="B281" s="9"/>
      <c r="C281" s="10" t="str">
        <f t="shared" si="49"/>
        <v/>
      </c>
      <c r="D281" s="9"/>
      <c r="E281" s="9" t="str">
        <f t="shared" si="48"/>
        <v>TITTAYANAN WANNUBOL</v>
      </c>
      <c r="F281" s="9"/>
      <c r="G281" s="3"/>
      <c r="H281" s="3"/>
      <c r="I281" s="8"/>
      <c r="J281" s="3"/>
      <c r="K281" s="22" t="s">
        <v>355</v>
      </c>
      <c r="L281" s="3"/>
      <c r="M281" s="8"/>
      <c r="N281" s="3"/>
      <c r="O281" s="8"/>
      <c r="P281" s="3"/>
      <c r="Q281" s="22" t="s">
        <v>355</v>
      </c>
      <c r="R281" s="3"/>
    </row>
    <row r="282" spans="1:18">
      <c r="A282" s="14"/>
      <c r="B282" s="9"/>
      <c r="C282" s="10" t="str">
        <f t="shared" si="49"/>
        <v/>
      </c>
      <c r="D282" s="9"/>
      <c r="E282" s="9" t="str">
        <f t="shared" si="48"/>
        <v>PORNNEEKA THAMWONG</v>
      </c>
      <c r="F282" s="9"/>
      <c r="G282" s="3"/>
      <c r="H282" s="3"/>
      <c r="I282" s="8"/>
      <c r="J282" s="3"/>
      <c r="K282" s="22" t="s">
        <v>356</v>
      </c>
      <c r="L282" s="3"/>
      <c r="M282" s="8"/>
      <c r="N282" s="3"/>
      <c r="O282" s="8"/>
      <c r="P282" s="3"/>
      <c r="Q282" s="22" t="s">
        <v>356</v>
      </c>
      <c r="R282" s="3"/>
    </row>
    <row r="283" spans="1:18">
      <c r="A283" s="14"/>
      <c r="B283" s="9"/>
      <c r="C283" s="10" t="str">
        <f t="shared" si="49"/>
        <v/>
      </c>
      <c r="D283" s="9"/>
      <c r="E283" s="9" t="str">
        <f t="shared" si="48"/>
        <v/>
      </c>
      <c r="F283" s="9"/>
      <c r="G283" s="3"/>
      <c r="H283" s="3"/>
      <c r="I283" s="8"/>
      <c r="J283" s="3"/>
      <c r="K283" s="22"/>
      <c r="L283" s="3"/>
      <c r="M283" s="8"/>
      <c r="N283" s="8"/>
      <c r="O283" s="21"/>
      <c r="P283" s="3"/>
      <c r="Q283" s="3"/>
      <c r="R283" s="3"/>
    </row>
    <row r="284" spans="1:18">
      <c r="A284" s="14"/>
      <c r="B284" s="11"/>
      <c r="C284" s="12"/>
      <c r="D284" s="11"/>
      <c r="E284" s="11"/>
      <c r="F284" s="11"/>
      <c r="G284" s="3"/>
      <c r="H284" s="3"/>
      <c r="I284" s="36"/>
      <c r="J284" s="3"/>
      <c r="K284" s="31"/>
      <c r="L284" s="3"/>
      <c r="M284" s="8"/>
      <c r="N284" s="8"/>
      <c r="O284" s="21"/>
      <c r="P284" s="3"/>
      <c r="Q284" s="3"/>
      <c r="R284" s="3"/>
    </row>
    <row r="285" spans="1:18">
      <c r="A285" s="14"/>
      <c r="B285" s="17"/>
      <c r="C285" s="17"/>
      <c r="D285" s="17"/>
      <c r="E285" s="17"/>
      <c r="F285" s="17"/>
      <c r="G285" s="28"/>
      <c r="H285" s="18"/>
      <c r="I285" s="18"/>
      <c r="J285" s="18"/>
      <c r="K285" s="18"/>
      <c r="L285" s="18"/>
      <c r="M285" s="8"/>
      <c r="N285" s="8"/>
      <c r="O285" s="21"/>
      <c r="P285" s="3"/>
      <c r="Q285" s="3"/>
      <c r="R285" s="3"/>
    </row>
    <row r="286" spans="1:18">
      <c r="A286" s="14"/>
      <c r="B286" s="150" t="str">
        <f t="shared" ref="B286:B287" si="50">UPPER(H286)</f>
        <v>LIGHTING / VFX / COMPOSITING</v>
      </c>
      <c r="C286" s="141"/>
      <c r="D286" s="141"/>
      <c r="E286" s="141"/>
      <c r="F286" s="141"/>
      <c r="G286" s="28"/>
      <c r="H286" s="167" t="s">
        <v>330</v>
      </c>
      <c r="I286" s="141"/>
      <c r="J286" s="141"/>
      <c r="K286" s="141"/>
      <c r="L286" s="141"/>
      <c r="M286" s="8"/>
      <c r="N286" s="149" t="s">
        <v>845</v>
      </c>
      <c r="O286" s="141"/>
      <c r="P286" s="141"/>
      <c r="Q286" s="141"/>
      <c r="R286" s="141"/>
    </row>
    <row r="287" spans="1:18">
      <c r="A287" s="14"/>
      <c r="B287" s="146" t="str">
        <f t="shared" si="50"/>
        <v>THE MONK STUDIOS</v>
      </c>
      <c r="C287" s="141"/>
      <c r="D287" s="141"/>
      <c r="E287" s="141"/>
      <c r="F287" s="141"/>
      <c r="G287" s="3"/>
      <c r="H287" s="149" t="s">
        <v>202</v>
      </c>
      <c r="I287" s="141"/>
      <c r="J287" s="141"/>
      <c r="K287" s="141"/>
      <c r="L287" s="141"/>
      <c r="M287" s="8"/>
      <c r="N287" s="149" t="s">
        <v>202</v>
      </c>
      <c r="O287" s="141"/>
      <c r="P287" s="141"/>
      <c r="Q287" s="141"/>
      <c r="R287" s="141"/>
    </row>
    <row r="288" spans="1:18">
      <c r="A288" s="14"/>
      <c r="B288" s="9"/>
      <c r="C288" s="10"/>
      <c r="D288" s="9"/>
      <c r="E288" s="9"/>
      <c r="F288" s="9"/>
      <c r="G288" s="3"/>
      <c r="H288" s="3"/>
      <c r="I288" s="36"/>
      <c r="J288" s="3"/>
      <c r="K288" s="31"/>
      <c r="L288" s="3"/>
      <c r="M288" s="8"/>
      <c r="N288" s="3"/>
      <c r="O288" s="36"/>
      <c r="P288" s="3"/>
      <c r="Q288" s="31"/>
      <c r="R288" s="3"/>
    </row>
    <row r="289" spans="1:18">
      <c r="A289" s="14"/>
      <c r="B289" s="9"/>
      <c r="C289" s="10" t="str">
        <f>UPPER(I289)</f>
        <v xml:space="preserve">EFFECT SUPERVISOR </v>
      </c>
      <c r="D289" s="9"/>
      <c r="E289" s="9" t="str">
        <f t="shared" ref="E289:E296" si="51">UPPER(K289)</f>
        <v>THACHAPONG RUANGROJ</v>
      </c>
      <c r="F289" s="9"/>
      <c r="G289" s="3"/>
      <c r="H289" s="3"/>
      <c r="I289" s="36" t="s">
        <v>357</v>
      </c>
      <c r="J289" s="3"/>
      <c r="K289" s="31" t="s">
        <v>358</v>
      </c>
      <c r="L289" s="3"/>
      <c r="M289" s="8"/>
      <c r="N289" s="3"/>
      <c r="O289" s="36" t="s">
        <v>357</v>
      </c>
      <c r="P289" s="3"/>
      <c r="Q289" s="31" t="s">
        <v>358</v>
      </c>
      <c r="R289" s="3"/>
    </row>
    <row r="290" spans="1:18">
      <c r="A290" s="14"/>
      <c r="B290" s="9"/>
      <c r="C290" s="10"/>
      <c r="D290" s="9"/>
      <c r="E290" s="9" t="str">
        <f t="shared" si="51"/>
        <v/>
      </c>
      <c r="F290" s="9"/>
      <c r="G290" s="3"/>
      <c r="H290" s="3"/>
      <c r="I290" s="36"/>
      <c r="J290" s="3"/>
      <c r="K290" s="31"/>
      <c r="L290" s="3"/>
      <c r="M290" s="8"/>
      <c r="N290" s="3"/>
      <c r="O290" s="36"/>
      <c r="P290" s="3"/>
      <c r="Q290" s="31"/>
      <c r="R290" s="3"/>
    </row>
    <row r="291" spans="1:18">
      <c r="A291" s="14"/>
      <c r="B291" s="9"/>
      <c r="C291" s="10" t="str">
        <f>UPPER(I291)</f>
        <v>VFX GENERALIST</v>
      </c>
      <c r="D291" s="9"/>
      <c r="E291" s="9" t="str">
        <f t="shared" si="51"/>
        <v>PHUONG THANH NAM</v>
      </c>
      <c r="F291" s="9"/>
      <c r="G291" s="3"/>
      <c r="H291" s="3"/>
      <c r="I291" s="36" t="s">
        <v>359</v>
      </c>
      <c r="J291" s="3"/>
      <c r="K291" s="31" t="s">
        <v>360</v>
      </c>
      <c r="L291" s="3"/>
      <c r="M291" s="8"/>
      <c r="N291" s="3"/>
      <c r="O291" s="36" t="s">
        <v>359</v>
      </c>
      <c r="P291" s="3"/>
      <c r="Q291" s="31" t="s">
        <v>360</v>
      </c>
      <c r="R291" s="3"/>
    </row>
    <row r="292" spans="1:18">
      <c r="A292" s="14"/>
      <c r="B292" s="9"/>
      <c r="C292" s="10"/>
      <c r="D292" s="9"/>
      <c r="E292" s="9" t="str">
        <f t="shared" si="51"/>
        <v/>
      </c>
      <c r="F292" s="9"/>
      <c r="G292" s="3"/>
      <c r="H292" s="3"/>
      <c r="I292" s="36"/>
      <c r="J292" s="3"/>
      <c r="K292" s="31"/>
      <c r="L292" s="3"/>
      <c r="M292" s="8"/>
      <c r="N292" s="3"/>
      <c r="O292" s="36"/>
      <c r="P292" s="3"/>
      <c r="Q292" s="31"/>
      <c r="R292" s="3"/>
    </row>
    <row r="293" spans="1:18">
      <c r="A293" s="14"/>
      <c r="B293" s="9"/>
      <c r="C293" s="10" t="str">
        <f t="shared" ref="C293:C296" si="52">UPPER(I293)</f>
        <v>EFFECTS ARTIST</v>
      </c>
      <c r="D293" s="9"/>
      <c r="E293" s="9" t="str">
        <f t="shared" si="51"/>
        <v>CHAIPAT WINYOOVIJIT</v>
      </c>
      <c r="F293" s="9"/>
      <c r="G293" s="3"/>
      <c r="H293" s="3"/>
      <c r="I293" s="36" t="s">
        <v>361</v>
      </c>
      <c r="J293" s="3"/>
      <c r="K293" s="31" t="s">
        <v>362</v>
      </c>
      <c r="L293" s="3"/>
      <c r="M293" s="8"/>
      <c r="N293" s="3"/>
      <c r="O293" s="36" t="s">
        <v>361</v>
      </c>
      <c r="P293" s="3"/>
      <c r="Q293" s="31" t="s">
        <v>362</v>
      </c>
      <c r="R293" s="3"/>
    </row>
    <row r="294" spans="1:18">
      <c r="A294" s="14"/>
      <c r="B294" s="9"/>
      <c r="C294" s="10" t="str">
        <f t="shared" si="52"/>
        <v/>
      </c>
      <c r="D294" s="9"/>
      <c r="E294" s="9" t="str">
        <f t="shared" si="51"/>
        <v>THANAWAT KAEWARSA</v>
      </c>
      <c r="F294" s="9"/>
      <c r="G294" s="3"/>
      <c r="H294" s="3"/>
      <c r="I294" s="8"/>
      <c r="J294" s="3"/>
      <c r="K294" s="31" t="s">
        <v>369</v>
      </c>
      <c r="L294" s="3"/>
      <c r="M294" s="8"/>
      <c r="N294" s="3"/>
      <c r="O294" s="8"/>
      <c r="P294" s="3"/>
      <c r="Q294" s="31" t="s">
        <v>369</v>
      </c>
      <c r="R294" s="3"/>
    </row>
    <row r="295" spans="1:18">
      <c r="A295" s="14"/>
      <c r="B295" s="9"/>
      <c r="C295" s="10" t="str">
        <f t="shared" si="52"/>
        <v/>
      </c>
      <c r="D295" s="9"/>
      <c r="E295" s="9" t="str">
        <f t="shared" si="51"/>
        <v>WASU LERTAMORNWATTANA</v>
      </c>
      <c r="F295" s="9"/>
      <c r="G295" s="3"/>
      <c r="H295" s="3"/>
      <c r="I295" s="36"/>
      <c r="J295" s="3"/>
      <c r="K295" s="39" t="s">
        <v>370</v>
      </c>
      <c r="L295" s="3"/>
      <c r="M295" s="8"/>
      <c r="N295" s="3"/>
      <c r="O295" s="36"/>
      <c r="P295" s="3"/>
      <c r="Q295" s="39" t="s">
        <v>370</v>
      </c>
      <c r="R295" s="3"/>
    </row>
    <row r="296" spans="1:18">
      <c r="A296" s="14"/>
      <c r="B296" s="9"/>
      <c r="C296" s="10" t="str">
        <f t="shared" si="52"/>
        <v/>
      </c>
      <c r="D296" s="9"/>
      <c r="E296" s="9" t="str">
        <f t="shared" si="51"/>
        <v/>
      </c>
      <c r="F296" s="9"/>
      <c r="G296" s="3"/>
      <c r="H296" s="3"/>
      <c r="I296" s="8"/>
      <c r="J296" s="3"/>
      <c r="K296" s="31"/>
      <c r="L296" s="3"/>
      <c r="M296" s="8"/>
      <c r="N296" s="8"/>
      <c r="O296" s="21"/>
      <c r="P296" s="3"/>
      <c r="Q296" s="3"/>
      <c r="R296" s="3"/>
    </row>
    <row r="297" spans="1:18">
      <c r="A297" s="14"/>
      <c r="B297" s="11"/>
      <c r="C297" s="12"/>
      <c r="D297" s="11"/>
      <c r="E297" s="11"/>
      <c r="F297" s="11"/>
      <c r="G297" s="3"/>
      <c r="H297" s="3"/>
      <c r="I297" s="8"/>
      <c r="J297" s="3"/>
      <c r="K297" s="13"/>
      <c r="L297" s="3"/>
      <c r="M297" s="8"/>
      <c r="N297" s="8"/>
      <c r="O297" s="21"/>
      <c r="P297" s="3"/>
      <c r="Q297" s="3"/>
      <c r="R297" s="3"/>
    </row>
    <row r="298" spans="1:18">
      <c r="A298" s="14"/>
      <c r="B298" s="9"/>
      <c r="C298" s="10"/>
      <c r="D298" s="9"/>
      <c r="E298" s="9"/>
      <c r="F298" s="9"/>
      <c r="G298" s="3"/>
      <c r="H298" s="3"/>
      <c r="I298" s="8"/>
      <c r="J298" s="3"/>
      <c r="K298" s="13"/>
      <c r="L298" s="3"/>
      <c r="M298" s="8"/>
      <c r="N298" s="8"/>
      <c r="O298" s="21"/>
      <c r="P298" s="3"/>
      <c r="Q298" s="3"/>
      <c r="R298" s="3"/>
    </row>
    <row r="299" spans="1:18">
      <c r="A299" s="14"/>
      <c r="B299" s="150" t="str">
        <f t="shared" ref="B299:B300" si="53">UPPER(H299)</f>
        <v>LIGHTING / VFX / COMPOSITING</v>
      </c>
      <c r="C299" s="141"/>
      <c r="D299" s="141"/>
      <c r="E299" s="141"/>
      <c r="F299" s="141"/>
      <c r="G299" s="28"/>
      <c r="H299" s="167" t="s">
        <v>330</v>
      </c>
      <c r="I299" s="141"/>
      <c r="J299" s="141"/>
      <c r="K299" s="141"/>
      <c r="L299" s="141"/>
      <c r="M299" s="8"/>
      <c r="N299" s="149" t="s">
        <v>845</v>
      </c>
      <c r="O299" s="141"/>
      <c r="P299" s="141"/>
      <c r="Q299" s="141"/>
      <c r="R299" s="141"/>
    </row>
    <row r="300" spans="1:18">
      <c r="A300" s="14"/>
      <c r="B300" s="146" t="str">
        <f t="shared" si="53"/>
        <v>THE MONK STUDIOS</v>
      </c>
      <c r="C300" s="141"/>
      <c r="D300" s="141"/>
      <c r="E300" s="141"/>
      <c r="F300" s="141"/>
      <c r="G300" s="3"/>
      <c r="H300" s="149" t="s">
        <v>202</v>
      </c>
      <c r="I300" s="141"/>
      <c r="J300" s="141"/>
      <c r="K300" s="141"/>
      <c r="L300" s="141"/>
      <c r="M300" s="8"/>
      <c r="N300" s="149" t="s">
        <v>202</v>
      </c>
      <c r="O300" s="141"/>
      <c r="P300" s="141"/>
      <c r="Q300" s="141"/>
      <c r="R300" s="141"/>
    </row>
    <row r="301" spans="1:18">
      <c r="A301" s="14"/>
      <c r="B301" s="9"/>
      <c r="C301" s="10"/>
      <c r="D301" s="9"/>
      <c r="E301" s="9"/>
      <c r="F301" s="9"/>
      <c r="G301" s="3"/>
      <c r="H301" s="3"/>
      <c r="I301" s="36"/>
      <c r="J301" s="3"/>
      <c r="K301" s="31"/>
      <c r="L301" s="3"/>
      <c r="M301" s="8"/>
      <c r="N301" s="3"/>
      <c r="O301" s="36"/>
      <c r="P301" s="3"/>
      <c r="Q301" s="31"/>
      <c r="R301" s="3"/>
    </row>
    <row r="302" spans="1:18">
      <c r="A302" s="14"/>
      <c r="B302" s="9"/>
      <c r="C302" s="10" t="str">
        <f>UPPER(I302)</f>
        <v>LIGHTING SUPERVISOR</v>
      </c>
      <c r="D302" s="9"/>
      <c r="E302" s="9" t="str">
        <f>UPPER(K302)</f>
        <v>TIKUMPORN SRISANG-NGAM</v>
      </c>
      <c r="F302" s="9"/>
      <c r="G302" s="3"/>
      <c r="H302" s="3"/>
      <c r="I302" s="36" t="s">
        <v>371</v>
      </c>
      <c r="J302" s="3"/>
      <c r="K302" s="22" t="s">
        <v>372</v>
      </c>
      <c r="L302" s="3"/>
      <c r="M302" s="8"/>
      <c r="N302" s="3"/>
      <c r="O302" s="36" t="s">
        <v>371</v>
      </c>
      <c r="P302" s="3"/>
      <c r="Q302" s="22" t="s">
        <v>372</v>
      </c>
      <c r="R302" s="3"/>
    </row>
    <row r="303" spans="1:18">
      <c r="A303" s="14"/>
      <c r="B303" s="9"/>
      <c r="C303" s="10"/>
      <c r="D303" s="9"/>
      <c r="E303" s="9"/>
      <c r="F303" s="9"/>
      <c r="G303" s="3"/>
      <c r="H303" s="3"/>
      <c r="I303" s="36"/>
      <c r="J303" s="3"/>
      <c r="K303" s="31"/>
      <c r="L303" s="3"/>
      <c r="M303" s="8"/>
      <c r="N303" s="3"/>
      <c r="O303" s="36"/>
      <c r="P303" s="3"/>
      <c r="Q303" s="31"/>
      <c r="R303" s="3"/>
    </row>
    <row r="304" spans="1:18">
      <c r="A304" s="14"/>
      <c r="B304" s="9"/>
      <c r="C304" s="10" t="str">
        <f>UPPER(I304)</f>
        <v>LEAD LIGHTING ARTIST</v>
      </c>
      <c r="D304" s="9"/>
      <c r="E304" s="9" t="str">
        <f>UPPER(K304)</f>
        <v>CHANIN PHEUNGKLAY</v>
      </c>
      <c r="F304" s="9"/>
      <c r="G304" s="3"/>
      <c r="H304" s="3"/>
      <c r="I304" s="36" t="s">
        <v>373</v>
      </c>
      <c r="J304" s="3"/>
      <c r="K304" s="22" t="s">
        <v>374</v>
      </c>
      <c r="L304" s="3"/>
      <c r="M304" s="8"/>
      <c r="N304" s="3"/>
      <c r="O304" s="36" t="s">
        <v>373</v>
      </c>
      <c r="P304" s="3"/>
      <c r="Q304" s="22" t="s">
        <v>374</v>
      </c>
      <c r="R304" s="3"/>
    </row>
    <row r="305" spans="1:18">
      <c r="A305" s="14"/>
      <c r="B305" s="9"/>
      <c r="C305" s="10"/>
      <c r="D305" s="9"/>
      <c r="E305" s="9"/>
      <c r="F305" s="9"/>
      <c r="G305" s="3"/>
      <c r="H305" s="3"/>
      <c r="I305" s="36"/>
      <c r="J305" s="3"/>
      <c r="K305" s="31"/>
      <c r="L305" s="3"/>
      <c r="M305" s="8"/>
      <c r="N305" s="3"/>
      <c r="O305" s="36"/>
      <c r="P305" s="3"/>
      <c r="Q305" s="31"/>
      <c r="R305" s="3"/>
    </row>
    <row r="306" spans="1:18">
      <c r="A306" s="14"/>
      <c r="B306" s="9"/>
      <c r="C306" s="10" t="str">
        <f t="shared" ref="C306:C317" si="54">UPPER(I306)</f>
        <v>LIGHTING ARTIST</v>
      </c>
      <c r="D306" s="9"/>
      <c r="E306" s="9" t="str">
        <f t="shared" ref="E306:E318" si="55">UPPER(K306)</f>
        <v>TITIKAMON NANRUDON</v>
      </c>
      <c r="F306" s="9"/>
      <c r="G306" s="3"/>
      <c r="H306" s="3"/>
      <c r="I306" s="36" t="s">
        <v>335</v>
      </c>
      <c r="J306" s="3"/>
      <c r="K306" s="31" t="s">
        <v>375</v>
      </c>
      <c r="L306" s="3"/>
      <c r="M306" s="8"/>
      <c r="N306" s="3"/>
      <c r="O306" s="36" t="s">
        <v>335</v>
      </c>
      <c r="P306" s="3"/>
      <c r="Q306" s="31" t="s">
        <v>375</v>
      </c>
      <c r="R306" s="3"/>
    </row>
    <row r="307" spans="1:18">
      <c r="A307" s="14"/>
      <c r="B307" s="9"/>
      <c r="C307" s="10" t="str">
        <f t="shared" si="54"/>
        <v/>
      </c>
      <c r="D307" s="9"/>
      <c r="E307" s="9" t="str">
        <f t="shared" si="55"/>
        <v>PRADTANA KARALOP</v>
      </c>
      <c r="F307" s="9"/>
      <c r="G307" s="3"/>
      <c r="H307" s="3"/>
      <c r="I307" s="8"/>
      <c r="J307" s="3"/>
      <c r="K307" s="31" t="s">
        <v>376</v>
      </c>
      <c r="L307" s="3"/>
      <c r="M307" s="8"/>
      <c r="N307" s="3"/>
      <c r="O307" s="8"/>
      <c r="P307" s="3"/>
      <c r="Q307" s="31" t="s">
        <v>376</v>
      </c>
      <c r="R307" s="3"/>
    </row>
    <row r="308" spans="1:18">
      <c r="A308" s="14"/>
      <c r="B308" s="9"/>
      <c r="C308" s="10" t="str">
        <f t="shared" si="54"/>
        <v/>
      </c>
      <c r="D308" s="9"/>
      <c r="E308" s="9" t="str">
        <f t="shared" si="55"/>
        <v>WORRAPAT YIMSUKPAITOON</v>
      </c>
      <c r="F308" s="9"/>
      <c r="G308" s="3"/>
      <c r="H308" s="3"/>
      <c r="I308" s="8"/>
      <c r="J308" s="3"/>
      <c r="K308" s="31" t="s">
        <v>377</v>
      </c>
      <c r="L308" s="3"/>
      <c r="M308" s="8"/>
      <c r="N308" s="3"/>
      <c r="O308" s="8"/>
      <c r="P308" s="3"/>
      <c r="Q308" s="31" t="s">
        <v>377</v>
      </c>
      <c r="R308" s="3"/>
    </row>
    <row r="309" spans="1:18">
      <c r="A309" s="14"/>
      <c r="B309" s="9"/>
      <c r="C309" s="10" t="str">
        <f t="shared" si="54"/>
        <v/>
      </c>
      <c r="D309" s="9"/>
      <c r="E309" s="9" t="str">
        <f t="shared" si="55"/>
        <v>PHANATHON WARATHIP</v>
      </c>
      <c r="F309" s="9"/>
      <c r="G309" s="3"/>
      <c r="H309" s="3"/>
      <c r="I309" s="8"/>
      <c r="J309" s="3"/>
      <c r="K309" s="31" t="s">
        <v>378</v>
      </c>
      <c r="L309" s="3"/>
      <c r="M309" s="8"/>
      <c r="N309" s="3"/>
      <c r="O309" s="8"/>
      <c r="P309" s="3"/>
      <c r="Q309" s="31" t="s">
        <v>378</v>
      </c>
      <c r="R309" s="3"/>
    </row>
    <row r="310" spans="1:18">
      <c r="A310" s="14"/>
      <c r="B310" s="9"/>
      <c r="C310" s="10" t="str">
        <f t="shared" si="54"/>
        <v/>
      </c>
      <c r="D310" s="9"/>
      <c r="E310" s="9" t="str">
        <f t="shared" si="55"/>
        <v>BOONYARAT PONOMCHOENG</v>
      </c>
      <c r="F310" s="9"/>
      <c r="G310" s="3"/>
      <c r="H310" s="3"/>
      <c r="I310" s="8"/>
      <c r="J310" s="3"/>
      <c r="K310" s="31" t="s">
        <v>379</v>
      </c>
      <c r="L310" s="3"/>
      <c r="M310" s="8"/>
      <c r="N310" s="3"/>
      <c r="O310" s="8"/>
      <c r="P310" s="3"/>
      <c r="Q310" s="31" t="s">
        <v>379</v>
      </c>
      <c r="R310" s="3"/>
    </row>
    <row r="311" spans="1:18">
      <c r="A311" s="14"/>
      <c r="B311" s="9"/>
      <c r="C311" s="10" t="str">
        <f t="shared" si="54"/>
        <v/>
      </c>
      <c r="D311" s="9"/>
      <c r="E311" s="9" t="str">
        <f t="shared" si="55"/>
        <v>NUTCHAWEE SREWAI</v>
      </c>
      <c r="F311" s="9"/>
      <c r="G311" s="3"/>
      <c r="H311" s="3"/>
      <c r="I311" s="8"/>
      <c r="J311" s="3"/>
      <c r="K311" s="31" t="s">
        <v>380</v>
      </c>
      <c r="L311" s="3"/>
      <c r="M311" s="8"/>
      <c r="N311" s="3"/>
      <c r="O311" s="8"/>
      <c r="P311" s="3"/>
      <c r="Q311" s="31" t="s">
        <v>380</v>
      </c>
      <c r="R311" s="3"/>
    </row>
    <row r="312" spans="1:18">
      <c r="A312" s="14"/>
      <c r="B312" s="9"/>
      <c r="C312" s="10" t="str">
        <f t="shared" si="54"/>
        <v/>
      </c>
      <c r="D312" s="9"/>
      <c r="E312" s="9" t="str">
        <f t="shared" si="55"/>
        <v>CHANIPORN PORSEELA</v>
      </c>
      <c r="F312" s="9"/>
      <c r="G312" s="3"/>
      <c r="H312" s="3"/>
      <c r="I312" s="8"/>
      <c r="J312" s="3"/>
      <c r="K312" s="31" t="s">
        <v>381</v>
      </c>
      <c r="L312" s="3"/>
      <c r="M312" s="8"/>
      <c r="N312" s="3"/>
      <c r="O312" s="8"/>
      <c r="P312" s="3"/>
      <c r="Q312" s="31" t="s">
        <v>381</v>
      </c>
      <c r="R312" s="3"/>
    </row>
    <row r="313" spans="1:18">
      <c r="A313" s="14"/>
      <c r="B313" s="9"/>
      <c r="C313" s="10" t="str">
        <f t="shared" si="54"/>
        <v/>
      </c>
      <c r="D313" s="9"/>
      <c r="E313" s="9" t="str">
        <f t="shared" si="55"/>
        <v>KITTISAK SOPAKUL</v>
      </c>
      <c r="F313" s="9"/>
      <c r="G313" s="3"/>
      <c r="H313" s="3"/>
      <c r="I313" s="8"/>
      <c r="J313" s="3"/>
      <c r="K313" s="31" t="s">
        <v>382</v>
      </c>
      <c r="L313" s="3"/>
      <c r="M313" s="8"/>
      <c r="N313" s="3"/>
      <c r="O313" s="8"/>
      <c r="P313" s="3"/>
      <c r="Q313" s="31" t="s">
        <v>382</v>
      </c>
      <c r="R313" s="3"/>
    </row>
    <row r="314" spans="1:18">
      <c r="A314" s="14"/>
      <c r="B314" s="9"/>
      <c r="C314" s="10" t="str">
        <f t="shared" si="54"/>
        <v/>
      </c>
      <c r="D314" s="9"/>
      <c r="E314" s="9" t="str">
        <f t="shared" si="55"/>
        <v>KORRAPHAT PONGPAIBOON</v>
      </c>
      <c r="F314" s="9"/>
      <c r="G314" s="3"/>
      <c r="H314" s="3"/>
      <c r="I314" s="8"/>
      <c r="J314" s="3"/>
      <c r="K314" s="31" t="s">
        <v>383</v>
      </c>
      <c r="L314" s="3"/>
      <c r="M314" s="8"/>
      <c r="N314" s="3"/>
      <c r="O314" s="8"/>
      <c r="P314" s="3"/>
      <c r="Q314" s="31" t="s">
        <v>383</v>
      </c>
      <c r="R314" s="3"/>
    </row>
    <row r="315" spans="1:18">
      <c r="A315" s="14"/>
      <c r="B315" s="9"/>
      <c r="C315" s="10" t="str">
        <f t="shared" si="54"/>
        <v/>
      </c>
      <c r="D315" s="9"/>
      <c r="E315" s="9" t="str">
        <f t="shared" si="55"/>
        <v>SUPHATCHA NUAMTHONG</v>
      </c>
      <c r="F315" s="9"/>
      <c r="G315" s="3"/>
      <c r="H315" s="3"/>
      <c r="I315" s="8"/>
      <c r="J315" s="3"/>
      <c r="K315" s="31" t="s">
        <v>384</v>
      </c>
      <c r="L315" s="3"/>
      <c r="M315" s="8"/>
      <c r="N315" s="3"/>
      <c r="O315" s="8"/>
      <c r="P315" s="3"/>
      <c r="Q315" s="31" t="s">
        <v>384</v>
      </c>
      <c r="R315" s="3"/>
    </row>
    <row r="316" spans="1:18">
      <c r="A316" s="14"/>
      <c r="B316" s="9"/>
      <c r="C316" s="10" t="str">
        <f t="shared" si="54"/>
        <v/>
      </c>
      <c r="D316" s="9"/>
      <c r="E316" s="9" t="str">
        <f t="shared" si="55"/>
        <v>CHAIYAVUDH BURANASONGGRAM</v>
      </c>
      <c r="F316" s="9"/>
      <c r="G316" s="3"/>
      <c r="H316" s="3"/>
      <c r="I316" s="8"/>
      <c r="J316" s="3"/>
      <c r="K316" s="31" t="s">
        <v>385</v>
      </c>
      <c r="L316" s="3"/>
      <c r="M316" s="8"/>
      <c r="N316" s="3"/>
      <c r="O316" s="8"/>
      <c r="P316" s="3"/>
      <c r="Q316" s="31" t="s">
        <v>385</v>
      </c>
      <c r="R316" s="3"/>
    </row>
    <row r="317" spans="1:18">
      <c r="A317" s="14"/>
      <c r="B317" s="9"/>
      <c r="C317" s="10" t="str">
        <f t="shared" si="54"/>
        <v/>
      </c>
      <c r="D317" s="9"/>
      <c r="E317" s="9" t="str">
        <f t="shared" si="55"/>
        <v>PHUWADON KHAYANYIAM</v>
      </c>
      <c r="F317" s="9"/>
      <c r="G317" s="3"/>
      <c r="H317" s="3"/>
      <c r="I317" s="8"/>
      <c r="J317" s="3"/>
      <c r="K317" s="31" t="s">
        <v>386</v>
      </c>
      <c r="L317" s="3"/>
      <c r="M317" s="8"/>
      <c r="N317" s="3"/>
      <c r="O317" s="8"/>
      <c r="P317" s="3"/>
      <c r="Q317" s="31" t="s">
        <v>386</v>
      </c>
      <c r="R317" s="3"/>
    </row>
    <row r="318" spans="1:18">
      <c r="A318" s="14"/>
      <c r="B318" s="9"/>
      <c r="C318" s="10"/>
      <c r="D318" s="9"/>
      <c r="E318" s="9" t="str">
        <f t="shared" si="55"/>
        <v/>
      </c>
      <c r="F318" s="9"/>
      <c r="G318" s="3"/>
      <c r="H318" s="3"/>
      <c r="I318" s="8"/>
      <c r="J318" s="3"/>
      <c r="K318" s="31"/>
      <c r="L318" s="3"/>
      <c r="M318" s="8"/>
      <c r="N318" s="8"/>
      <c r="O318" s="21"/>
      <c r="P318" s="3"/>
      <c r="Q318" s="3"/>
      <c r="R318" s="3"/>
    </row>
    <row r="319" spans="1:18">
      <c r="A319" s="14"/>
      <c r="B319" s="11"/>
      <c r="C319" s="12"/>
      <c r="D319" s="11"/>
      <c r="E319" s="11"/>
      <c r="F319" s="11"/>
      <c r="G319" s="3"/>
      <c r="H319" s="3"/>
      <c r="I319" s="8"/>
      <c r="J319" s="3"/>
      <c r="K319" s="13"/>
      <c r="L319" s="3"/>
      <c r="M319" s="8"/>
      <c r="N319" s="8"/>
      <c r="O319" s="21"/>
      <c r="P319" s="3"/>
      <c r="Q319" s="3"/>
      <c r="R319" s="3"/>
    </row>
    <row r="320" spans="1:18">
      <c r="A320" s="14"/>
      <c r="B320" s="6"/>
      <c r="C320" s="6"/>
      <c r="D320" s="6"/>
      <c r="E320" s="6"/>
      <c r="F320" s="6"/>
      <c r="G320" s="3"/>
      <c r="H320" s="5"/>
      <c r="I320" s="5"/>
      <c r="J320" s="5"/>
      <c r="K320" s="5"/>
      <c r="L320" s="5"/>
      <c r="M320" s="8"/>
      <c r="N320" s="15"/>
      <c r="O320" s="15"/>
      <c r="P320" s="15"/>
      <c r="Q320" s="15"/>
      <c r="R320" s="15"/>
    </row>
    <row r="321" spans="1:18">
      <c r="A321" s="14"/>
      <c r="B321" s="150" t="str">
        <f>UPPER(H321)</f>
        <v>PIPELINE &amp; SYSTEM</v>
      </c>
      <c r="C321" s="141"/>
      <c r="D321" s="141"/>
      <c r="E321" s="141"/>
      <c r="F321" s="141"/>
      <c r="G321" s="28"/>
      <c r="H321" s="167" t="s">
        <v>387</v>
      </c>
      <c r="I321" s="141"/>
      <c r="J321" s="141"/>
      <c r="K321" s="141"/>
      <c r="L321" s="141"/>
      <c r="M321" s="29"/>
      <c r="N321" s="149" t="s">
        <v>860</v>
      </c>
      <c r="O321" s="141"/>
      <c r="P321" s="141"/>
      <c r="Q321" s="141"/>
      <c r="R321" s="141"/>
    </row>
    <row r="322" spans="1:18">
      <c r="A322" s="14"/>
      <c r="B322" s="9"/>
      <c r="C322" s="10"/>
      <c r="D322" s="9"/>
      <c r="E322" s="9"/>
      <c r="F322" s="9"/>
      <c r="G322" s="3"/>
      <c r="H322" s="3"/>
      <c r="I322" s="8"/>
      <c r="J322" s="3"/>
      <c r="K322" s="13"/>
      <c r="L322" s="3"/>
      <c r="M322" s="8"/>
      <c r="N322" s="3"/>
      <c r="O322" s="8"/>
      <c r="P322" s="3"/>
      <c r="Q322" s="3"/>
      <c r="R322" s="3"/>
    </row>
    <row r="323" spans="1:18">
      <c r="A323" s="14"/>
      <c r="B323" s="9"/>
      <c r="C323" s="10" t="str">
        <f t="shared" ref="C323:C326" si="56">UPPER(I323)</f>
        <v>PIPELINE SUPERVISOR</v>
      </c>
      <c r="D323" s="9"/>
      <c r="E323" s="9" t="str">
        <f t="shared" ref="E323:E326" si="57">UPPER(K323)</f>
        <v>HYUNKYU PARK</v>
      </c>
      <c r="F323" s="9"/>
      <c r="G323" s="3"/>
      <c r="H323" s="3"/>
      <c r="I323" s="8" t="s">
        <v>388</v>
      </c>
      <c r="J323" s="3"/>
      <c r="K323" s="13" t="s">
        <v>389</v>
      </c>
      <c r="L323" s="3"/>
      <c r="M323" s="8"/>
      <c r="N323" s="3"/>
      <c r="O323" s="8" t="s">
        <v>861</v>
      </c>
      <c r="P323" s="3"/>
      <c r="Q323" s="3" t="s">
        <v>862</v>
      </c>
      <c r="R323" s="3"/>
    </row>
    <row r="324" spans="1:18">
      <c r="A324" s="14"/>
      <c r="B324" s="9"/>
      <c r="C324" s="10" t="str">
        <f t="shared" si="56"/>
        <v/>
      </c>
      <c r="D324" s="9"/>
      <c r="E324" s="9" t="str">
        <f t="shared" si="57"/>
        <v/>
      </c>
      <c r="F324" s="9"/>
      <c r="G324" s="3"/>
      <c r="H324" s="3"/>
      <c r="I324" s="8"/>
      <c r="J324" s="3"/>
      <c r="K324" s="13"/>
      <c r="L324" s="3"/>
      <c r="M324" s="8"/>
      <c r="N324" s="3"/>
      <c r="O324" s="8"/>
      <c r="P324" s="3"/>
      <c r="Q324" s="3"/>
      <c r="R324" s="3"/>
    </row>
    <row r="325" spans="1:18">
      <c r="A325" s="14"/>
      <c r="B325" s="9"/>
      <c r="C325" s="10" t="str">
        <f t="shared" si="56"/>
        <v>SYSTEM MANAGER</v>
      </c>
      <c r="D325" s="9"/>
      <c r="E325" s="9" t="str">
        <f t="shared" si="57"/>
        <v>JIWOONG RYU</v>
      </c>
      <c r="F325" s="9"/>
      <c r="G325" s="3"/>
      <c r="H325" s="3"/>
      <c r="I325" s="8" t="s">
        <v>390</v>
      </c>
      <c r="J325" s="3"/>
      <c r="K325" s="13" t="s">
        <v>391</v>
      </c>
      <c r="L325" s="3"/>
      <c r="M325" s="8"/>
      <c r="N325" s="3"/>
      <c r="O325" s="8" t="s">
        <v>863</v>
      </c>
      <c r="P325" s="3"/>
      <c r="Q325" s="3" t="s">
        <v>864</v>
      </c>
      <c r="R325" s="3"/>
    </row>
    <row r="326" spans="1:18">
      <c r="A326" s="14"/>
      <c r="B326" s="9"/>
      <c r="C326" s="10" t="str">
        <f t="shared" si="56"/>
        <v/>
      </c>
      <c r="D326" s="9"/>
      <c r="E326" s="9" t="str">
        <f t="shared" si="57"/>
        <v/>
      </c>
      <c r="F326" s="9"/>
      <c r="G326" s="3"/>
      <c r="H326" s="3"/>
      <c r="I326" s="8"/>
      <c r="J326" s="3"/>
      <c r="K326" s="13"/>
      <c r="L326" s="3"/>
      <c r="M326" s="8"/>
      <c r="N326" s="8"/>
      <c r="O326" s="21"/>
      <c r="P326" s="3"/>
      <c r="Q326" s="3"/>
      <c r="R326" s="3"/>
    </row>
    <row r="327" spans="1:18">
      <c r="A327" s="14"/>
      <c r="B327" s="150" t="str">
        <f>UPPER(H327)</f>
        <v>MANAGEMENT</v>
      </c>
      <c r="C327" s="141"/>
      <c r="D327" s="141"/>
      <c r="E327" s="141"/>
      <c r="F327" s="141"/>
      <c r="G327" s="28"/>
      <c r="H327" s="167" t="s">
        <v>392</v>
      </c>
      <c r="I327" s="141"/>
      <c r="J327" s="141"/>
      <c r="K327" s="141"/>
      <c r="L327" s="141"/>
      <c r="M327" s="29"/>
      <c r="N327" s="149" t="s">
        <v>865</v>
      </c>
      <c r="O327" s="141"/>
      <c r="P327" s="141"/>
      <c r="Q327" s="141"/>
      <c r="R327" s="141"/>
    </row>
    <row r="328" spans="1:18">
      <c r="A328" s="14"/>
      <c r="B328" s="9"/>
      <c r="C328" s="10"/>
      <c r="D328" s="9"/>
      <c r="E328" s="9"/>
      <c r="F328" s="9"/>
      <c r="G328" s="3"/>
      <c r="H328" s="3"/>
      <c r="I328" s="8"/>
      <c r="J328" s="3"/>
      <c r="K328" s="3"/>
      <c r="L328" s="3"/>
      <c r="M328" s="3"/>
      <c r="N328" s="3"/>
      <c r="O328" s="8"/>
      <c r="P328" s="3"/>
      <c r="Q328" s="3"/>
      <c r="R328" s="3"/>
    </row>
    <row r="329" spans="1:18">
      <c r="A329" s="14"/>
      <c r="B329" s="9"/>
      <c r="C329" s="10" t="str">
        <f>UPPER(I329)</f>
        <v>STUDIO MANAGEMENT</v>
      </c>
      <c r="D329" s="9"/>
      <c r="E329" s="9" t="str">
        <f>UPPER(K329)</f>
        <v>SANGWAN SEOK</v>
      </c>
      <c r="F329" s="9"/>
      <c r="G329" s="3"/>
      <c r="H329" s="3"/>
      <c r="I329" s="8" t="s">
        <v>393</v>
      </c>
      <c r="J329" s="3"/>
      <c r="K329" s="3" t="s">
        <v>394</v>
      </c>
      <c r="L329" s="3"/>
      <c r="M329" s="3"/>
      <c r="N329" s="3"/>
      <c r="O329" s="8" t="s">
        <v>866</v>
      </c>
      <c r="P329" s="3"/>
      <c r="Q329" s="3" t="s">
        <v>867</v>
      </c>
      <c r="R329" s="3"/>
    </row>
    <row r="330" spans="1:18">
      <c r="A330" s="14"/>
      <c r="B330" s="146" t="str">
        <f>UPPER(H330)</f>
        <v/>
      </c>
      <c r="C330" s="141"/>
      <c r="D330" s="141"/>
      <c r="E330" s="141"/>
      <c r="F330" s="141"/>
      <c r="G330" s="3"/>
      <c r="H330" s="3"/>
      <c r="I330" s="8"/>
      <c r="J330" s="3"/>
      <c r="K330" s="3"/>
      <c r="L330" s="3"/>
      <c r="M330" s="3"/>
      <c r="N330" s="3"/>
      <c r="O330" s="8"/>
      <c r="P330" s="3"/>
      <c r="Q330" s="3"/>
      <c r="R330" s="3"/>
    </row>
    <row r="331" spans="1:18">
      <c r="A331" s="14"/>
      <c r="B331" s="9"/>
      <c r="C331" s="10" t="str">
        <f t="shared" ref="C331:C335" si="58">UPPER(I331)</f>
        <v>SUPERVISING PRODUCER</v>
      </c>
      <c r="D331" s="9"/>
      <c r="E331" s="9" t="str">
        <f t="shared" ref="E331:E335" si="59">UPPER(K331)</f>
        <v>JARIN SOHN</v>
      </c>
      <c r="F331" s="9"/>
      <c r="G331" s="3"/>
      <c r="H331" s="3"/>
      <c r="I331" s="8" t="s">
        <v>395</v>
      </c>
      <c r="J331" s="3"/>
      <c r="K331" s="3" t="s">
        <v>396</v>
      </c>
      <c r="L331" s="3"/>
      <c r="M331" s="8"/>
      <c r="N331" s="3"/>
      <c r="O331" s="8" t="s">
        <v>868</v>
      </c>
      <c r="P331" s="3"/>
      <c r="Q331" s="3" t="s">
        <v>869</v>
      </c>
      <c r="R331" s="3"/>
    </row>
    <row r="332" spans="1:18">
      <c r="A332" s="14"/>
      <c r="B332" s="9"/>
      <c r="C332" s="10" t="str">
        <f t="shared" si="58"/>
        <v/>
      </c>
      <c r="D332" s="9"/>
      <c r="E332" s="9" t="str">
        <f t="shared" si="59"/>
        <v/>
      </c>
      <c r="F332" s="9"/>
      <c r="G332" s="3"/>
      <c r="H332" s="3"/>
      <c r="I332" s="8"/>
      <c r="J332" s="3"/>
      <c r="K332" s="3"/>
      <c r="L332" s="3"/>
      <c r="M332" s="8"/>
      <c r="N332" s="3"/>
      <c r="O332" s="8"/>
      <c r="P332" s="3"/>
      <c r="Q332" s="3"/>
      <c r="R332" s="3"/>
    </row>
    <row r="333" spans="1:18">
      <c r="A333" s="14"/>
      <c r="B333" s="6"/>
      <c r="C333" s="10" t="str">
        <f t="shared" si="58"/>
        <v>IP BUSINESS</v>
      </c>
      <c r="D333" s="9"/>
      <c r="E333" s="9" t="str">
        <f t="shared" si="59"/>
        <v>YEOMIN YOON</v>
      </c>
      <c r="F333" s="6"/>
      <c r="G333" s="3"/>
      <c r="H333" s="3"/>
      <c r="I333" s="8" t="s">
        <v>397</v>
      </c>
      <c r="J333" s="3"/>
      <c r="K333" s="3" t="s">
        <v>398</v>
      </c>
      <c r="L333" s="3"/>
      <c r="M333" s="8"/>
      <c r="N333" s="3"/>
      <c r="O333" s="8" t="s">
        <v>870</v>
      </c>
      <c r="P333" s="3"/>
      <c r="Q333" s="3" t="s">
        <v>871</v>
      </c>
      <c r="R333" s="3"/>
    </row>
    <row r="334" spans="1:18">
      <c r="A334" s="14"/>
      <c r="B334" s="9"/>
      <c r="C334" s="10" t="str">
        <f t="shared" si="58"/>
        <v/>
      </c>
      <c r="D334" s="9"/>
      <c r="E334" s="9" t="str">
        <f t="shared" si="59"/>
        <v>SANGWON NAM</v>
      </c>
      <c r="F334" s="9"/>
      <c r="G334" s="3"/>
      <c r="H334" s="3"/>
      <c r="I334" s="8"/>
      <c r="J334" s="3"/>
      <c r="K334" s="3" t="s">
        <v>399</v>
      </c>
      <c r="L334" s="3"/>
      <c r="M334" s="8"/>
      <c r="N334" s="3"/>
      <c r="O334" s="8"/>
      <c r="P334" s="3"/>
      <c r="Q334" s="3" t="s">
        <v>872</v>
      </c>
      <c r="R334" s="3"/>
    </row>
    <row r="335" spans="1:18">
      <c r="A335" s="14"/>
      <c r="B335" s="9"/>
      <c r="C335" s="10" t="str">
        <f t="shared" si="58"/>
        <v/>
      </c>
      <c r="D335" s="9"/>
      <c r="E335" s="9" t="str">
        <f t="shared" si="59"/>
        <v xml:space="preserve">GAHYUN BAIK </v>
      </c>
      <c r="F335" s="9"/>
      <c r="G335" s="3"/>
      <c r="H335" s="3"/>
      <c r="I335" s="8"/>
      <c r="J335" s="3"/>
      <c r="K335" s="3" t="s">
        <v>400</v>
      </c>
      <c r="L335" s="3"/>
      <c r="M335" s="8"/>
      <c r="N335" s="3"/>
      <c r="O335" s="8"/>
      <c r="P335" s="3"/>
      <c r="Q335" s="3" t="s">
        <v>873</v>
      </c>
      <c r="R335" s="3"/>
    </row>
    <row r="336" spans="1:18">
      <c r="A336" s="14"/>
      <c r="B336" s="9"/>
      <c r="C336" s="10"/>
      <c r="D336" s="9"/>
      <c r="E336" s="9"/>
      <c r="F336" s="9"/>
      <c r="G336" s="3"/>
      <c r="H336" s="3"/>
      <c r="I336" s="8"/>
      <c r="J336" s="3"/>
      <c r="K336" s="3" t="s">
        <v>874</v>
      </c>
      <c r="L336" s="3"/>
      <c r="M336" s="8"/>
      <c r="N336" s="3"/>
      <c r="O336" s="8"/>
      <c r="P336" s="3"/>
      <c r="Q336" s="3" t="s">
        <v>875</v>
      </c>
      <c r="R336" s="3"/>
    </row>
    <row r="337" spans="1:18">
      <c r="A337" s="14"/>
      <c r="B337" s="9"/>
      <c r="C337" s="10" t="str">
        <f t="shared" ref="C337:C341" si="60">UPPER(I337)</f>
        <v/>
      </c>
      <c r="D337" s="9"/>
      <c r="E337" s="9" t="str">
        <f t="shared" ref="E337:E341" si="61">UPPER(K337)</f>
        <v/>
      </c>
      <c r="F337" s="9"/>
      <c r="G337" s="3"/>
      <c r="H337" s="3"/>
      <c r="I337" s="8"/>
      <c r="J337" s="3"/>
      <c r="K337" s="3"/>
      <c r="L337" s="3"/>
      <c r="M337" s="8"/>
      <c r="N337" s="3"/>
      <c r="O337" s="8"/>
      <c r="P337" s="3"/>
      <c r="Q337" s="3"/>
      <c r="R337" s="3"/>
    </row>
    <row r="338" spans="1:18">
      <c r="A338" s="14"/>
      <c r="B338" s="9"/>
      <c r="C338" s="10" t="str">
        <f t="shared" si="60"/>
        <v>ACCOUNTING</v>
      </c>
      <c r="D338" s="9"/>
      <c r="E338" s="9" t="str">
        <f t="shared" si="61"/>
        <v>JAEHWAN SHIN</v>
      </c>
      <c r="F338" s="9"/>
      <c r="G338" s="3"/>
      <c r="H338" s="3"/>
      <c r="I338" s="8" t="s">
        <v>401</v>
      </c>
      <c r="J338" s="3"/>
      <c r="K338" s="3" t="s">
        <v>402</v>
      </c>
      <c r="L338" s="3"/>
      <c r="M338" s="8"/>
      <c r="N338" s="3"/>
      <c r="O338" s="8" t="s">
        <v>876</v>
      </c>
      <c r="P338" s="3"/>
      <c r="Q338" s="3" t="s">
        <v>877</v>
      </c>
      <c r="R338" s="3"/>
    </row>
    <row r="339" spans="1:18">
      <c r="A339" s="14"/>
      <c r="B339" s="9"/>
      <c r="C339" s="10" t="str">
        <f t="shared" si="60"/>
        <v/>
      </c>
      <c r="D339" s="9"/>
      <c r="E339" s="9" t="str">
        <f t="shared" si="61"/>
        <v/>
      </c>
      <c r="F339" s="9"/>
      <c r="G339" s="3"/>
      <c r="H339" s="3"/>
      <c r="I339" s="8"/>
      <c r="J339" s="3"/>
      <c r="K339" s="3"/>
      <c r="L339" s="3"/>
      <c r="M339" s="8"/>
      <c r="N339" s="8"/>
      <c r="O339" s="21"/>
      <c r="P339" s="3"/>
      <c r="Q339" s="3"/>
      <c r="R339" s="3"/>
    </row>
    <row r="340" spans="1:18">
      <c r="A340" s="14"/>
      <c r="B340" s="9"/>
      <c r="C340" s="10" t="str">
        <f t="shared" si="60"/>
        <v>HUMAN RESOURCES</v>
      </c>
      <c r="D340" s="9"/>
      <c r="E340" s="9" t="str">
        <f t="shared" si="61"/>
        <v>JIN KIM</v>
      </c>
      <c r="F340" s="9"/>
      <c r="G340" s="3"/>
      <c r="H340" s="3"/>
      <c r="I340" s="8" t="s">
        <v>403</v>
      </c>
      <c r="J340" s="3"/>
      <c r="K340" s="3" t="s">
        <v>404</v>
      </c>
      <c r="L340" s="3"/>
      <c r="M340" s="8"/>
      <c r="N340" s="8"/>
      <c r="O340" s="8" t="s">
        <v>878</v>
      </c>
      <c r="P340" s="3"/>
      <c r="Q340" s="3" t="s">
        <v>879</v>
      </c>
      <c r="R340" s="3"/>
    </row>
    <row r="341" spans="1:18">
      <c r="A341" s="14"/>
      <c r="B341" s="9"/>
      <c r="C341" s="10" t="str">
        <f t="shared" si="60"/>
        <v/>
      </c>
      <c r="D341" s="9"/>
      <c r="E341" s="9" t="str">
        <f t="shared" si="61"/>
        <v/>
      </c>
      <c r="F341" s="9"/>
      <c r="G341" s="3"/>
      <c r="H341" s="3"/>
      <c r="I341" s="8"/>
      <c r="J341" s="3"/>
      <c r="K341" s="3"/>
      <c r="L341" s="3"/>
      <c r="M341" s="8"/>
      <c r="N341" s="20"/>
      <c r="O341" s="21"/>
      <c r="P341" s="20"/>
      <c r="Q341" s="20"/>
      <c r="R341" s="20"/>
    </row>
    <row r="342" spans="1:18">
      <c r="A342" s="14"/>
      <c r="B342" s="11"/>
      <c r="C342" s="12"/>
      <c r="D342" s="11"/>
      <c r="E342" s="11"/>
      <c r="F342" s="11"/>
      <c r="G342" s="3"/>
      <c r="H342" s="3"/>
      <c r="I342" s="8"/>
      <c r="J342" s="3"/>
      <c r="K342" s="13"/>
      <c r="L342" s="3"/>
      <c r="M342" s="3"/>
      <c r="N342" s="3"/>
      <c r="O342" s="21"/>
      <c r="P342" s="3"/>
      <c r="Q342" s="3"/>
      <c r="R342" s="3"/>
    </row>
    <row r="343" spans="1:18">
      <c r="A343" s="14"/>
      <c r="B343" s="42"/>
      <c r="C343" s="10" t="str">
        <f>UPPER(I343)</f>
        <v/>
      </c>
      <c r="D343" s="9"/>
      <c r="E343" s="9" t="str">
        <f>UPPER(K343)</f>
        <v/>
      </c>
      <c r="F343" s="42"/>
      <c r="G343" s="3"/>
      <c r="H343" s="8"/>
      <c r="I343" s="8"/>
      <c r="J343" s="8"/>
      <c r="K343" s="13"/>
      <c r="L343" s="8"/>
      <c r="M343" s="12"/>
      <c r="N343" s="12"/>
      <c r="O343" s="21"/>
      <c r="P343" s="3"/>
      <c r="Q343" s="3"/>
      <c r="R343" s="3"/>
    </row>
    <row r="344" spans="1:18">
      <c r="A344" s="14"/>
      <c r="B344" s="150" t="str">
        <f t="shared" ref="B344:B345" si="62">UPPER(H344)</f>
        <v>ADDITIONAL ARTISTS</v>
      </c>
      <c r="C344" s="141"/>
      <c r="D344" s="141"/>
      <c r="E344" s="141"/>
      <c r="F344" s="141"/>
      <c r="G344" s="28"/>
      <c r="H344" s="167" t="s">
        <v>405</v>
      </c>
      <c r="I344" s="141"/>
      <c r="J344" s="141"/>
      <c r="K344" s="141"/>
      <c r="L344" s="141"/>
      <c r="M344" s="43"/>
      <c r="N344" s="149" t="s">
        <v>880</v>
      </c>
      <c r="O344" s="141"/>
      <c r="P344" s="141"/>
      <c r="Q344" s="141"/>
      <c r="R344" s="141"/>
    </row>
    <row r="345" spans="1:18">
      <c r="A345" s="14"/>
      <c r="B345" s="165" t="str">
        <f t="shared" si="62"/>
        <v>YGGDRAZIL GROUP PUBLIC CO., LTD.</v>
      </c>
      <c r="C345" s="141"/>
      <c r="D345" s="141"/>
      <c r="E345" s="141"/>
      <c r="F345" s="141"/>
      <c r="G345" s="44"/>
      <c r="H345" s="168" t="s">
        <v>406</v>
      </c>
      <c r="I345" s="141"/>
      <c r="J345" s="141"/>
      <c r="K345" s="141"/>
      <c r="L345" s="141"/>
      <c r="M345" s="45"/>
      <c r="N345" s="168" t="s">
        <v>406</v>
      </c>
      <c r="O345" s="141"/>
      <c r="P345" s="141"/>
      <c r="Q345" s="141"/>
      <c r="R345" s="141"/>
    </row>
    <row r="346" spans="1:18">
      <c r="A346" s="14"/>
      <c r="B346" s="9"/>
      <c r="C346" s="10"/>
      <c r="D346" s="9"/>
      <c r="E346" s="9"/>
      <c r="F346" s="9"/>
      <c r="G346" s="3"/>
      <c r="H346" s="13"/>
      <c r="I346" s="8"/>
      <c r="J346" s="3"/>
      <c r="K346" s="3"/>
      <c r="L346" s="3"/>
      <c r="M346" s="12"/>
      <c r="N346" s="13"/>
      <c r="O346" s="8"/>
      <c r="P346" s="3"/>
      <c r="Q346" s="3"/>
      <c r="R346" s="3"/>
    </row>
    <row r="347" spans="1:18">
      <c r="A347" s="14"/>
      <c r="B347" s="9"/>
      <c r="C347" s="10" t="str">
        <f>UPPER(I347)</f>
        <v>ANIMATION DIRECTOR</v>
      </c>
      <c r="D347" s="9"/>
      <c r="E347" s="9" t="str">
        <f>UPPER(K347)</f>
        <v>PAIRATCH LERTKAJORNWONG</v>
      </c>
      <c r="F347" s="9"/>
      <c r="G347" s="3"/>
      <c r="H347" s="13"/>
      <c r="I347" s="8" t="s">
        <v>291</v>
      </c>
      <c r="J347" s="3"/>
      <c r="K347" s="3" t="s">
        <v>407</v>
      </c>
      <c r="L347" s="3"/>
      <c r="M347" s="12"/>
      <c r="N347" s="13"/>
      <c r="O347" s="8" t="s">
        <v>291</v>
      </c>
      <c r="P347" s="3"/>
      <c r="Q347" s="3" t="s">
        <v>407</v>
      </c>
      <c r="R347" s="3"/>
    </row>
    <row r="348" spans="1:18">
      <c r="A348" s="14"/>
      <c r="B348" s="6"/>
      <c r="C348" s="6"/>
      <c r="D348" s="6"/>
      <c r="E348" s="6"/>
      <c r="F348" s="6"/>
      <c r="G348" s="3"/>
      <c r="H348" s="5"/>
      <c r="I348" s="5"/>
      <c r="J348" s="5"/>
      <c r="K348" s="5"/>
      <c r="L348" s="5"/>
      <c r="M348" s="12"/>
      <c r="N348" s="5"/>
      <c r="O348" s="5"/>
      <c r="P348" s="5"/>
      <c r="Q348" s="5"/>
      <c r="R348" s="5"/>
    </row>
    <row r="349" spans="1:18">
      <c r="A349" s="14"/>
      <c r="B349" s="42"/>
      <c r="C349" s="10" t="str">
        <f t="shared" ref="C349:C363" si="63">UPPER(I349)</f>
        <v>ASSET SUPERVISOR</v>
      </c>
      <c r="D349" s="9"/>
      <c r="E349" s="9" t="str">
        <f t="shared" ref="E349:E363" si="64">UPPER(K349)</f>
        <v>PANUWAT BOVORNSIRISARP</v>
      </c>
      <c r="F349" s="42"/>
      <c r="G349" s="3"/>
      <c r="H349" s="8"/>
      <c r="I349" s="8" t="s">
        <v>209</v>
      </c>
      <c r="J349" s="8"/>
      <c r="K349" s="2" t="s">
        <v>408</v>
      </c>
      <c r="L349" s="8"/>
      <c r="M349" s="12"/>
      <c r="N349" s="8"/>
      <c r="O349" s="8" t="s">
        <v>209</v>
      </c>
      <c r="P349" s="8"/>
      <c r="Q349" s="2" t="s">
        <v>408</v>
      </c>
      <c r="R349" s="8"/>
    </row>
    <row r="350" spans="1:18">
      <c r="A350" s="14"/>
      <c r="B350" s="42"/>
      <c r="C350" s="10" t="str">
        <f t="shared" si="63"/>
        <v>LEAD ASSET</v>
      </c>
      <c r="D350" s="9"/>
      <c r="E350" s="9" t="str">
        <f t="shared" si="64"/>
        <v>PRADTANA TARWONG</v>
      </c>
      <c r="F350" s="42"/>
      <c r="G350" s="3"/>
      <c r="H350" s="8"/>
      <c r="I350" s="8" t="s">
        <v>409</v>
      </c>
      <c r="J350" s="8"/>
      <c r="K350" s="2" t="s">
        <v>410</v>
      </c>
      <c r="L350" s="8"/>
      <c r="M350" s="12"/>
      <c r="N350" s="8"/>
      <c r="O350" s="8" t="s">
        <v>409</v>
      </c>
      <c r="P350" s="8"/>
      <c r="Q350" s="2" t="s">
        <v>410</v>
      </c>
      <c r="R350" s="8"/>
    </row>
    <row r="351" spans="1:18">
      <c r="A351" s="14"/>
      <c r="B351" s="42"/>
      <c r="C351" s="10" t="str">
        <f t="shared" si="63"/>
        <v>ASSET ARTIST</v>
      </c>
      <c r="D351" s="9"/>
      <c r="E351" s="9" t="str">
        <f t="shared" si="64"/>
        <v>PUCHIT YOTWICHAI</v>
      </c>
      <c r="F351" s="42"/>
      <c r="G351" s="3"/>
      <c r="H351" s="8"/>
      <c r="I351" s="8" t="s">
        <v>411</v>
      </c>
      <c r="J351" s="8"/>
      <c r="K351" s="2" t="s">
        <v>412</v>
      </c>
      <c r="L351" s="8"/>
      <c r="M351" s="12"/>
      <c r="N351" s="8"/>
      <c r="O351" s="8" t="s">
        <v>411</v>
      </c>
      <c r="P351" s="8"/>
      <c r="Q351" s="2" t="s">
        <v>412</v>
      </c>
      <c r="R351" s="8"/>
    </row>
    <row r="352" spans="1:18">
      <c r="A352" s="14"/>
      <c r="B352" s="42"/>
      <c r="C352" s="10" t="str">
        <f t="shared" si="63"/>
        <v/>
      </c>
      <c r="D352" s="9"/>
      <c r="E352" s="9" t="str">
        <f t="shared" si="64"/>
        <v>RITHIKEAT TEACHO</v>
      </c>
      <c r="F352" s="42"/>
      <c r="G352" s="3"/>
      <c r="H352" s="8"/>
      <c r="I352" s="8"/>
      <c r="J352" s="8"/>
      <c r="K352" s="2" t="s">
        <v>413</v>
      </c>
      <c r="L352" s="8"/>
      <c r="M352" s="12"/>
      <c r="N352" s="8"/>
      <c r="O352" s="8"/>
      <c r="P352" s="8"/>
      <c r="Q352" s="2" t="s">
        <v>413</v>
      </c>
      <c r="R352" s="8"/>
    </row>
    <row r="353" spans="1:18">
      <c r="A353" s="14"/>
      <c r="B353" s="42"/>
      <c r="C353" s="10" t="str">
        <f t="shared" si="63"/>
        <v/>
      </c>
      <c r="D353" s="9"/>
      <c r="E353" s="9" t="str">
        <f t="shared" si="64"/>
        <v>JAKKRIT JAROENSUK</v>
      </c>
      <c r="F353" s="42"/>
      <c r="G353" s="3"/>
      <c r="H353" s="8"/>
      <c r="I353" s="8"/>
      <c r="J353" s="8"/>
      <c r="K353" s="2" t="s">
        <v>414</v>
      </c>
      <c r="L353" s="8"/>
      <c r="M353" s="12"/>
      <c r="N353" s="8"/>
      <c r="O353" s="8"/>
      <c r="P353" s="8"/>
      <c r="Q353" s="2" t="s">
        <v>414</v>
      </c>
      <c r="R353" s="8"/>
    </row>
    <row r="354" spans="1:18">
      <c r="A354" s="14"/>
      <c r="B354" s="42"/>
      <c r="C354" s="10" t="str">
        <f t="shared" si="63"/>
        <v/>
      </c>
      <c r="D354" s="9"/>
      <c r="E354" s="9" t="str">
        <f t="shared" si="64"/>
        <v>NAWAPAS MAINKOON</v>
      </c>
      <c r="F354" s="42"/>
      <c r="G354" s="3"/>
      <c r="H354" s="8"/>
      <c r="I354" s="8"/>
      <c r="J354" s="8"/>
      <c r="K354" s="2" t="s">
        <v>415</v>
      </c>
      <c r="L354" s="8"/>
      <c r="M354" s="12"/>
      <c r="N354" s="8"/>
      <c r="O354" s="8"/>
      <c r="P354" s="8"/>
      <c r="Q354" s="2" t="s">
        <v>415</v>
      </c>
      <c r="R354" s="8"/>
    </row>
    <row r="355" spans="1:18">
      <c r="A355" s="14"/>
      <c r="B355" s="42"/>
      <c r="C355" s="10" t="str">
        <f t="shared" si="63"/>
        <v/>
      </c>
      <c r="D355" s="9"/>
      <c r="E355" s="9" t="str">
        <f t="shared" si="64"/>
        <v>THARIT BANCHANURAT</v>
      </c>
      <c r="F355" s="42"/>
      <c r="G355" s="3"/>
      <c r="H355" s="8"/>
      <c r="I355" s="8"/>
      <c r="J355" s="3"/>
      <c r="K355" s="2" t="s">
        <v>416</v>
      </c>
      <c r="L355" s="8"/>
      <c r="M355" s="12"/>
      <c r="N355" s="8"/>
      <c r="O355" s="8"/>
      <c r="P355" s="3"/>
      <c r="Q355" s="2" t="s">
        <v>416</v>
      </c>
      <c r="R355" s="8"/>
    </row>
    <row r="356" spans="1:18">
      <c r="A356" s="14"/>
      <c r="B356" s="42"/>
      <c r="C356" s="10" t="str">
        <f t="shared" si="63"/>
        <v/>
      </c>
      <c r="D356" s="9"/>
      <c r="E356" s="9" t="str">
        <f t="shared" si="64"/>
        <v>PALINEE ANURATANAPRASIT</v>
      </c>
      <c r="F356" s="42"/>
      <c r="G356" s="3"/>
      <c r="H356" s="8"/>
      <c r="I356" s="8"/>
      <c r="J356" s="3"/>
      <c r="K356" s="2" t="s">
        <v>417</v>
      </c>
      <c r="L356" s="8"/>
      <c r="M356" s="12"/>
      <c r="N356" s="8"/>
      <c r="O356" s="8"/>
      <c r="P356" s="3"/>
      <c r="Q356" s="2" t="s">
        <v>417</v>
      </c>
      <c r="R356" s="8"/>
    </row>
    <row r="357" spans="1:18">
      <c r="A357" s="14"/>
      <c r="B357" s="42"/>
      <c r="C357" s="10" t="str">
        <f t="shared" si="63"/>
        <v/>
      </c>
      <c r="D357" s="9"/>
      <c r="E357" s="9" t="str">
        <f t="shared" si="64"/>
        <v>PHARUNYOO PROMKORN</v>
      </c>
      <c r="F357" s="42"/>
      <c r="G357" s="3"/>
      <c r="H357" s="8"/>
      <c r="I357" s="8"/>
      <c r="J357" s="3"/>
      <c r="K357" s="2" t="s">
        <v>418</v>
      </c>
      <c r="L357" s="8"/>
      <c r="M357" s="12"/>
      <c r="N357" s="8"/>
      <c r="O357" s="8"/>
      <c r="P357" s="3"/>
      <c r="Q357" s="2" t="s">
        <v>418</v>
      </c>
      <c r="R357" s="8"/>
    </row>
    <row r="358" spans="1:18">
      <c r="A358" s="14"/>
      <c r="B358" s="42"/>
      <c r="C358" s="10" t="str">
        <f t="shared" si="63"/>
        <v/>
      </c>
      <c r="D358" s="9"/>
      <c r="E358" s="9" t="str">
        <f t="shared" si="64"/>
        <v>CHANANKARN KANTA</v>
      </c>
      <c r="F358" s="42"/>
      <c r="G358" s="3"/>
      <c r="H358" s="8"/>
      <c r="I358" s="8"/>
      <c r="J358" s="3"/>
      <c r="K358" s="2" t="s">
        <v>419</v>
      </c>
      <c r="L358" s="8"/>
      <c r="M358" s="12"/>
      <c r="N358" s="8"/>
      <c r="O358" s="8"/>
      <c r="P358" s="3"/>
      <c r="Q358" s="2" t="s">
        <v>419</v>
      </c>
      <c r="R358" s="8"/>
    </row>
    <row r="359" spans="1:18">
      <c r="A359" s="14"/>
      <c r="B359" s="42"/>
      <c r="C359" s="10" t="str">
        <f t="shared" si="63"/>
        <v/>
      </c>
      <c r="D359" s="9"/>
      <c r="E359" s="9" t="str">
        <f t="shared" si="64"/>
        <v>CHANAPAT THUETRONG</v>
      </c>
      <c r="F359" s="42"/>
      <c r="G359" s="3"/>
      <c r="H359" s="8"/>
      <c r="I359" s="8"/>
      <c r="J359" s="3"/>
      <c r="K359" s="2" t="s">
        <v>420</v>
      </c>
      <c r="L359" s="8"/>
      <c r="M359" s="12"/>
      <c r="N359" s="8"/>
      <c r="O359" s="8"/>
      <c r="P359" s="3"/>
      <c r="Q359" s="2" t="s">
        <v>420</v>
      </c>
      <c r="R359" s="8"/>
    </row>
    <row r="360" spans="1:18">
      <c r="A360" s="14"/>
      <c r="B360" s="42"/>
      <c r="C360" s="10" t="str">
        <f t="shared" si="63"/>
        <v/>
      </c>
      <c r="D360" s="9"/>
      <c r="E360" s="9" t="str">
        <f t="shared" si="64"/>
        <v>TARIGAN SUKONTAGON</v>
      </c>
      <c r="F360" s="42"/>
      <c r="G360" s="3"/>
      <c r="H360" s="8"/>
      <c r="I360" s="8"/>
      <c r="J360" s="3"/>
      <c r="K360" s="2" t="s">
        <v>421</v>
      </c>
      <c r="L360" s="8"/>
      <c r="M360" s="12"/>
      <c r="N360" s="8"/>
      <c r="O360" s="8"/>
      <c r="P360" s="3"/>
      <c r="Q360" s="2" t="s">
        <v>421</v>
      </c>
      <c r="R360" s="8"/>
    </row>
    <row r="361" spans="1:18">
      <c r="A361" s="14"/>
      <c r="B361" s="42"/>
      <c r="C361" s="10" t="str">
        <f t="shared" si="63"/>
        <v/>
      </c>
      <c r="D361" s="9"/>
      <c r="E361" s="9" t="str">
        <f t="shared" si="64"/>
        <v>WATCHARAPOL PANYAPITAKKUL</v>
      </c>
      <c r="F361" s="42"/>
      <c r="G361" s="3"/>
      <c r="H361" s="8"/>
      <c r="I361" s="8"/>
      <c r="J361" s="3"/>
      <c r="K361" s="2" t="s">
        <v>422</v>
      </c>
      <c r="L361" s="8"/>
      <c r="M361" s="12"/>
      <c r="N361" s="8"/>
      <c r="O361" s="8"/>
      <c r="P361" s="3"/>
      <c r="Q361" s="2" t="s">
        <v>422</v>
      </c>
      <c r="R361" s="8"/>
    </row>
    <row r="362" spans="1:18">
      <c r="A362" s="14"/>
      <c r="B362" s="42"/>
      <c r="C362" s="10" t="str">
        <f t="shared" si="63"/>
        <v/>
      </c>
      <c r="D362" s="9"/>
      <c r="E362" s="9" t="str">
        <f t="shared" si="64"/>
        <v>PRAPABHORN POOMSIRI</v>
      </c>
      <c r="F362" s="42"/>
      <c r="G362" s="3"/>
      <c r="H362" s="8"/>
      <c r="I362" s="8"/>
      <c r="J362" s="3"/>
      <c r="K362" s="2" t="s">
        <v>423</v>
      </c>
      <c r="L362" s="8"/>
      <c r="M362" s="12"/>
      <c r="N362" s="8"/>
      <c r="O362" s="8"/>
      <c r="P362" s="3"/>
      <c r="Q362" s="2" t="s">
        <v>423</v>
      </c>
      <c r="R362" s="8"/>
    </row>
    <row r="363" spans="1:18">
      <c r="A363" s="14"/>
      <c r="B363" s="42"/>
      <c r="C363" s="10" t="str">
        <f t="shared" si="63"/>
        <v/>
      </c>
      <c r="D363" s="9"/>
      <c r="E363" s="9" t="str">
        <f t="shared" si="64"/>
        <v>BAVORNSAK UDOMCHIMPLEE</v>
      </c>
      <c r="F363" s="42"/>
      <c r="G363" s="3"/>
      <c r="H363" s="8"/>
      <c r="I363" s="8"/>
      <c r="J363" s="3"/>
      <c r="K363" s="2" t="s">
        <v>424</v>
      </c>
      <c r="L363" s="8"/>
      <c r="M363" s="12"/>
      <c r="N363" s="8"/>
      <c r="O363" s="8"/>
      <c r="P363" s="3"/>
      <c r="Q363" s="2" t="s">
        <v>424</v>
      </c>
      <c r="R363" s="8"/>
    </row>
    <row r="364" spans="1:18">
      <c r="A364" s="14"/>
      <c r="B364" s="42"/>
      <c r="C364" s="10"/>
      <c r="D364" s="9"/>
      <c r="E364" s="9"/>
      <c r="F364" s="42"/>
      <c r="G364" s="3"/>
      <c r="H364" s="8"/>
      <c r="I364" s="8"/>
      <c r="J364" s="3"/>
      <c r="K364" s="2"/>
      <c r="L364" s="8"/>
      <c r="M364" s="12"/>
      <c r="N364" s="12"/>
      <c r="O364" s="21"/>
      <c r="P364" s="3"/>
      <c r="Q364" s="3"/>
      <c r="R364" s="3"/>
    </row>
    <row r="365" spans="1:18">
      <c r="A365" s="14"/>
      <c r="B365" s="11"/>
      <c r="C365" s="12" t="str">
        <f>UPPER(I365)</f>
        <v/>
      </c>
      <c r="D365" s="11"/>
      <c r="E365" s="11" t="str">
        <f t="shared" ref="E365:E366" si="65">UPPER(K365)</f>
        <v/>
      </c>
      <c r="F365" s="11"/>
      <c r="G365" s="3"/>
      <c r="H365" s="3"/>
      <c r="I365" s="8"/>
      <c r="J365" s="3"/>
      <c r="K365" s="13"/>
      <c r="L365" s="3"/>
      <c r="M365" s="3"/>
      <c r="N365" s="3"/>
      <c r="O365" s="21"/>
      <c r="P365" s="3"/>
      <c r="Q365" s="3"/>
      <c r="R365" s="3"/>
    </row>
    <row r="366" spans="1:18">
      <c r="A366" s="14"/>
      <c r="B366" s="9" t="str">
        <f t="shared" ref="B366:C366" si="66">UPPER(H366)</f>
        <v/>
      </c>
      <c r="C366" s="10" t="str">
        <f t="shared" si="66"/>
        <v/>
      </c>
      <c r="D366" s="9"/>
      <c r="E366" s="9" t="str">
        <f t="shared" si="65"/>
        <v/>
      </c>
      <c r="F366" s="9"/>
      <c r="G366" s="3"/>
      <c r="H366" s="3"/>
      <c r="I366" s="8"/>
      <c r="J366" s="3"/>
      <c r="K366" s="13"/>
      <c r="L366" s="3"/>
      <c r="M366" s="8"/>
      <c r="N366" s="8"/>
      <c r="O366" s="21"/>
      <c r="P366" s="3"/>
      <c r="Q366" s="3"/>
      <c r="R366" s="3"/>
    </row>
    <row r="367" spans="1:18">
      <c r="A367" s="14"/>
      <c r="B367" s="150" t="str">
        <f>UPPER(H367)</f>
        <v>VOICE RECORDING</v>
      </c>
      <c r="C367" s="141"/>
      <c r="D367" s="141"/>
      <c r="E367" s="141"/>
      <c r="F367" s="141"/>
      <c r="G367" s="28"/>
      <c r="H367" s="167" t="s">
        <v>425</v>
      </c>
      <c r="I367" s="141"/>
      <c r="J367" s="141"/>
      <c r="K367" s="141"/>
      <c r="L367" s="141"/>
      <c r="M367" s="29"/>
      <c r="N367" s="149" t="s">
        <v>881</v>
      </c>
      <c r="O367" s="141"/>
      <c r="P367" s="141"/>
      <c r="Q367" s="141"/>
      <c r="R367" s="141"/>
    </row>
    <row r="368" spans="1:18">
      <c r="A368" s="14"/>
      <c r="B368" s="9"/>
      <c r="C368" s="10" t="str">
        <f t="shared" ref="C368:C380" si="67">UPPER(I368)</f>
        <v>VOICE DIRECTOR</v>
      </c>
      <c r="D368" s="9"/>
      <c r="E368" s="9" t="str">
        <f t="shared" ref="E368:E380" si="68">UPPER(K368)</f>
        <v>TOM WAYLAND</v>
      </c>
      <c r="F368" s="9"/>
      <c r="G368" s="3"/>
      <c r="H368" s="3"/>
      <c r="I368" s="36" t="s">
        <v>426</v>
      </c>
      <c r="J368" s="2"/>
      <c r="K368" s="2" t="s">
        <v>58</v>
      </c>
      <c r="L368" s="3"/>
      <c r="M368" s="8"/>
      <c r="N368" s="3"/>
      <c r="O368" s="8" t="s">
        <v>882</v>
      </c>
      <c r="P368" s="3"/>
      <c r="Q368" s="3" t="s">
        <v>883</v>
      </c>
      <c r="R368" s="3"/>
    </row>
    <row r="369" spans="1:18">
      <c r="A369" s="14"/>
      <c r="B369" s="9"/>
      <c r="C369" s="10" t="str">
        <f t="shared" si="67"/>
        <v/>
      </c>
      <c r="D369" s="9"/>
      <c r="E369" s="9" t="str">
        <f t="shared" si="68"/>
        <v/>
      </c>
      <c r="F369" s="9"/>
      <c r="G369" s="3"/>
      <c r="H369" s="3"/>
      <c r="I369" s="2"/>
      <c r="J369" s="2"/>
      <c r="K369" s="2"/>
      <c r="L369" s="3"/>
      <c r="M369" s="8"/>
      <c r="N369" s="3"/>
      <c r="O369" s="8"/>
      <c r="P369" s="3"/>
      <c r="Q369" s="3"/>
      <c r="R369" s="3"/>
    </row>
    <row r="370" spans="1:18">
      <c r="A370" s="14"/>
      <c r="B370" s="9"/>
      <c r="C370" s="10" t="str">
        <f t="shared" si="67"/>
        <v>RECORDING ENGINEER</v>
      </c>
      <c r="D370" s="9"/>
      <c r="E370" s="9" t="str">
        <f t="shared" si="68"/>
        <v>DOMINIC DUNN</v>
      </c>
      <c r="F370" s="9"/>
      <c r="G370" s="3"/>
      <c r="H370" s="3"/>
      <c r="I370" s="36" t="s">
        <v>427</v>
      </c>
      <c r="J370" s="2"/>
      <c r="K370" s="2" t="s">
        <v>428</v>
      </c>
      <c r="L370" s="3"/>
      <c r="M370" s="8"/>
      <c r="N370" s="3"/>
      <c r="O370" s="8" t="s">
        <v>884</v>
      </c>
      <c r="P370" s="3"/>
      <c r="Q370" s="3" t="s">
        <v>885</v>
      </c>
      <c r="R370" s="3"/>
    </row>
    <row r="371" spans="1:18">
      <c r="A371" s="14"/>
      <c r="B371" s="9"/>
      <c r="C371" s="10" t="str">
        <f t="shared" si="67"/>
        <v/>
      </c>
      <c r="D371" s="9"/>
      <c r="E371" s="9" t="str">
        <f t="shared" si="68"/>
        <v>FAHAD RAHMAN</v>
      </c>
      <c r="F371" s="9"/>
      <c r="G371" s="3"/>
      <c r="H371" s="3"/>
      <c r="I371" s="2"/>
      <c r="J371" s="2"/>
      <c r="K371" s="2" t="s">
        <v>429</v>
      </c>
      <c r="L371" s="3"/>
      <c r="M371" s="8"/>
      <c r="N371" s="3"/>
      <c r="O371" s="8"/>
      <c r="P371" s="3"/>
      <c r="Q371" s="3"/>
      <c r="R371" s="3"/>
    </row>
    <row r="372" spans="1:18">
      <c r="A372" s="14"/>
      <c r="B372" s="9"/>
      <c r="C372" s="10" t="str">
        <f t="shared" si="67"/>
        <v/>
      </c>
      <c r="D372" s="9"/>
      <c r="E372" s="9" t="str">
        <f t="shared" si="68"/>
        <v>TOM WAYLAND</v>
      </c>
      <c r="F372" s="9"/>
      <c r="G372" s="3"/>
      <c r="H372" s="3"/>
      <c r="I372" s="2"/>
      <c r="J372" s="2"/>
      <c r="K372" s="2" t="s">
        <v>58</v>
      </c>
      <c r="L372" s="3"/>
      <c r="M372" s="8"/>
      <c r="N372" s="3"/>
      <c r="O372" s="8" t="s">
        <v>886</v>
      </c>
      <c r="P372" s="3"/>
      <c r="Q372" s="3" t="s">
        <v>885</v>
      </c>
      <c r="R372" s="3"/>
    </row>
    <row r="373" spans="1:18">
      <c r="A373" s="14"/>
      <c r="B373" s="9"/>
      <c r="C373" s="10" t="str">
        <f t="shared" si="67"/>
        <v/>
      </c>
      <c r="D373" s="9"/>
      <c r="E373" s="9" t="str">
        <f t="shared" si="68"/>
        <v/>
      </c>
      <c r="F373" s="9"/>
      <c r="G373" s="3"/>
      <c r="H373" s="3"/>
      <c r="I373" s="2"/>
      <c r="J373" s="2"/>
      <c r="K373" s="2"/>
      <c r="L373" s="3"/>
      <c r="M373" s="8"/>
      <c r="N373" s="3"/>
      <c r="O373" s="8"/>
      <c r="P373" s="3"/>
      <c r="Q373" s="3"/>
      <c r="R373" s="3"/>
    </row>
    <row r="374" spans="1:18">
      <c r="A374" s="14"/>
      <c r="B374" s="9"/>
      <c r="C374" s="10" t="str">
        <f t="shared" si="67"/>
        <v>VOICE CASTING</v>
      </c>
      <c r="D374" s="9"/>
      <c r="E374" s="9" t="str">
        <f t="shared" si="68"/>
        <v>TOM WAYLAND</v>
      </c>
      <c r="F374" s="9"/>
      <c r="G374" s="3"/>
      <c r="H374" s="3"/>
      <c r="I374" s="36" t="s">
        <v>430</v>
      </c>
      <c r="J374" s="2"/>
      <c r="K374" s="2" t="s">
        <v>58</v>
      </c>
      <c r="L374" s="3"/>
      <c r="M374" s="8"/>
      <c r="N374" s="3"/>
      <c r="O374" s="8" t="s">
        <v>887</v>
      </c>
      <c r="P374" s="3"/>
      <c r="Q374" s="3" t="s">
        <v>885</v>
      </c>
      <c r="R374" s="3"/>
    </row>
    <row r="375" spans="1:18">
      <c r="A375" s="14"/>
      <c r="B375" s="9"/>
      <c r="C375" s="10" t="str">
        <f t="shared" si="67"/>
        <v/>
      </c>
      <c r="D375" s="9"/>
      <c r="E375" s="9" t="str">
        <f t="shared" si="68"/>
        <v/>
      </c>
      <c r="F375" s="9"/>
      <c r="G375" s="3"/>
      <c r="H375" s="3"/>
      <c r="I375" s="2"/>
      <c r="J375" s="2"/>
      <c r="K375" s="2"/>
      <c r="L375" s="3"/>
      <c r="M375" s="8"/>
      <c r="N375" s="20"/>
      <c r="O375" s="21"/>
      <c r="P375" s="20"/>
      <c r="Q375" s="47"/>
      <c r="R375" s="3"/>
    </row>
    <row r="376" spans="1:18">
      <c r="A376" s="14"/>
      <c r="B376" s="9"/>
      <c r="C376" s="10" t="str">
        <f t="shared" si="67"/>
        <v>RECORDED BY</v>
      </c>
      <c r="D376" s="9"/>
      <c r="E376" s="9" t="str">
        <f t="shared" si="68"/>
        <v>3BEEP, NYC</v>
      </c>
      <c r="F376" s="9"/>
      <c r="G376" s="3"/>
      <c r="H376" s="3"/>
      <c r="I376" s="36" t="s">
        <v>431</v>
      </c>
      <c r="J376" s="2"/>
      <c r="K376" s="2" t="s">
        <v>432</v>
      </c>
      <c r="L376" s="3"/>
      <c r="M376" s="8"/>
      <c r="N376" s="20"/>
      <c r="O376" s="21"/>
      <c r="P376" s="20"/>
      <c r="Q376" s="47"/>
      <c r="R376" s="3"/>
    </row>
    <row r="377" spans="1:18">
      <c r="A377" s="14"/>
      <c r="B377" s="9"/>
      <c r="C377" s="10" t="str">
        <f t="shared" si="67"/>
        <v/>
      </c>
      <c r="D377" s="9"/>
      <c r="E377" s="9" t="str">
        <f t="shared" si="68"/>
        <v/>
      </c>
      <c r="F377" s="9"/>
      <c r="G377" s="3"/>
      <c r="H377" s="3"/>
      <c r="I377" s="2"/>
      <c r="J377" s="2"/>
      <c r="K377" s="2"/>
      <c r="L377" s="3"/>
      <c r="M377" s="8"/>
      <c r="N377" s="20"/>
      <c r="O377" s="21"/>
      <c r="P377" s="20"/>
      <c r="Q377" s="47"/>
      <c r="R377" s="3"/>
    </row>
    <row r="378" spans="1:18">
      <c r="A378" s="14"/>
      <c r="B378" s="9"/>
      <c r="C378" s="10" t="str">
        <f t="shared" si="67"/>
        <v>PRODUCER FOR  3BEEP</v>
      </c>
      <c r="D378" s="9"/>
      <c r="E378" s="9" t="str">
        <f t="shared" si="68"/>
        <v>TIM WERENKO</v>
      </c>
      <c r="F378" s="9"/>
      <c r="G378" s="3"/>
      <c r="H378" s="3"/>
      <c r="I378" s="36" t="s">
        <v>433</v>
      </c>
      <c r="J378" s="2"/>
      <c r="K378" s="2" t="s">
        <v>434</v>
      </c>
      <c r="L378" s="3"/>
      <c r="M378" s="8"/>
      <c r="N378" s="20"/>
      <c r="O378" s="21"/>
      <c r="P378" s="20"/>
      <c r="Q378" s="47"/>
      <c r="R378" s="3"/>
    </row>
    <row r="379" spans="1:18">
      <c r="A379" s="14"/>
      <c r="B379" s="9"/>
      <c r="C379" s="10" t="str">
        <f t="shared" si="67"/>
        <v/>
      </c>
      <c r="D379" s="9"/>
      <c r="E379" s="9" t="str">
        <f t="shared" si="68"/>
        <v>TOM WAYLAND</v>
      </c>
      <c r="F379" s="9"/>
      <c r="G379" s="3"/>
      <c r="H379" s="3"/>
      <c r="I379" s="2"/>
      <c r="J379" s="2"/>
      <c r="K379" s="2" t="s">
        <v>58</v>
      </c>
      <c r="L379" s="3"/>
      <c r="M379" s="8"/>
      <c r="N379" s="20"/>
      <c r="O379" s="21"/>
      <c r="P379" s="20"/>
      <c r="Q379" s="47"/>
      <c r="R379" s="3"/>
    </row>
    <row r="380" spans="1:18">
      <c r="A380" s="14"/>
      <c r="B380" s="9"/>
      <c r="C380" s="10" t="str">
        <f t="shared" si="67"/>
        <v/>
      </c>
      <c r="D380" s="9"/>
      <c r="E380" s="9" t="str">
        <f t="shared" si="68"/>
        <v/>
      </c>
      <c r="F380" s="9"/>
      <c r="G380" s="3"/>
      <c r="H380" s="3"/>
      <c r="I380" s="2"/>
      <c r="J380" s="2"/>
      <c r="K380" s="2"/>
      <c r="L380" s="3"/>
      <c r="M380" s="8"/>
      <c r="N380" s="20"/>
      <c r="O380" s="21"/>
      <c r="P380" s="20"/>
      <c r="Q380" s="47"/>
      <c r="R380" s="3"/>
    </row>
    <row r="381" spans="1:18">
      <c r="A381" s="14"/>
      <c r="B381" s="11"/>
      <c r="C381" s="12"/>
      <c r="D381" s="11"/>
      <c r="E381" s="11"/>
      <c r="F381" s="11"/>
      <c r="G381" s="3"/>
      <c r="H381" s="3"/>
      <c r="I381" s="8"/>
      <c r="J381" s="3"/>
      <c r="K381" s="13"/>
      <c r="L381" s="3"/>
      <c r="M381" s="3"/>
      <c r="N381" s="3"/>
      <c r="O381" s="21"/>
      <c r="P381" s="3"/>
      <c r="Q381" s="3"/>
      <c r="R381" s="3"/>
    </row>
    <row r="382" spans="1:18">
      <c r="A382" s="14"/>
      <c r="B382" s="6"/>
      <c r="C382" s="6"/>
      <c r="D382" s="6"/>
      <c r="E382" s="6"/>
      <c r="F382" s="6"/>
      <c r="G382" s="3"/>
      <c r="H382" s="5"/>
      <c r="I382" s="5"/>
      <c r="J382" s="5"/>
      <c r="K382" s="5"/>
      <c r="L382" s="5"/>
      <c r="M382" s="8"/>
      <c r="N382" s="8"/>
      <c r="O382" s="21"/>
      <c r="P382" s="3"/>
      <c r="Q382" s="3"/>
      <c r="R382" s="3"/>
    </row>
    <row r="383" spans="1:18">
      <c r="A383" s="14"/>
      <c r="B383" s="150" t="str">
        <f>UPPER(H383)</f>
        <v>POST PRODUCTION / ORIGINAL SCORES &amp; SONGS</v>
      </c>
      <c r="C383" s="141"/>
      <c r="D383" s="141"/>
      <c r="E383" s="141"/>
      <c r="F383" s="141"/>
      <c r="G383" s="28"/>
      <c r="H383" s="167" t="s">
        <v>435</v>
      </c>
      <c r="I383" s="141"/>
      <c r="J383" s="141"/>
      <c r="K383" s="141"/>
      <c r="L383" s="141"/>
      <c r="M383" s="29"/>
      <c r="N383" s="149" t="s">
        <v>888</v>
      </c>
      <c r="O383" s="141"/>
      <c r="P383" s="141"/>
      <c r="Q383" s="141"/>
      <c r="R383" s="141"/>
    </row>
    <row r="384" spans="1:18">
      <c r="A384" s="14"/>
      <c r="B384" s="9"/>
      <c r="C384" s="10" t="str">
        <f t="shared" ref="C384:C386" si="69">UPPER(I384)</f>
        <v>AUDIO POST PRODUCTION</v>
      </c>
      <c r="D384" s="9"/>
      <c r="E384" s="9" t="str">
        <f t="shared" ref="E384:E386" si="70">UPPER(K384)</f>
        <v>DOONG SOUND</v>
      </c>
      <c r="F384" s="9"/>
      <c r="G384" s="3"/>
      <c r="H384" s="3"/>
      <c r="I384" s="8" t="s">
        <v>436</v>
      </c>
      <c r="J384" s="3"/>
      <c r="K384" s="3" t="s">
        <v>437</v>
      </c>
      <c r="L384" s="3"/>
      <c r="M384" s="8"/>
      <c r="N384" s="3"/>
      <c r="O384" s="8" t="s">
        <v>889</v>
      </c>
      <c r="P384" s="3"/>
      <c r="Q384" s="3" t="s">
        <v>883</v>
      </c>
      <c r="R384" s="3"/>
    </row>
    <row r="385" spans="1:18">
      <c r="A385" s="14"/>
      <c r="B385" s="6"/>
      <c r="C385" s="10" t="str">
        <f t="shared" si="69"/>
        <v>SOUND SUPERVISOR</v>
      </c>
      <c r="D385" s="9"/>
      <c r="E385" s="9" t="str">
        <f t="shared" si="70"/>
        <v>JEONGYOUNG PARK</v>
      </c>
      <c r="F385" s="6"/>
      <c r="G385" s="3"/>
      <c r="H385" s="3"/>
      <c r="I385" s="8" t="s">
        <v>438</v>
      </c>
      <c r="J385" s="3"/>
      <c r="K385" s="3" t="s">
        <v>439</v>
      </c>
      <c r="L385" s="3"/>
      <c r="M385" s="8"/>
      <c r="N385" s="3"/>
      <c r="O385" s="8" t="s">
        <v>890</v>
      </c>
      <c r="P385" s="3"/>
      <c r="Q385" s="3" t="s">
        <v>891</v>
      </c>
      <c r="R385" s="3"/>
    </row>
    <row r="386" spans="1:18">
      <c r="A386" s="14"/>
      <c r="B386" s="6"/>
      <c r="C386" s="10" t="str">
        <f t="shared" si="69"/>
        <v>SOUND PRODUCTION MANAGER</v>
      </c>
      <c r="D386" s="9"/>
      <c r="E386" s="9" t="str">
        <f t="shared" si="70"/>
        <v>HYEJEONG HWANG</v>
      </c>
      <c r="F386" s="6"/>
      <c r="G386" s="3"/>
      <c r="H386" s="3"/>
      <c r="I386" s="8" t="s">
        <v>440</v>
      </c>
      <c r="J386" s="3"/>
      <c r="K386" s="3" t="s">
        <v>441</v>
      </c>
      <c r="L386" s="3"/>
      <c r="M386" s="8"/>
      <c r="N386" s="3"/>
      <c r="O386" s="8" t="s">
        <v>892</v>
      </c>
      <c r="P386" s="3"/>
      <c r="Q386" s="3" t="s">
        <v>885</v>
      </c>
      <c r="R386" s="3"/>
    </row>
    <row r="387" spans="1:18">
      <c r="A387" s="14"/>
      <c r="B387" s="6"/>
      <c r="C387" s="6"/>
      <c r="D387" s="6"/>
      <c r="E387" s="6"/>
      <c r="F387" s="6"/>
      <c r="G387" s="3"/>
      <c r="H387" s="3"/>
      <c r="I387" s="8"/>
      <c r="J387" s="3"/>
      <c r="K387" s="3"/>
      <c r="L387" s="3"/>
      <c r="M387" s="8"/>
      <c r="N387" s="8"/>
      <c r="O387" s="21"/>
      <c r="P387" s="3"/>
      <c r="Q387" s="3"/>
      <c r="R387" s="3"/>
    </row>
    <row r="388" spans="1:18">
      <c r="A388" s="14"/>
      <c r="B388" s="6"/>
      <c r="C388" s="6"/>
      <c r="D388" s="6"/>
      <c r="E388" s="6"/>
      <c r="F388" s="6"/>
      <c r="G388" s="3"/>
      <c r="H388" s="3"/>
      <c r="I388" s="8"/>
      <c r="J388" s="3"/>
      <c r="K388" s="3"/>
      <c r="L388" s="3"/>
      <c r="M388" s="8"/>
      <c r="N388" s="147"/>
      <c r="O388" s="141"/>
      <c r="P388" s="141"/>
      <c r="Q388" s="141"/>
      <c r="R388" s="141"/>
    </row>
    <row r="389" spans="1:18">
      <c r="A389" s="14"/>
      <c r="B389" s="146" t="str">
        <f>UPPER(H389)</f>
        <v>SOUND</v>
      </c>
      <c r="C389" s="141"/>
      <c r="D389" s="141"/>
      <c r="E389" s="141"/>
      <c r="F389" s="141"/>
      <c r="G389" s="3"/>
      <c r="H389" s="149" t="s">
        <v>442</v>
      </c>
      <c r="I389" s="141"/>
      <c r="J389" s="141"/>
      <c r="K389" s="141"/>
      <c r="L389" s="141"/>
      <c r="M389" s="8"/>
      <c r="N389" s="149" t="s">
        <v>893</v>
      </c>
      <c r="O389" s="141"/>
      <c r="P389" s="141"/>
      <c r="Q389" s="141"/>
      <c r="R389" s="141"/>
    </row>
    <row r="390" spans="1:18">
      <c r="A390" s="14"/>
      <c r="B390" s="9"/>
      <c r="C390" s="10" t="str">
        <f t="shared" ref="C390:C392" si="71">UPPER(I390)</f>
        <v>CHIEF SOUND DESIGNER &amp; EFFECTS &amp; EDITOR</v>
      </c>
      <c r="D390" s="9"/>
      <c r="E390" s="9" t="str">
        <f t="shared" ref="E390:E392" si="72">UPPER(K390)</f>
        <v>HYEJEONG HWANG</v>
      </c>
      <c r="F390" s="9"/>
      <c r="G390" s="3"/>
      <c r="H390" s="8"/>
      <c r="I390" s="8" t="s">
        <v>443</v>
      </c>
      <c r="J390" s="3"/>
      <c r="K390" s="3" t="s">
        <v>441</v>
      </c>
      <c r="L390" s="3"/>
      <c r="M390" s="8"/>
      <c r="N390" s="3"/>
      <c r="O390" s="8" t="s">
        <v>894</v>
      </c>
      <c r="P390" s="3"/>
      <c r="Q390" s="3" t="s">
        <v>885</v>
      </c>
      <c r="R390" s="3"/>
    </row>
    <row r="391" spans="1:18">
      <c r="A391" s="14"/>
      <c r="B391" s="9"/>
      <c r="C391" s="10" t="str">
        <f t="shared" si="71"/>
        <v>VOICE EDITOR</v>
      </c>
      <c r="D391" s="9"/>
      <c r="E391" s="9" t="str">
        <f t="shared" si="72"/>
        <v>HYEJEONG HWANG</v>
      </c>
      <c r="F391" s="9"/>
      <c r="G391" s="3"/>
      <c r="H391" s="8"/>
      <c r="I391" s="8" t="s">
        <v>444</v>
      </c>
      <c r="J391" s="3"/>
      <c r="K391" s="3" t="s">
        <v>441</v>
      </c>
      <c r="L391" s="3"/>
      <c r="M391" s="8"/>
      <c r="N391" s="3"/>
      <c r="O391" s="8" t="s">
        <v>895</v>
      </c>
      <c r="P391" s="3"/>
      <c r="Q391" s="3" t="s">
        <v>885</v>
      </c>
      <c r="R391" s="3"/>
    </row>
    <row r="392" spans="1:18">
      <c r="A392" s="14"/>
      <c r="B392" s="9"/>
      <c r="C392" s="10" t="str">
        <f t="shared" si="71"/>
        <v>MIXING &amp; MASTERING</v>
      </c>
      <c r="D392" s="9"/>
      <c r="E392" s="9" t="str">
        <f t="shared" si="72"/>
        <v>HYEJEONG HWANG</v>
      </c>
      <c r="F392" s="9"/>
      <c r="G392" s="3"/>
      <c r="H392" s="8"/>
      <c r="I392" s="8" t="s">
        <v>445</v>
      </c>
      <c r="J392" s="3"/>
      <c r="K392" s="3" t="s">
        <v>441</v>
      </c>
      <c r="L392" s="3"/>
      <c r="M392" s="8"/>
      <c r="N392" s="3"/>
      <c r="O392" s="8" t="s">
        <v>896</v>
      </c>
      <c r="P392" s="3"/>
      <c r="Q392" s="3" t="s">
        <v>885</v>
      </c>
      <c r="R392" s="3"/>
    </row>
    <row r="393" spans="1:18">
      <c r="A393" s="14"/>
      <c r="B393" s="9"/>
      <c r="C393" s="9"/>
      <c r="D393" s="9"/>
      <c r="E393" s="9"/>
      <c r="F393" s="9"/>
      <c r="G393" s="3"/>
      <c r="H393" s="8"/>
      <c r="I393" s="8"/>
      <c r="J393" s="3"/>
      <c r="K393" s="3" t="s">
        <v>439</v>
      </c>
      <c r="L393" s="3"/>
      <c r="M393" s="8"/>
      <c r="N393" s="3"/>
      <c r="O393" s="8"/>
      <c r="P393" s="3"/>
      <c r="Q393" s="3" t="s">
        <v>891</v>
      </c>
      <c r="R393" s="3"/>
    </row>
    <row r="394" spans="1:18">
      <c r="A394" s="14"/>
      <c r="B394" s="9"/>
      <c r="C394" s="9"/>
      <c r="D394" s="9"/>
      <c r="E394" s="9"/>
      <c r="F394" s="9"/>
      <c r="G394" s="3"/>
      <c r="H394" s="8"/>
      <c r="I394" s="8"/>
      <c r="J394" s="3"/>
      <c r="K394" s="3"/>
      <c r="L394" s="3"/>
      <c r="M394" s="8"/>
      <c r="N394" s="147"/>
      <c r="O394" s="141"/>
      <c r="P394" s="141"/>
      <c r="Q394" s="141"/>
      <c r="R394" s="141"/>
    </row>
    <row r="395" spans="1:18">
      <c r="A395" s="14"/>
      <c r="B395" s="9"/>
      <c r="C395" s="9"/>
      <c r="D395" s="9"/>
      <c r="E395" s="9"/>
      <c r="F395" s="9"/>
      <c r="G395" s="3"/>
      <c r="H395" s="8"/>
      <c r="I395" s="8"/>
      <c r="J395" s="3"/>
      <c r="K395" s="3"/>
      <c r="L395" s="3"/>
      <c r="M395" s="8"/>
      <c r="N395" s="8"/>
      <c r="O395" s="21"/>
      <c r="P395" s="3"/>
      <c r="Q395" s="3"/>
      <c r="R395" s="3"/>
    </row>
    <row r="396" spans="1:18">
      <c r="A396" s="14"/>
      <c r="B396" s="146" t="str">
        <f>UPPER(H396)</f>
        <v>ORIGINAL SCORE</v>
      </c>
      <c r="C396" s="141"/>
      <c r="D396" s="141"/>
      <c r="E396" s="141"/>
      <c r="F396" s="141"/>
      <c r="G396" s="3"/>
      <c r="H396" s="149" t="s">
        <v>446</v>
      </c>
      <c r="I396" s="141"/>
      <c r="J396" s="141"/>
      <c r="K396" s="141"/>
      <c r="L396" s="141"/>
      <c r="M396" s="8"/>
      <c r="N396" s="149" t="s">
        <v>897</v>
      </c>
      <c r="O396" s="141"/>
      <c r="P396" s="141"/>
      <c r="Q396" s="141"/>
      <c r="R396" s="141"/>
    </row>
    <row r="397" spans="1:18">
      <c r="A397" s="14"/>
      <c r="B397" s="9"/>
      <c r="C397" s="10" t="str">
        <f>UPPER(I397)</f>
        <v>MUSIC SUPERVISOR</v>
      </c>
      <c r="D397" s="9"/>
      <c r="E397" s="9" t="str">
        <f t="shared" ref="E397:E406" si="73">UPPER(K397)</f>
        <v>YOONHO KIM</v>
      </c>
      <c r="F397" s="9"/>
      <c r="G397" s="3"/>
      <c r="H397" s="8"/>
      <c r="I397" s="8" t="s">
        <v>447</v>
      </c>
      <c r="J397" s="3"/>
      <c r="K397" s="3" t="s">
        <v>448</v>
      </c>
      <c r="L397" s="3"/>
      <c r="M397" s="8"/>
      <c r="N397" s="3"/>
      <c r="O397" s="8" t="s">
        <v>898</v>
      </c>
      <c r="P397" s="3"/>
      <c r="Q397" s="3" t="s">
        <v>899</v>
      </c>
      <c r="R397" s="3"/>
    </row>
    <row r="398" spans="1:18">
      <c r="A398" s="14"/>
      <c r="B398" s="9"/>
      <c r="C398" s="9"/>
      <c r="D398" s="9"/>
      <c r="E398" s="9" t="str">
        <f t="shared" si="73"/>
        <v>SIEUN KIM</v>
      </c>
      <c r="F398" s="9"/>
      <c r="G398" s="3"/>
      <c r="H398" s="8"/>
      <c r="I398" s="8" t="s">
        <v>449</v>
      </c>
      <c r="J398" s="3"/>
      <c r="K398" s="3" t="s">
        <v>450</v>
      </c>
      <c r="L398" s="3"/>
      <c r="M398" s="8"/>
      <c r="N398" s="3"/>
      <c r="O398" s="8" t="s">
        <v>900</v>
      </c>
      <c r="P398" s="3"/>
      <c r="Q398" s="3" t="s">
        <v>901</v>
      </c>
      <c r="R398" s="3"/>
    </row>
    <row r="399" spans="1:18">
      <c r="A399" s="14"/>
      <c r="B399" s="9"/>
      <c r="C399" s="10" t="str">
        <f>UPPER(I399)</f>
        <v>ADDITIONAL COMPOSER</v>
      </c>
      <c r="D399" s="9"/>
      <c r="E399" s="9" t="str">
        <f t="shared" si="73"/>
        <v>NAYEON LEE</v>
      </c>
      <c r="F399" s="9"/>
      <c r="G399" s="3"/>
      <c r="H399" s="8"/>
      <c r="I399" s="8" t="s">
        <v>451</v>
      </c>
      <c r="J399" s="3"/>
      <c r="K399" s="22" t="s">
        <v>452</v>
      </c>
      <c r="L399" s="3"/>
      <c r="M399" s="8"/>
      <c r="N399" s="3"/>
      <c r="O399" s="8" t="s">
        <v>902</v>
      </c>
      <c r="P399" s="3"/>
      <c r="Q399" s="3" t="s">
        <v>903</v>
      </c>
      <c r="R399" s="3"/>
    </row>
    <row r="400" spans="1:18">
      <c r="A400" s="14"/>
      <c r="B400" s="9"/>
      <c r="C400" s="10"/>
      <c r="D400" s="9"/>
      <c r="E400" s="9" t="str">
        <f t="shared" si="73"/>
        <v>DOLLY HWANG</v>
      </c>
      <c r="F400" s="9"/>
      <c r="G400" s="3"/>
      <c r="H400" s="8"/>
      <c r="I400" s="8"/>
      <c r="J400" s="3"/>
      <c r="K400" s="22" t="s">
        <v>453</v>
      </c>
      <c r="L400" s="3"/>
      <c r="M400" s="8"/>
      <c r="N400" s="3"/>
      <c r="O400" s="3"/>
      <c r="P400" s="3"/>
      <c r="Q400" s="20" t="s">
        <v>453</v>
      </c>
      <c r="R400" s="3"/>
    </row>
    <row r="401" spans="1:18">
      <c r="A401" s="14"/>
      <c r="B401" s="9"/>
      <c r="C401" s="10"/>
      <c r="D401" s="9"/>
      <c r="E401" s="9" t="str">
        <f t="shared" si="73"/>
        <v>HAEHOON LEE</v>
      </c>
      <c r="F401" s="9"/>
      <c r="G401" s="3"/>
      <c r="H401" s="8"/>
      <c r="I401" s="8"/>
      <c r="J401" s="3"/>
      <c r="K401" s="24" t="s">
        <v>454</v>
      </c>
      <c r="L401" s="3"/>
      <c r="M401" s="8"/>
      <c r="N401" s="3"/>
      <c r="O401" s="3"/>
      <c r="P401" s="3"/>
      <c r="Q401" s="3" t="s">
        <v>904</v>
      </c>
      <c r="R401" s="3"/>
    </row>
    <row r="402" spans="1:18">
      <c r="A402" s="14"/>
      <c r="B402" s="9"/>
      <c r="C402" s="10"/>
      <c r="D402" s="9"/>
      <c r="E402" s="9" t="str">
        <f t="shared" si="73"/>
        <v>SOYOUNG KWON</v>
      </c>
      <c r="F402" s="9"/>
      <c r="G402" s="3"/>
      <c r="H402" s="8"/>
      <c r="I402" s="8"/>
      <c r="J402" s="3"/>
      <c r="K402" s="22" t="s">
        <v>455</v>
      </c>
      <c r="L402" s="3"/>
      <c r="M402" s="8"/>
      <c r="N402" s="8"/>
      <c r="O402" s="8"/>
      <c r="P402" s="3"/>
      <c r="Q402" s="3" t="s">
        <v>905</v>
      </c>
      <c r="R402" s="3"/>
    </row>
    <row r="403" spans="1:18">
      <c r="A403" s="14"/>
      <c r="B403" s="9"/>
      <c r="C403" s="10"/>
      <c r="D403" s="9"/>
      <c r="E403" s="9" t="str">
        <f t="shared" si="73"/>
        <v>BUMPIZ</v>
      </c>
      <c r="F403" s="9"/>
      <c r="G403" s="3"/>
      <c r="H403" s="8"/>
      <c r="I403" s="8"/>
      <c r="J403" s="3"/>
      <c r="K403" s="22" t="s">
        <v>456</v>
      </c>
      <c r="L403" s="3"/>
      <c r="M403" s="8"/>
      <c r="N403" s="8"/>
      <c r="O403" s="21"/>
      <c r="P403" s="3"/>
      <c r="Q403" s="3" t="s">
        <v>456</v>
      </c>
      <c r="R403" s="3"/>
    </row>
    <row r="404" spans="1:18">
      <c r="A404" s="14"/>
      <c r="B404" s="9"/>
      <c r="C404" s="10"/>
      <c r="D404" s="9"/>
      <c r="E404" s="9" t="str">
        <f t="shared" si="73"/>
        <v>YEONGHUN YUN</v>
      </c>
      <c r="F404" s="9"/>
      <c r="G404" s="3"/>
      <c r="H404" s="8"/>
      <c r="I404" s="8"/>
      <c r="J404" s="3"/>
      <c r="K404" s="22" t="s">
        <v>457</v>
      </c>
      <c r="L404" s="3"/>
      <c r="M404" s="8"/>
      <c r="N404" s="8"/>
      <c r="O404" s="21"/>
      <c r="P404" s="3"/>
      <c r="Q404" s="3" t="s">
        <v>906</v>
      </c>
      <c r="R404" s="3"/>
    </row>
    <row r="405" spans="1:18">
      <c r="A405" s="14"/>
      <c r="B405" s="9"/>
      <c r="C405" s="10"/>
      <c r="D405" s="9"/>
      <c r="E405" s="9" t="str">
        <f t="shared" si="73"/>
        <v>JIAE YU</v>
      </c>
      <c r="F405" s="9"/>
      <c r="G405" s="3"/>
      <c r="H405" s="8"/>
      <c r="I405" s="8"/>
      <c r="J405" s="3"/>
      <c r="K405" s="22" t="s">
        <v>458</v>
      </c>
      <c r="L405" s="3"/>
      <c r="M405" s="8"/>
      <c r="N405" s="8"/>
      <c r="O405" s="21"/>
      <c r="P405" s="3"/>
      <c r="Q405" s="3" t="s">
        <v>907</v>
      </c>
      <c r="R405" s="3"/>
    </row>
    <row r="406" spans="1:18">
      <c r="A406" s="14"/>
      <c r="B406" s="9"/>
      <c r="C406" s="9"/>
      <c r="D406" s="9"/>
      <c r="E406" s="9" t="str">
        <f t="shared" si="73"/>
        <v/>
      </c>
      <c r="F406" s="9"/>
      <c r="G406" s="3"/>
      <c r="H406" s="8"/>
      <c r="I406" s="8"/>
      <c r="J406" s="3"/>
      <c r="K406" s="22"/>
      <c r="L406" s="3"/>
      <c r="M406" s="8"/>
      <c r="N406" s="8"/>
      <c r="O406" s="21"/>
      <c r="P406" s="3"/>
      <c r="Q406" s="3"/>
      <c r="R406" s="3"/>
    </row>
    <row r="407" spans="1:18">
      <c r="A407" s="14"/>
      <c r="B407" s="11"/>
      <c r="C407" s="11"/>
      <c r="D407" s="11"/>
      <c r="E407" s="11"/>
      <c r="F407" s="11"/>
      <c r="G407" s="3"/>
      <c r="H407" s="8"/>
      <c r="I407" s="8"/>
      <c r="J407" s="3"/>
      <c r="K407" s="3"/>
      <c r="L407" s="3"/>
      <c r="M407" s="8"/>
      <c r="N407" s="8"/>
      <c r="O407" s="21"/>
      <c r="P407" s="3"/>
      <c r="Q407" s="3"/>
      <c r="R407" s="3"/>
    </row>
    <row r="408" spans="1:18">
      <c r="A408" s="14"/>
      <c r="B408" s="6"/>
      <c r="C408" s="6"/>
      <c r="D408" s="6"/>
      <c r="E408" s="6"/>
      <c r="F408" s="6"/>
      <c r="G408" s="3"/>
      <c r="H408" s="74"/>
      <c r="I408" s="5"/>
      <c r="J408" s="5"/>
      <c r="K408" s="5"/>
      <c r="L408" s="74"/>
      <c r="M408" s="8"/>
      <c r="N408" s="8"/>
      <c r="O408" s="21"/>
      <c r="P408" s="3"/>
      <c r="Q408" s="3"/>
      <c r="R408" s="3"/>
    </row>
    <row r="409" spans="1:18">
      <c r="A409" s="14"/>
      <c r="B409" s="150" t="str">
        <f t="shared" ref="B409:B410" si="74">UPPER(H409)</f>
        <v>POST PRODUCTION / ORIGINAL SCORES &amp; SONGS</v>
      </c>
      <c r="C409" s="141"/>
      <c r="D409" s="141"/>
      <c r="E409" s="141"/>
      <c r="F409" s="141"/>
      <c r="G409" s="28"/>
      <c r="H409" s="167" t="s">
        <v>435</v>
      </c>
      <c r="I409" s="141"/>
      <c r="J409" s="141"/>
      <c r="K409" s="141"/>
      <c r="L409" s="141"/>
      <c r="M409" s="29"/>
      <c r="N409" s="149" t="s">
        <v>888</v>
      </c>
      <c r="O409" s="141"/>
      <c r="P409" s="141"/>
      <c r="Q409" s="141"/>
      <c r="R409" s="141"/>
    </row>
    <row r="410" spans="1:18">
      <c r="A410" s="14"/>
      <c r="B410" s="146" t="str">
        <f t="shared" si="74"/>
        <v>RECORDING SESSION</v>
      </c>
      <c r="C410" s="141"/>
      <c r="D410" s="141"/>
      <c r="E410" s="141"/>
      <c r="F410" s="141"/>
      <c r="G410" s="3"/>
      <c r="H410" s="151" t="s">
        <v>459</v>
      </c>
      <c r="I410" s="141"/>
      <c r="J410" s="141"/>
      <c r="K410" s="141"/>
      <c r="L410" s="141"/>
      <c r="M410" s="8"/>
      <c r="N410" s="151" t="s">
        <v>908</v>
      </c>
      <c r="O410" s="141"/>
      <c r="P410" s="141"/>
      <c r="Q410" s="141"/>
      <c r="R410" s="141"/>
    </row>
    <row r="411" spans="1:18">
      <c r="A411" s="14"/>
      <c r="B411" s="9"/>
      <c r="C411" s="10" t="str">
        <f t="shared" ref="C411:C427" si="75">UPPER(I411)</f>
        <v/>
      </c>
      <c r="D411" s="9"/>
      <c r="E411" s="9" t="str">
        <f t="shared" ref="E411:E427" si="76">UPPER(K411)</f>
        <v/>
      </c>
      <c r="F411" s="9"/>
      <c r="G411" s="3"/>
      <c r="H411" s="3"/>
      <c r="I411" s="30"/>
      <c r="J411" s="14"/>
      <c r="K411" s="22"/>
      <c r="L411" s="3"/>
      <c r="M411" s="8"/>
      <c r="N411" s="3"/>
      <c r="O411" s="8"/>
      <c r="P411" s="3"/>
      <c r="Q411" s="3"/>
      <c r="R411" s="3"/>
    </row>
    <row r="412" spans="1:18">
      <c r="A412" s="14"/>
      <c r="B412" s="9"/>
      <c r="C412" s="10" t="str">
        <f t="shared" si="75"/>
        <v>GUITAR</v>
      </c>
      <c r="D412" s="9"/>
      <c r="E412" s="9" t="str">
        <f t="shared" si="76"/>
        <v>DOLLY HWANG</v>
      </c>
      <c r="F412" s="9"/>
      <c r="G412" s="3"/>
      <c r="H412" s="3"/>
      <c r="I412" s="30" t="s">
        <v>460</v>
      </c>
      <c r="J412" s="14"/>
      <c r="K412" s="22" t="s">
        <v>453</v>
      </c>
      <c r="L412" s="3"/>
      <c r="M412" s="8"/>
      <c r="N412" s="3"/>
      <c r="O412" s="8" t="s">
        <v>909</v>
      </c>
      <c r="P412" s="3"/>
      <c r="Q412" s="20" t="s">
        <v>453</v>
      </c>
      <c r="R412" s="3"/>
    </row>
    <row r="413" spans="1:18">
      <c r="A413" s="14"/>
      <c r="B413" s="9"/>
      <c r="C413" s="10" t="str">
        <f t="shared" si="75"/>
        <v/>
      </c>
      <c r="D413" s="9"/>
      <c r="E413" s="9" t="str">
        <f t="shared" si="76"/>
        <v>BUMPIZ</v>
      </c>
      <c r="F413" s="9"/>
      <c r="G413" s="3"/>
      <c r="H413" s="3"/>
      <c r="I413" s="30"/>
      <c r="J413" s="14"/>
      <c r="K413" s="22" t="s">
        <v>456</v>
      </c>
      <c r="L413" s="3"/>
      <c r="M413" s="8"/>
      <c r="N413" s="3"/>
      <c r="O413" s="8"/>
      <c r="P413" s="3"/>
      <c r="Q413" s="3" t="s">
        <v>456</v>
      </c>
      <c r="R413" s="3"/>
    </row>
    <row r="414" spans="1:18">
      <c r="A414" s="14"/>
      <c r="B414" s="9"/>
      <c r="C414" s="10" t="str">
        <f t="shared" si="75"/>
        <v/>
      </c>
      <c r="D414" s="9"/>
      <c r="E414" s="9" t="str">
        <f t="shared" si="76"/>
        <v/>
      </c>
      <c r="F414" s="9"/>
      <c r="G414" s="3"/>
      <c r="H414" s="3"/>
      <c r="I414" s="30"/>
      <c r="J414" s="14"/>
      <c r="K414" s="22"/>
      <c r="L414" s="3"/>
      <c r="M414" s="8"/>
      <c r="N414" s="3"/>
      <c r="O414" s="8"/>
      <c r="P414" s="3"/>
      <c r="Q414" s="3"/>
      <c r="R414" s="3"/>
    </row>
    <row r="415" spans="1:18">
      <c r="A415" s="14"/>
      <c r="B415" s="9"/>
      <c r="C415" s="10" t="str">
        <f t="shared" si="75"/>
        <v>BASS</v>
      </c>
      <c r="D415" s="9"/>
      <c r="E415" s="9" t="str">
        <f t="shared" si="76"/>
        <v>DOLLY HWANG</v>
      </c>
      <c r="F415" s="9"/>
      <c r="G415" s="3"/>
      <c r="H415" s="3"/>
      <c r="I415" s="30" t="s">
        <v>461</v>
      </c>
      <c r="J415" s="14"/>
      <c r="K415" s="22" t="s">
        <v>453</v>
      </c>
      <c r="L415" s="3"/>
      <c r="M415" s="8"/>
      <c r="N415" s="3"/>
      <c r="O415" s="8" t="s">
        <v>910</v>
      </c>
      <c r="P415" s="3"/>
      <c r="Q415" s="20" t="s">
        <v>453</v>
      </c>
      <c r="R415" s="3"/>
    </row>
    <row r="416" spans="1:18">
      <c r="A416" s="14"/>
      <c r="B416" s="9"/>
      <c r="C416" s="10" t="str">
        <f t="shared" si="75"/>
        <v/>
      </c>
      <c r="D416" s="9"/>
      <c r="E416" s="9" t="str">
        <f t="shared" si="76"/>
        <v>BUMPIZ</v>
      </c>
      <c r="F416" s="9"/>
      <c r="G416" s="3"/>
      <c r="H416" s="3"/>
      <c r="I416" s="24"/>
      <c r="J416" s="14"/>
      <c r="K416" s="22" t="s">
        <v>456</v>
      </c>
      <c r="L416" s="3"/>
      <c r="M416" s="8"/>
      <c r="N416" s="3"/>
      <c r="O416" s="3"/>
      <c r="P416" s="3"/>
      <c r="Q416" s="3" t="s">
        <v>456</v>
      </c>
      <c r="R416" s="3"/>
    </row>
    <row r="417" spans="1:18">
      <c r="A417" s="14"/>
      <c r="B417" s="9"/>
      <c r="C417" s="10" t="str">
        <f t="shared" si="75"/>
        <v/>
      </c>
      <c r="D417" s="9"/>
      <c r="E417" s="9" t="str">
        <f t="shared" si="76"/>
        <v/>
      </c>
      <c r="F417" s="9"/>
      <c r="G417" s="3"/>
      <c r="H417" s="3"/>
      <c r="I417" s="30"/>
      <c r="J417" s="14"/>
      <c r="K417" s="22"/>
      <c r="L417" s="3"/>
      <c r="M417" s="8"/>
      <c r="N417" s="3"/>
      <c r="O417" s="3"/>
      <c r="P417" s="3"/>
      <c r="Q417" s="3"/>
      <c r="R417" s="3"/>
    </row>
    <row r="418" spans="1:18">
      <c r="A418" s="14"/>
      <c r="B418" s="9"/>
      <c r="C418" s="10" t="str">
        <f t="shared" si="75"/>
        <v>KEYBOARD</v>
      </c>
      <c r="D418" s="9"/>
      <c r="E418" s="9" t="str">
        <f t="shared" si="76"/>
        <v>YOONHO KIM</v>
      </c>
      <c r="F418" s="9"/>
      <c r="G418" s="3"/>
      <c r="H418" s="3"/>
      <c r="I418" s="30" t="s">
        <v>462</v>
      </c>
      <c r="J418" s="14"/>
      <c r="K418" s="22" t="s">
        <v>448</v>
      </c>
      <c r="L418" s="3"/>
      <c r="M418" s="8"/>
      <c r="N418" s="3"/>
      <c r="O418" s="8" t="s">
        <v>911</v>
      </c>
      <c r="P418" s="3"/>
      <c r="Q418" s="3" t="s">
        <v>899</v>
      </c>
      <c r="R418" s="3"/>
    </row>
    <row r="419" spans="1:18">
      <c r="A419" s="14"/>
      <c r="B419" s="9"/>
      <c r="C419" s="10" t="str">
        <f t="shared" si="75"/>
        <v/>
      </c>
      <c r="D419" s="9"/>
      <c r="E419" s="9" t="str">
        <f t="shared" si="76"/>
        <v>SIEUN KIM</v>
      </c>
      <c r="F419" s="9"/>
      <c r="G419" s="3"/>
      <c r="H419" s="3"/>
      <c r="I419" s="44"/>
      <c r="J419" s="14"/>
      <c r="K419" s="22" t="s">
        <v>463</v>
      </c>
      <c r="L419" s="3"/>
      <c r="M419" s="8"/>
      <c r="N419" s="3"/>
      <c r="O419" s="3"/>
      <c r="P419" s="3"/>
      <c r="Q419" s="3" t="s">
        <v>901</v>
      </c>
      <c r="R419" s="3"/>
    </row>
    <row r="420" spans="1:18">
      <c r="A420" s="14"/>
      <c r="B420" s="9"/>
      <c r="C420" s="10" t="str">
        <f t="shared" si="75"/>
        <v/>
      </c>
      <c r="D420" s="9"/>
      <c r="E420" s="9" t="str">
        <f t="shared" si="76"/>
        <v>DOLLY HWANG</v>
      </c>
      <c r="F420" s="9"/>
      <c r="G420" s="3"/>
      <c r="H420" s="3"/>
      <c r="I420" s="44"/>
      <c r="J420" s="14"/>
      <c r="K420" s="22" t="s">
        <v>453</v>
      </c>
      <c r="L420" s="3"/>
      <c r="M420" s="8"/>
      <c r="N420" s="3"/>
      <c r="O420" s="3"/>
      <c r="P420" s="3"/>
      <c r="Q420" s="20" t="s">
        <v>453</v>
      </c>
      <c r="R420" s="3"/>
    </row>
    <row r="421" spans="1:18">
      <c r="A421" s="14"/>
      <c r="B421" s="9"/>
      <c r="C421" s="10" t="str">
        <f t="shared" si="75"/>
        <v/>
      </c>
      <c r="D421" s="9"/>
      <c r="E421" s="9" t="str">
        <f t="shared" si="76"/>
        <v>HAEHOON LEE</v>
      </c>
      <c r="F421" s="9"/>
      <c r="G421" s="3"/>
      <c r="H421" s="3"/>
      <c r="I421" s="44"/>
      <c r="J421" s="14"/>
      <c r="K421" s="22" t="s">
        <v>454</v>
      </c>
      <c r="L421" s="3"/>
      <c r="M421" s="8"/>
      <c r="N421" s="3"/>
      <c r="O421" s="3"/>
      <c r="P421" s="3"/>
      <c r="Q421" s="3" t="s">
        <v>904</v>
      </c>
      <c r="R421" s="3"/>
    </row>
    <row r="422" spans="1:18">
      <c r="A422" s="14"/>
      <c r="B422" s="9"/>
      <c r="C422" s="10" t="str">
        <f t="shared" si="75"/>
        <v/>
      </c>
      <c r="D422" s="9"/>
      <c r="E422" s="9" t="str">
        <f t="shared" si="76"/>
        <v>NAYEON LEE</v>
      </c>
      <c r="F422" s="9"/>
      <c r="G422" s="3"/>
      <c r="H422" s="3"/>
      <c r="I422" s="44"/>
      <c r="J422" s="14"/>
      <c r="K422" s="22" t="s">
        <v>452</v>
      </c>
      <c r="L422" s="3"/>
      <c r="M422" s="8"/>
      <c r="N422" s="3"/>
      <c r="O422" s="3"/>
      <c r="P422" s="3"/>
      <c r="Q422" s="3" t="s">
        <v>903</v>
      </c>
      <c r="R422" s="3"/>
    </row>
    <row r="423" spans="1:18">
      <c r="A423" s="14"/>
      <c r="B423" s="9"/>
      <c r="C423" s="10" t="str">
        <f t="shared" si="75"/>
        <v/>
      </c>
      <c r="D423" s="9"/>
      <c r="E423" s="9" t="str">
        <f t="shared" si="76"/>
        <v>BUMPIZ</v>
      </c>
      <c r="F423" s="9"/>
      <c r="G423" s="3"/>
      <c r="H423" s="3"/>
      <c r="I423" s="44"/>
      <c r="J423" s="14"/>
      <c r="K423" s="22" t="s">
        <v>456</v>
      </c>
      <c r="L423" s="3"/>
      <c r="M423" s="8"/>
      <c r="N423" s="3"/>
      <c r="O423" s="3"/>
      <c r="P423" s="3"/>
      <c r="Q423" s="3" t="s">
        <v>456</v>
      </c>
      <c r="R423" s="3"/>
    </row>
    <row r="424" spans="1:18">
      <c r="A424" s="14"/>
      <c r="B424" s="9"/>
      <c r="C424" s="10" t="str">
        <f t="shared" si="75"/>
        <v/>
      </c>
      <c r="D424" s="9"/>
      <c r="E424" s="9" t="str">
        <f t="shared" si="76"/>
        <v>YEONGHUN YUN</v>
      </c>
      <c r="F424" s="9"/>
      <c r="G424" s="3"/>
      <c r="H424" s="3"/>
      <c r="I424" s="44"/>
      <c r="J424" s="14"/>
      <c r="K424" s="22" t="s">
        <v>457</v>
      </c>
      <c r="L424" s="3"/>
      <c r="M424" s="8"/>
      <c r="N424" s="3"/>
      <c r="O424" s="3"/>
      <c r="P424" s="3"/>
      <c r="Q424" s="3" t="s">
        <v>906</v>
      </c>
      <c r="R424" s="3"/>
    </row>
    <row r="425" spans="1:18">
      <c r="A425" s="14"/>
      <c r="B425" s="9"/>
      <c r="C425" s="10" t="str">
        <f t="shared" si="75"/>
        <v/>
      </c>
      <c r="D425" s="9"/>
      <c r="E425" s="9" t="str">
        <f t="shared" si="76"/>
        <v>JIAE YU</v>
      </c>
      <c r="F425" s="9"/>
      <c r="G425" s="3"/>
      <c r="H425" s="3"/>
      <c r="I425" s="44"/>
      <c r="J425" s="14"/>
      <c r="K425" s="22" t="s">
        <v>458</v>
      </c>
      <c r="L425" s="3"/>
      <c r="M425" s="8"/>
      <c r="N425" s="3"/>
      <c r="O425" s="3"/>
      <c r="P425" s="3"/>
      <c r="Q425" s="3" t="s">
        <v>907</v>
      </c>
      <c r="R425" s="3"/>
    </row>
    <row r="426" spans="1:18">
      <c r="A426" s="14"/>
      <c r="B426" s="9"/>
      <c r="C426" s="9" t="str">
        <f t="shared" si="75"/>
        <v/>
      </c>
      <c r="D426" s="9"/>
      <c r="E426" s="9" t="str">
        <f t="shared" si="76"/>
        <v/>
      </c>
      <c r="F426" s="9"/>
      <c r="G426" s="3"/>
      <c r="H426" s="3"/>
      <c r="I426" s="44"/>
      <c r="J426" s="14"/>
      <c r="K426" s="14"/>
      <c r="L426" s="3"/>
      <c r="M426" s="8"/>
      <c r="N426" s="8"/>
      <c r="O426" s="21"/>
      <c r="P426" s="3"/>
      <c r="Q426" s="3"/>
      <c r="R426" s="3"/>
    </row>
    <row r="427" spans="1:18">
      <c r="A427" s="14"/>
      <c r="B427" s="11"/>
      <c r="C427" s="11" t="str">
        <f t="shared" si="75"/>
        <v/>
      </c>
      <c r="D427" s="11"/>
      <c r="E427" s="11" t="str">
        <f t="shared" si="76"/>
        <v/>
      </c>
      <c r="F427" s="11"/>
      <c r="G427" s="3"/>
      <c r="H427" s="3"/>
      <c r="I427" s="8"/>
      <c r="J427" s="3"/>
      <c r="K427" s="3"/>
      <c r="L427" s="3"/>
      <c r="M427" s="8"/>
      <c r="N427" s="8"/>
      <c r="O427" s="21"/>
      <c r="P427" s="3"/>
      <c r="Q427" s="3"/>
      <c r="R427" s="3"/>
    </row>
    <row r="428" spans="1:18">
      <c r="A428" s="14"/>
      <c r="B428" s="6"/>
      <c r="C428" s="6"/>
      <c r="D428" s="6"/>
      <c r="E428" s="6"/>
      <c r="F428" s="6"/>
      <c r="G428" s="3"/>
      <c r="H428" s="74"/>
      <c r="I428" s="5"/>
      <c r="J428" s="5"/>
      <c r="K428" s="5"/>
      <c r="L428" s="74"/>
      <c r="M428" s="8"/>
      <c r="N428" s="8"/>
      <c r="O428" s="21"/>
      <c r="P428" s="3"/>
      <c r="Q428" s="3"/>
      <c r="R428" s="3"/>
    </row>
    <row r="429" spans="1:18">
      <c r="A429" s="14"/>
      <c r="B429" s="150" t="str">
        <f t="shared" ref="B429:B430" si="77">UPPER(H429)</f>
        <v>POST PRODUCTION / ORIGINAL SCORES &amp; SONGS</v>
      </c>
      <c r="C429" s="141"/>
      <c r="D429" s="141"/>
      <c r="E429" s="141"/>
      <c r="F429" s="141"/>
      <c r="G429" s="28"/>
      <c r="H429" s="167" t="s">
        <v>435</v>
      </c>
      <c r="I429" s="141"/>
      <c r="J429" s="141"/>
      <c r="K429" s="141"/>
      <c r="L429" s="141"/>
      <c r="M429" s="8"/>
      <c r="N429" s="149" t="s">
        <v>888</v>
      </c>
      <c r="O429" s="141"/>
      <c r="P429" s="141"/>
      <c r="Q429" s="141"/>
      <c r="R429" s="141"/>
    </row>
    <row r="430" spans="1:18">
      <c r="A430" s="14"/>
      <c r="B430" s="146" t="str">
        <f t="shared" si="77"/>
        <v>RECORDING SESSION</v>
      </c>
      <c r="C430" s="141"/>
      <c r="D430" s="141"/>
      <c r="E430" s="141"/>
      <c r="F430" s="141"/>
      <c r="G430" s="3"/>
      <c r="H430" s="151" t="s">
        <v>459</v>
      </c>
      <c r="I430" s="141"/>
      <c r="J430" s="141"/>
      <c r="K430" s="141"/>
      <c r="L430" s="141"/>
      <c r="M430" s="8"/>
      <c r="N430" s="151" t="s">
        <v>912</v>
      </c>
      <c r="O430" s="141"/>
      <c r="P430" s="141"/>
      <c r="Q430" s="141"/>
      <c r="R430" s="141"/>
    </row>
    <row r="431" spans="1:18">
      <c r="A431" s="14"/>
      <c r="B431" s="9"/>
      <c r="C431" s="10" t="str">
        <f t="shared" ref="C431:C445" si="78">UPPER(I431)</f>
        <v/>
      </c>
      <c r="D431" s="9"/>
      <c r="E431" s="9" t="str">
        <f t="shared" ref="E431:E445" si="79">UPPER(K431)</f>
        <v/>
      </c>
      <c r="F431" s="9"/>
      <c r="G431" s="3"/>
      <c r="H431" s="3"/>
      <c r="I431" s="30"/>
      <c r="J431" s="14"/>
      <c r="K431" s="22"/>
      <c r="L431" s="3"/>
      <c r="M431" s="8"/>
      <c r="N431" s="8"/>
      <c r="O431" s="21"/>
      <c r="P431" s="3"/>
      <c r="Q431" s="3"/>
      <c r="R431" s="3"/>
    </row>
    <row r="432" spans="1:18">
      <c r="A432" s="14"/>
      <c r="B432" s="9"/>
      <c r="C432" s="10" t="str">
        <f t="shared" si="78"/>
        <v>MUSIC PROGRAMING</v>
      </c>
      <c r="D432" s="9"/>
      <c r="E432" s="9" t="str">
        <f t="shared" si="79"/>
        <v>YOONHO KIM</v>
      </c>
      <c r="F432" s="9"/>
      <c r="G432" s="3"/>
      <c r="H432" s="3"/>
      <c r="I432" s="30" t="s">
        <v>464</v>
      </c>
      <c r="J432" s="14"/>
      <c r="K432" s="22" t="s">
        <v>448</v>
      </c>
      <c r="L432" s="3"/>
      <c r="M432" s="8"/>
      <c r="N432" s="8"/>
      <c r="O432" s="36" t="s">
        <v>913</v>
      </c>
      <c r="P432" s="2"/>
      <c r="Q432" s="2" t="s">
        <v>899</v>
      </c>
      <c r="R432" s="3"/>
    </row>
    <row r="433" spans="1:18">
      <c r="A433" s="14"/>
      <c r="B433" s="9"/>
      <c r="C433" s="10" t="str">
        <f t="shared" si="78"/>
        <v/>
      </c>
      <c r="D433" s="9"/>
      <c r="E433" s="9" t="str">
        <f t="shared" si="79"/>
        <v>SIEUN KIM</v>
      </c>
      <c r="F433" s="9"/>
      <c r="G433" s="3"/>
      <c r="H433" s="3"/>
      <c r="I433" s="44"/>
      <c r="J433" s="14"/>
      <c r="K433" s="22" t="s">
        <v>463</v>
      </c>
      <c r="L433" s="3"/>
      <c r="M433" s="8"/>
      <c r="N433" s="8"/>
      <c r="O433" s="2"/>
      <c r="P433" s="2"/>
      <c r="Q433" s="3" t="s">
        <v>901</v>
      </c>
      <c r="R433" s="3"/>
    </row>
    <row r="434" spans="1:18">
      <c r="A434" s="14"/>
      <c r="B434" s="9"/>
      <c r="C434" s="10" t="str">
        <f t="shared" si="78"/>
        <v/>
      </c>
      <c r="D434" s="9"/>
      <c r="E434" s="9" t="str">
        <f t="shared" si="79"/>
        <v>HAEHOON LEE</v>
      </c>
      <c r="F434" s="9"/>
      <c r="G434" s="3"/>
      <c r="H434" s="3"/>
      <c r="I434" s="44"/>
      <c r="J434" s="14"/>
      <c r="K434" s="22" t="s">
        <v>454</v>
      </c>
      <c r="L434" s="3"/>
      <c r="M434" s="8"/>
      <c r="N434" s="8"/>
      <c r="O434" s="2"/>
      <c r="P434" s="2"/>
      <c r="Q434" s="3" t="s">
        <v>904</v>
      </c>
      <c r="R434" s="3"/>
    </row>
    <row r="435" spans="1:18">
      <c r="A435" s="14"/>
      <c r="B435" s="9"/>
      <c r="C435" s="10" t="str">
        <f t="shared" si="78"/>
        <v/>
      </c>
      <c r="D435" s="9"/>
      <c r="E435" s="9" t="str">
        <f t="shared" si="79"/>
        <v>DOLLY HWANG</v>
      </c>
      <c r="F435" s="9"/>
      <c r="G435" s="3"/>
      <c r="H435" s="3"/>
      <c r="I435" s="44"/>
      <c r="J435" s="14"/>
      <c r="K435" s="22" t="s">
        <v>453</v>
      </c>
      <c r="L435" s="3"/>
      <c r="M435" s="8"/>
      <c r="N435" s="8"/>
      <c r="O435" s="2"/>
      <c r="P435" s="2"/>
      <c r="Q435" s="20" t="s">
        <v>453</v>
      </c>
      <c r="R435" s="3"/>
    </row>
    <row r="436" spans="1:18">
      <c r="A436" s="14"/>
      <c r="B436" s="9"/>
      <c r="C436" s="10" t="str">
        <f t="shared" si="78"/>
        <v/>
      </c>
      <c r="D436" s="9"/>
      <c r="E436" s="9" t="str">
        <f t="shared" si="79"/>
        <v>NAYEON LEE</v>
      </c>
      <c r="F436" s="9"/>
      <c r="G436" s="3"/>
      <c r="H436" s="3"/>
      <c r="I436" s="44"/>
      <c r="J436" s="14"/>
      <c r="K436" s="22" t="s">
        <v>452</v>
      </c>
      <c r="L436" s="3"/>
      <c r="M436" s="8"/>
      <c r="N436" s="8"/>
      <c r="O436" s="2"/>
      <c r="P436" s="2"/>
      <c r="Q436" s="3" t="s">
        <v>903</v>
      </c>
      <c r="R436" s="3"/>
    </row>
    <row r="437" spans="1:18">
      <c r="A437" s="14"/>
      <c r="B437" s="9"/>
      <c r="C437" s="10" t="str">
        <f t="shared" si="78"/>
        <v/>
      </c>
      <c r="D437" s="9"/>
      <c r="E437" s="9" t="str">
        <f t="shared" si="79"/>
        <v>BUMPIZ</v>
      </c>
      <c r="F437" s="9"/>
      <c r="G437" s="3"/>
      <c r="H437" s="3"/>
      <c r="I437" s="44"/>
      <c r="J437" s="14"/>
      <c r="K437" s="22" t="s">
        <v>456</v>
      </c>
      <c r="L437" s="3"/>
      <c r="M437" s="8"/>
      <c r="N437" s="8"/>
      <c r="O437" s="2"/>
      <c r="P437" s="2"/>
      <c r="Q437" s="3" t="s">
        <v>456</v>
      </c>
      <c r="R437" s="3"/>
    </row>
    <row r="438" spans="1:18">
      <c r="A438" s="14"/>
      <c r="B438" s="9"/>
      <c r="C438" s="10" t="str">
        <f t="shared" si="78"/>
        <v/>
      </c>
      <c r="D438" s="9"/>
      <c r="E438" s="9" t="str">
        <f t="shared" si="79"/>
        <v>SOYOUNG KWON</v>
      </c>
      <c r="F438" s="9"/>
      <c r="G438" s="3"/>
      <c r="H438" s="3"/>
      <c r="I438" s="44"/>
      <c r="J438" s="14"/>
      <c r="K438" s="22" t="s">
        <v>455</v>
      </c>
      <c r="L438" s="3"/>
      <c r="M438" s="8"/>
      <c r="N438" s="8"/>
      <c r="O438" s="36"/>
      <c r="P438" s="2"/>
      <c r="Q438" s="2" t="s">
        <v>905</v>
      </c>
      <c r="R438" s="3"/>
    </row>
    <row r="439" spans="1:18">
      <c r="A439" s="14"/>
      <c r="B439" s="9"/>
      <c r="C439" s="10" t="str">
        <f t="shared" si="78"/>
        <v/>
      </c>
      <c r="D439" s="9"/>
      <c r="E439" s="9" t="str">
        <f t="shared" si="79"/>
        <v/>
      </c>
      <c r="F439" s="9"/>
      <c r="G439" s="3"/>
      <c r="H439" s="3"/>
      <c r="I439" s="44"/>
      <c r="J439" s="14"/>
      <c r="K439" s="22"/>
      <c r="L439" s="3"/>
      <c r="M439" s="8"/>
      <c r="N439" s="8"/>
      <c r="O439" s="36"/>
      <c r="P439" s="2"/>
      <c r="Q439" s="2"/>
      <c r="R439" s="3"/>
    </row>
    <row r="440" spans="1:18">
      <c r="A440" s="14"/>
      <c r="B440" s="9"/>
      <c r="C440" s="10" t="str">
        <f t="shared" si="78"/>
        <v>RECORDING STUDIO</v>
      </c>
      <c r="D440" s="9"/>
      <c r="E440" s="9" t="str">
        <f t="shared" si="79"/>
        <v>DOONG SOUND</v>
      </c>
      <c r="F440" s="9"/>
      <c r="G440" s="3"/>
      <c r="H440" s="3"/>
      <c r="I440" s="30" t="s">
        <v>465</v>
      </c>
      <c r="J440" s="14"/>
      <c r="K440" s="22" t="s">
        <v>437</v>
      </c>
      <c r="L440" s="3"/>
      <c r="M440" s="8"/>
      <c r="N440" s="8"/>
      <c r="O440" s="36" t="s">
        <v>882</v>
      </c>
      <c r="P440" s="2"/>
      <c r="Q440" s="2" t="s">
        <v>883</v>
      </c>
      <c r="R440" s="3"/>
    </row>
    <row r="441" spans="1:18">
      <c r="A441" s="14"/>
      <c r="B441" s="9"/>
      <c r="C441" s="10" t="str">
        <f t="shared" si="78"/>
        <v/>
      </c>
      <c r="D441" s="9"/>
      <c r="E441" s="9" t="str">
        <f t="shared" si="79"/>
        <v/>
      </c>
      <c r="F441" s="9"/>
      <c r="G441" s="3"/>
      <c r="H441" s="3"/>
      <c r="I441" s="30"/>
      <c r="J441" s="14"/>
      <c r="K441" s="22"/>
      <c r="L441" s="3"/>
      <c r="M441" s="8"/>
      <c r="N441" s="8"/>
      <c r="O441" s="36"/>
      <c r="P441" s="2"/>
      <c r="Q441" s="2"/>
      <c r="R441" s="3"/>
    </row>
    <row r="442" spans="1:18">
      <c r="A442" s="14"/>
      <c r="B442" s="9"/>
      <c r="C442" s="10" t="str">
        <f t="shared" si="78"/>
        <v>RECORDING ENGINEER</v>
      </c>
      <c r="D442" s="9"/>
      <c r="E442" s="9" t="str">
        <f t="shared" si="79"/>
        <v>HYEJEONG HWANG</v>
      </c>
      <c r="F442" s="9"/>
      <c r="G442" s="3"/>
      <c r="H442" s="3"/>
      <c r="I442" s="30" t="s">
        <v>427</v>
      </c>
      <c r="J442" s="14"/>
      <c r="K442" s="22" t="s">
        <v>441</v>
      </c>
      <c r="L442" s="3"/>
      <c r="M442" s="8"/>
      <c r="N442" s="8"/>
      <c r="O442" s="36" t="s">
        <v>886</v>
      </c>
      <c r="P442" s="2"/>
      <c r="Q442" s="2" t="s">
        <v>885</v>
      </c>
      <c r="R442" s="3"/>
    </row>
    <row r="443" spans="1:18">
      <c r="A443" s="14"/>
      <c r="B443" s="9"/>
      <c r="C443" s="10" t="str">
        <f t="shared" si="78"/>
        <v/>
      </c>
      <c r="D443" s="9"/>
      <c r="E443" s="9" t="str">
        <f t="shared" si="79"/>
        <v>Q6</v>
      </c>
      <c r="F443" s="9"/>
      <c r="G443" s="3"/>
      <c r="H443" s="3"/>
      <c r="I443" s="44"/>
      <c r="J443" s="14"/>
      <c r="K443" s="22" t="s">
        <v>466</v>
      </c>
      <c r="L443" s="3"/>
      <c r="M443" s="8"/>
      <c r="N443" s="8"/>
      <c r="O443" s="2"/>
      <c r="P443" s="2"/>
      <c r="Q443" s="2" t="s">
        <v>466</v>
      </c>
      <c r="R443" s="3"/>
    </row>
    <row r="444" spans="1:18">
      <c r="A444" s="14"/>
      <c r="B444" s="9"/>
      <c r="C444" s="10" t="str">
        <f t="shared" si="78"/>
        <v/>
      </c>
      <c r="D444" s="9"/>
      <c r="E444" s="9" t="str">
        <f t="shared" si="79"/>
        <v>BUMPIZ</v>
      </c>
      <c r="F444" s="9"/>
      <c r="G444" s="3"/>
      <c r="H444" s="3"/>
      <c r="I444" s="44"/>
      <c r="J444" s="14"/>
      <c r="K444" s="22" t="s">
        <v>456</v>
      </c>
      <c r="L444" s="3"/>
      <c r="M444" s="8"/>
      <c r="N444" s="8"/>
      <c r="O444" s="2"/>
      <c r="P444" s="2"/>
      <c r="Q444" s="2" t="s">
        <v>456</v>
      </c>
      <c r="R444" s="3"/>
    </row>
    <row r="445" spans="1:18">
      <c r="A445" s="14"/>
      <c r="B445" s="9"/>
      <c r="C445" s="9" t="str">
        <f t="shared" si="78"/>
        <v/>
      </c>
      <c r="D445" s="9"/>
      <c r="E445" s="9" t="str">
        <f t="shared" si="79"/>
        <v/>
      </c>
      <c r="F445" s="9"/>
      <c r="G445" s="3"/>
      <c r="H445" s="3"/>
      <c r="I445" s="8"/>
      <c r="J445" s="3"/>
      <c r="K445" s="3"/>
      <c r="L445" s="3"/>
      <c r="M445" s="8"/>
      <c r="N445" s="8"/>
      <c r="O445" s="21"/>
      <c r="P445" s="3"/>
      <c r="Q445" s="3"/>
      <c r="R445" s="3"/>
    </row>
    <row r="446" spans="1:18">
      <c r="A446" s="14"/>
      <c r="B446" s="11"/>
      <c r="C446" s="11"/>
      <c r="D446" s="11"/>
      <c r="E446" s="11"/>
      <c r="F446" s="11"/>
      <c r="G446" s="3"/>
      <c r="H446" s="3"/>
      <c r="I446" s="8"/>
      <c r="J446" s="3"/>
      <c r="K446" s="3"/>
      <c r="L446" s="3"/>
      <c r="M446" s="8"/>
      <c r="N446" s="8"/>
      <c r="O446" s="21"/>
      <c r="P446" s="3"/>
      <c r="Q446" s="3"/>
      <c r="R446" s="3"/>
    </row>
    <row r="447" spans="1:18">
      <c r="A447" s="14"/>
      <c r="B447" s="6"/>
      <c r="C447" s="6"/>
      <c r="D447" s="6"/>
      <c r="E447" s="6"/>
      <c r="F447" s="6"/>
      <c r="G447" s="3"/>
      <c r="H447" s="74"/>
      <c r="I447" s="5"/>
      <c r="J447" s="5"/>
      <c r="K447" s="5"/>
      <c r="L447" s="74"/>
      <c r="M447" s="8"/>
      <c r="N447" s="8"/>
      <c r="O447" s="21"/>
      <c r="P447" s="3"/>
      <c r="Q447" s="3"/>
      <c r="R447" s="3"/>
    </row>
    <row r="448" spans="1:18">
      <c r="A448" s="14"/>
      <c r="B448" s="150" t="str">
        <f t="shared" ref="B448:B450" si="80">UPPER(H448)</f>
        <v>POST PRODUCTION / ORIGINAL SCORES &amp; SONGS</v>
      </c>
      <c r="C448" s="141"/>
      <c r="D448" s="141"/>
      <c r="E448" s="141"/>
      <c r="F448" s="141"/>
      <c r="G448" s="28"/>
      <c r="H448" s="167" t="s">
        <v>435</v>
      </c>
      <c r="I448" s="141"/>
      <c r="J448" s="141"/>
      <c r="K448" s="141"/>
      <c r="L448" s="141"/>
      <c r="M448" s="29"/>
      <c r="N448" s="161" t="s">
        <v>888</v>
      </c>
      <c r="O448" s="141"/>
      <c r="P448" s="141"/>
      <c r="Q448" s="141"/>
      <c r="R448" s="141"/>
    </row>
    <row r="449" spans="1:18">
      <c r="A449" s="14"/>
      <c r="B449" s="146" t="str">
        <f t="shared" si="80"/>
        <v>WE R THE HEROES</v>
      </c>
      <c r="C449" s="141"/>
      <c r="D449" s="141"/>
      <c r="E449" s="141"/>
      <c r="F449" s="141"/>
      <c r="G449" s="3"/>
      <c r="H449" s="151" t="s">
        <v>467</v>
      </c>
      <c r="I449" s="141"/>
      <c r="J449" s="141"/>
      <c r="K449" s="141"/>
      <c r="L449" s="141"/>
      <c r="M449" s="8"/>
      <c r="N449" s="159" t="s">
        <v>467</v>
      </c>
      <c r="O449" s="141"/>
      <c r="P449" s="141"/>
      <c r="Q449" s="141"/>
      <c r="R449" s="141"/>
    </row>
    <row r="450" spans="1:18">
      <c r="A450" s="14"/>
      <c r="B450" s="158" t="str">
        <f t="shared" si="80"/>
        <v>OPENING SONG</v>
      </c>
      <c r="C450" s="141"/>
      <c r="D450" s="141"/>
      <c r="E450" s="141"/>
      <c r="F450" s="141"/>
      <c r="G450" s="3"/>
      <c r="H450" s="170" t="s">
        <v>468</v>
      </c>
      <c r="I450" s="141"/>
      <c r="J450" s="141"/>
      <c r="K450" s="141"/>
      <c r="L450" s="141"/>
      <c r="M450" s="8"/>
      <c r="N450" s="160" t="s">
        <v>914</v>
      </c>
      <c r="O450" s="141"/>
      <c r="P450" s="141"/>
      <c r="Q450" s="141"/>
      <c r="R450" s="141"/>
    </row>
    <row r="451" spans="1:18">
      <c r="A451" s="14"/>
      <c r="B451" s="9"/>
      <c r="C451" s="10" t="str">
        <f t="shared" ref="C451:C459" si="81">UPPER(I451)</f>
        <v>COMPOSER &amp; ARRANGER</v>
      </c>
      <c r="D451" s="9"/>
      <c r="E451" s="9" t="str">
        <f t="shared" ref="E451:E459" si="82">UPPER(K451)</f>
        <v>DOLLY HWANG</v>
      </c>
      <c r="F451" s="9"/>
      <c r="G451" s="3"/>
      <c r="H451" s="8"/>
      <c r="I451" s="8" t="s">
        <v>469</v>
      </c>
      <c r="J451" s="3"/>
      <c r="K451" s="3" t="s">
        <v>453</v>
      </c>
      <c r="L451" s="3"/>
      <c r="M451" s="8"/>
      <c r="N451" s="2"/>
      <c r="O451" s="36" t="s">
        <v>915</v>
      </c>
      <c r="P451" s="2"/>
      <c r="Q451" s="2" t="s">
        <v>453</v>
      </c>
      <c r="R451" s="2"/>
    </row>
    <row r="452" spans="1:18">
      <c r="A452" s="14"/>
      <c r="B452" s="9"/>
      <c r="C452" s="10" t="str">
        <f t="shared" si="81"/>
        <v>LYRICS</v>
      </c>
      <c r="D452" s="9"/>
      <c r="E452" s="9" t="str">
        <f t="shared" si="82"/>
        <v>DOLLY HWANG</v>
      </c>
      <c r="F452" s="9"/>
      <c r="G452" s="3"/>
      <c r="H452" s="8"/>
      <c r="I452" s="8" t="s">
        <v>470</v>
      </c>
      <c r="J452" s="3"/>
      <c r="K452" s="3" t="s">
        <v>453</v>
      </c>
      <c r="L452" s="3"/>
      <c r="M452" s="8"/>
      <c r="N452" s="2"/>
      <c r="O452" s="36" t="s">
        <v>916</v>
      </c>
      <c r="P452" s="2"/>
      <c r="Q452" s="2" t="s">
        <v>453</v>
      </c>
      <c r="R452" s="2"/>
    </row>
    <row r="453" spans="1:18">
      <c r="A453" s="14"/>
      <c r="B453" s="9"/>
      <c r="C453" s="10" t="str">
        <f t="shared" si="81"/>
        <v/>
      </c>
      <c r="D453" s="9"/>
      <c r="E453" s="9" t="str">
        <f t="shared" si="82"/>
        <v/>
      </c>
      <c r="F453" s="9"/>
      <c r="G453" s="3"/>
      <c r="H453" s="171"/>
      <c r="I453" s="141"/>
      <c r="J453" s="141"/>
      <c r="K453" s="141"/>
      <c r="L453" s="141"/>
      <c r="M453" s="8"/>
      <c r="N453" s="2"/>
      <c r="O453" s="2"/>
      <c r="P453" s="2"/>
      <c r="Q453" s="2"/>
      <c r="R453" s="2"/>
    </row>
    <row r="454" spans="1:18">
      <c r="A454" s="14"/>
      <c r="B454" s="9"/>
      <c r="C454" s="10" t="str">
        <f t="shared" si="81"/>
        <v>VOCAL</v>
      </c>
      <c r="D454" s="9"/>
      <c r="E454" s="9" t="str">
        <f t="shared" si="82"/>
        <v>DOLLY HWANG</v>
      </c>
      <c r="F454" s="9"/>
      <c r="G454" s="3"/>
      <c r="H454" s="8"/>
      <c r="I454" s="8" t="s">
        <v>471</v>
      </c>
      <c r="J454" s="3"/>
      <c r="K454" s="3" t="s">
        <v>453</v>
      </c>
      <c r="L454" s="3"/>
      <c r="M454" s="8"/>
      <c r="N454" s="2"/>
      <c r="O454" s="36" t="s">
        <v>917</v>
      </c>
      <c r="P454" s="2"/>
      <c r="Q454" s="2" t="s">
        <v>453</v>
      </c>
      <c r="R454" s="2"/>
    </row>
    <row r="455" spans="1:18">
      <c r="A455" s="14"/>
      <c r="B455" s="9"/>
      <c r="C455" s="10" t="str">
        <f t="shared" si="81"/>
        <v>GUITAR</v>
      </c>
      <c r="D455" s="9"/>
      <c r="E455" s="9" t="str">
        <f t="shared" si="82"/>
        <v>DOLLY HWANG</v>
      </c>
      <c r="F455" s="9"/>
      <c r="G455" s="3"/>
      <c r="H455" s="8"/>
      <c r="I455" s="8" t="s">
        <v>460</v>
      </c>
      <c r="J455" s="3"/>
      <c r="K455" s="3" t="s">
        <v>453</v>
      </c>
      <c r="L455" s="3"/>
      <c r="M455" s="8"/>
      <c r="N455" s="2"/>
      <c r="O455" s="36" t="s">
        <v>909</v>
      </c>
      <c r="P455" s="2"/>
      <c r="Q455" s="2" t="s">
        <v>453</v>
      </c>
      <c r="R455" s="2"/>
    </row>
    <row r="456" spans="1:18">
      <c r="A456" s="14"/>
      <c r="B456" s="9"/>
      <c r="C456" s="10" t="str">
        <f t="shared" si="81"/>
        <v>BASS</v>
      </c>
      <c r="D456" s="9"/>
      <c r="E456" s="9" t="str">
        <f t="shared" si="82"/>
        <v>DOLLY HWANG</v>
      </c>
      <c r="F456" s="9"/>
      <c r="G456" s="3"/>
      <c r="H456" s="8"/>
      <c r="I456" s="8" t="s">
        <v>461</v>
      </c>
      <c r="J456" s="3"/>
      <c r="K456" s="3" t="s">
        <v>453</v>
      </c>
      <c r="L456" s="3"/>
      <c r="M456" s="8"/>
      <c r="N456" s="2"/>
      <c r="O456" s="36" t="s">
        <v>910</v>
      </c>
      <c r="P456" s="2"/>
      <c r="Q456" s="2" t="s">
        <v>453</v>
      </c>
      <c r="R456" s="2"/>
    </row>
    <row r="457" spans="1:18">
      <c r="A457" s="14"/>
      <c r="B457" s="9"/>
      <c r="C457" s="10" t="str">
        <f t="shared" si="81"/>
        <v>RECORDING STUDIO</v>
      </c>
      <c r="D457" s="9"/>
      <c r="E457" s="9" t="str">
        <f t="shared" si="82"/>
        <v>PURPLE MOON</v>
      </c>
      <c r="F457" s="9"/>
      <c r="G457" s="3"/>
      <c r="H457" s="8"/>
      <c r="I457" s="8" t="s">
        <v>465</v>
      </c>
      <c r="J457" s="3"/>
      <c r="K457" s="3" t="s">
        <v>472</v>
      </c>
      <c r="L457" s="3"/>
      <c r="M457" s="8"/>
      <c r="N457" s="2"/>
      <c r="O457" s="36" t="s">
        <v>882</v>
      </c>
      <c r="P457" s="2"/>
      <c r="Q457" s="2" t="s">
        <v>472</v>
      </c>
      <c r="R457" s="2"/>
    </row>
    <row r="458" spans="1:18">
      <c r="A458" s="14"/>
      <c r="B458" s="9"/>
      <c r="C458" s="10" t="str">
        <f t="shared" si="81"/>
        <v>RECORDING ENGINEER</v>
      </c>
      <c r="D458" s="9"/>
      <c r="E458" s="9" t="str">
        <f t="shared" si="82"/>
        <v>DOLLY HWANG</v>
      </c>
      <c r="F458" s="9"/>
      <c r="G458" s="3"/>
      <c r="H458" s="8"/>
      <c r="I458" s="8" t="s">
        <v>427</v>
      </c>
      <c r="J458" s="3"/>
      <c r="K458" s="3" t="s">
        <v>453</v>
      </c>
      <c r="L458" s="3"/>
      <c r="M458" s="8"/>
      <c r="N458" s="2"/>
      <c r="O458" s="36" t="s">
        <v>886</v>
      </c>
      <c r="P458" s="2"/>
      <c r="Q458" s="2" t="s">
        <v>453</v>
      </c>
      <c r="R458" s="2"/>
    </row>
    <row r="459" spans="1:18">
      <c r="A459" s="14"/>
      <c r="B459" s="9"/>
      <c r="C459" s="9" t="str">
        <f t="shared" si="81"/>
        <v/>
      </c>
      <c r="D459" s="9"/>
      <c r="E459" s="9" t="str">
        <f t="shared" si="82"/>
        <v/>
      </c>
      <c r="F459" s="9"/>
      <c r="G459" s="3"/>
      <c r="H459" s="8"/>
      <c r="I459" s="8"/>
      <c r="J459" s="3"/>
      <c r="K459" s="3"/>
      <c r="L459" s="3"/>
      <c r="M459" s="8"/>
      <c r="N459" s="2"/>
      <c r="O459" s="2"/>
      <c r="P459" s="2"/>
      <c r="Q459" s="2"/>
      <c r="R459" s="2"/>
    </row>
    <row r="460" spans="1:18">
      <c r="A460" s="14"/>
      <c r="B460" s="146" t="str">
        <f t="shared" ref="B460:B461" si="83">UPPER(H460)</f>
        <v>TEENAGE DREAMING</v>
      </c>
      <c r="C460" s="141"/>
      <c r="D460" s="141"/>
      <c r="E460" s="141"/>
      <c r="F460" s="141"/>
      <c r="G460" s="3"/>
      <c r="H460" s="161" t="s">
        <v>473</v>
      </c>
      <c r="I460" s="141"/>
      <c r="J460" s="141"/>
      <c r="K460" s="141"/>
      <c r="L460" s="141"/>
      <c r="M460" s="8"/>
      <c r="N460" s="161" t="s">
        <v>473</v>
      </c>
      <c r="O460" s="141"/>
      <c r="P460" s="141"/>
      <c r="Q460" s="141"/>
      <c r="R460" s="141"/>
    </row>
    <row r="461" spans="1:18">
      <c r="A461" s="14"/>
      <c r="B461" s="158" t="str">
        <f t="shared" si="83"/>
        <v>ENDING SONG</v>
      </c>
      <c r="C461" s="141"/>
      <c r="D461" s="141"/>
      <c r="E461" s="141"/>
      <c r="F461" s="141"/>
      <c r="G461" s="3"/>
      <c r="H461" s="162" t="s">
        <v>474</v>
      </c>
      <c r="I461" s="141"/>
      <c r="J461" s="141"/>
      <c r="K461" s="141"/>
      <c r="L461" s="141"/>
      <c r="M461" s="8"/>
      <c r="N461" s="162" t="s">
        <v>918</v>
      </c>
      <c r="O461" s="141"/>
      <c r="P461" s="141"/>
      <c r="Q461" s="141"/>
      <c r="R461" s="141"/>
    </row>
    <row r="462" spans="1:18">
      <c r="A462" s="14"/>
      <c r="B462" s="9"/>
      <c r="C462" s="10" t="str">
        <f t="shared" ref="C462:C470" si="84">UPPER(I462)</f>
        <v>COMPOSER &amp; ARRANGER</v>
      </c>
      <c r="D462" s="9"/>
      <c r="E462" s="9" t="str">
        <f t="shared" ref="E462:E470" si="85">UPPER(K462)</f>
        <v>DOLLY HWANG</v>
      </c>
      <c r="F462" s="9"/>
      <c r="G462" s="3"/>
      <c r="H462" s="55"/>
      <c r="I462" s="36" t="s">
        <v>469</v>
      </c>
      <c r="J462" s="55"/>
      <c r="K462" s="2" t="s">
        <v>453</v>
      </c>
      <c r="L462" s="55"/>
      <c r="M462" s="8"/>
      <c r="N462" s="2"/>
      <c r="O462" s="36" t="s">
        <v>915</v>
      </c>
      <c r="P462" s="2"/>
      <c r="Q462" s="2" t="s">
        <v>453</v>
      </c>
      <c r="R462" s="2"/>
    </row>
    <row r="463" spans="1:18">
      <c r="A463" s="14"/>
      <c r="B463" s="9"/>
      <c r="C463" s="10" t="str">
        <f t="shared" si="84"/>
        <v>LYRICS</v>
      </c>
      <c r="D463" s="9"/>
      <c r="E463" s="9" t="str">
        <f t="shared" si="85"/>
        <v>PAUL Y. KIM</v>
      </c>
      <c r="F463" s="9"/>
      <c r="G463" s="3"/>
      <c r="H463" s="55"/>
      <c r="I463" s="36" t="s">
        <v>470</v>
      </c>
      <c r="J463" s="55"/>
      <c r="K463" s="2" t="s">
        <v>475</v>
      </c>
      <c r="L463" s="55"/>
      <c r="M463" s="8"/>
      <c r="N463" s="2"/>
      <c r="O463" s="36" t="s">
        <v>916</v>
      </c>
      <c r="P463" s="2"/>
      <c r="Q463" s="2" t="s">
        <v>475</v>
      </c>
      <c r="R463" s="2"/>
    </row>
    <row r="464" spans="1:18">
      <c r="A464" s="14"/>
      <c r="B464" s="9"/>
      <c r="C464" s="10" t="str">
        <f t="shared" si="84"/>
        <v/>
      </c>
      <c r="D464" s="9"/>
      <c r="E464" s="9" t="str">
        <f t="shared" si="85"/>
        <v/>
      </c>
      <c r="F464" s="9"/>
      <c r="G464" s="3"/>
      <c r="H464" s="171"/>
      <c r="I464" s="141"/>
      <c r="J464" s="141"/>
      <c r="K464" s="141"/>
      <c r="L464" s="141"/>
      <c r="M464" s="8"/>
      <c r="N464" s="2"/>
      <c r="O464" s="2"/>
      <c r="P464" s="2"/>
      <c r="Q464" s="2"/>
      <c r="R464" s="2"/>
    </row>
    <row r="465" spans="1:18">
      <c r="A465" s="14"/>
      <c r="B465" s="9"/>
      <c r="C465" s="10" t="str">
        <f t="shared" si="84"/>
        <v>VOCAL</v>
      </c>
      <c r="D465" s="9"/>
      <c r="E465" s="9" t="str">
        <f t="shared" si="85"/>
        <v>DOLLY HWANG</v>
      </c>
      <c r="F465" s="9"/>
      <c r="G465" s="3"/>
      <c r="H465" s="55"/>
      <c r="I465" s="36" t="s">
        <v>471</v>
      </c>
      <c r="J465" s="55"/>
      <c r="K465" s="2" t="s">
        <v>453</v>
      </c>
      <c r="L465" s="55"/>
      <c r="M465" s="8"/>
      <c r="N465" s="2"/>
      <c r="O465" s="36" t="s">
        <v>917</v>
      </c>
      <c r="P465" s="2"/>
      <c r="Q465" s="2" t="s">
        <v>453</v>
      </c>
      <c r="R465" s="2"/>
    </row>
    <row r="466" spans="1:18">
      <c r="A466" s="14"/>
      <c r="B466" s="9"/>
      <c r="C466" s="10" t="str">
        <f t="shared" si="84"/>
        <v>GUITAR</v>
      </c>
      <c r="D466" s="9"/>
      <c r="E466" s="9" t="str">
        <f t="shared" si="85"/>
        <v>DOLLY HWANG</v>
      </c>
      <c r="F466" s="9"/>
      <c r="G466" s="3"/>
      <c r="H466" s="55"/>
      <c r="I466" s="36" t="s">
        <v>460</v>
      </c>
      <c r="J466" s="55"/>
      <c r="K466" s="2" t="s">
        <v>453</v>
      </c>
      <c r="L466" s="55"/>
      <c r="M466" s="8"/>
      <c r="N466" s="2"/>
      <c r="O466" s="36" t="s">
        <v>909</v>
      </c>
      <c r="P466" s="2"/>
      <c r="Q466" s="2" t="s">
        <v>453</v>
      </c>
      <c r="R466" s="2"/>
    </row>
    <row r="467" spans="1:18">
      <c r="A467" s="14"/>
      <c r="B467" s="9"/>
      <c r="C467" s="10" t="str">
        <f t="shared" si="84"/>
        <v>BASS</v>
      </c>
      <c r="D467" s="9"/>
      <c r="E467" s="9" t="str">
        <f t="shared" si="85"/>
        <v>DOLLY HWANG</v>
      </c>
      <c r="F467" s="9"/>
      <c r="G467" s="3"/>
      <c r="H467" s="55"/>
      <c r="I467" s="36" t="s">
        <v>461</v>
      </c>
      <c r="J467" s="55"/>
      <c r="K467" s="2" t="s">
        <v>453</v>
      </c>
      <c r="L467" s="55"/>
      <c r="M467" s="8"/>
      <c r="N467" s="2"/>
      <c r="O467" s="36" t="s">
        <v>910</v>
      </c>
      <c r="P467" s="2"/>
      <c r="Q467" s="2" t="s">
        <v>453</v>
      </c>
      <c r="R467" s="2"/>
    </row>
    <row r="468" spans="1:18">
      <c r="A468" s="14"/>
      <c r="B468" s="9"/>
      <c r="C468" s="10" t="str">
        <f t="shared" si="84"/>
        <v>RECORDING STUDIO</v>
      </c>
      <c r="D468" s="9"/>
      <c r="E468" s="9" t="str">
        <f t="shared" si="85"/>
        <v>PURPLE MOON</v>
      </c>
      <c r="F468" s="9"/>
      <c r="G468" s="3"/>
      <c r="H468" s="55"/>
      <c r="I468" s="36" t="s">
        <v>465</v>
      </c>
      <c r="J468" s="55"/>
      <c r="K468" s="2" t="s">
        <v>472</v>
      </c>
      <c r="L468" s="55"/>
      <c r="M468" s="8"/>
      <c r="N468" s="2"/>
      <c r="O468" s="36" t="s">
        <v>882</v>
      </c>
      <c r="P468" s="2"/>
      <c r="Q468" s="2" t="s">
        <v>472</v>
      </c>
      <c r="R468" s="2"/>
    </row>
    <row r="469" spans="1:18">
      <c r="A469" s="14"/>
      <c r="B469" s="9"/>
      <c r="C469" s="10" t="str">
        <f t="shared" si="84"/>
        <v>RECORDING ENGINEER</v>
      </c>
      <c r="D469" s="9"/>
      <c r="E469" s="9" t="str">
        <f t="shared" si="85"/>
        <v>DOLLY HWANG</v>
      </c>
      <c r="F469" s="9"/>
      <c r="G469" s="3"/>
      <c r="H469" s="55"/>
      <c r="I469" s="36" t="s">
        <v>427</v>
      </c>
      <c r="J469" s="55"/>
      <c r="K469" s="2" t="s">
        <v>453</v>
      </c>
      <c r="L469" s="55"/>
      <c r="M469" s="8"/>
      <c r="N469" s="2"/>
      <c r="O469" s="36" t="s">
        <v>886</v>
      </c>
      <c r="P469" s="2"/>
      <c r="Q469" s="2" t="s">
        <v>453</v>
      </c>
      <c r="R469" s="2"/>
    </row>
    <row r="470" spans="1:18">
      <c r="A470" s="14"/>
      <c r="B470" s="9"/>
      <c r="C470" s="9" t="str">
        <f t="shared" si="84"/>
        <v/>
      </c>
      <c r="D470" s="9"/>
      <c r="E470" s="9" t="str">
        <f t="shared" si="85"/>
        <v/>
      </c>
      <c r="F470" s="9"/>
      <c r="G470" s="3"/>
      <c r="H470" s="3"/>
      <c r="I470" s="8"/>
      <c r="J470" s="3"/>
      <c r="K470" s="3"/>
      <c r="L470" s="3"/>
      <c r="M470" s="8"/>
      <c r="N470" s="8"/>
      <c r="O470" s="21"/>
      <c r="P470" s="3"/>
      <c r="Q470" s="3"/>
      <c r="R470" s="3"/>
    </row>
    <row r="471" spans="1:18">
      <c r="A471" s="14"/>
      <c r="B471" s="11"/>
      <c r="C471" s="11"/>
      <c r="D471" s="11"/>
      <c r="E471" s="11"/>
      <c r="F471" s="11"/>
      <c r="G471" s="3"/>
      <c r="H471" s="3"/>
      <c r="I471" s="8"/>
      <c r="J471" s="3"/>
      <c r="K471" s="3"/>
      <c r="L471" s="3"/>
      <c r="M471" s="8"/>
      <c r="N471" s="8"/>
      <c r="O471" s="21"/>
      <c r="P471" s="3"/>
      <c r="Q471" s="3"/>
      <c r="R471" s="3"/>
    </row>
    <row r="472" spans="1:18">
      <c r="A472" s="14"/>
      <c r="B472" s="6"/>
      <c r="C472" s="6"/>
      <c r="D472" s="6"/>
      <c r="E472" s="6"/>
      <c r="F472" s="6"/>
      <c r="G472" s="3"/>
      <c r="H472" s="5"/>
      <c r="I472" s="5"/>
      <c r="J472" s="5"/>
      <c r="K472" s="5"/>
      <c r="L472" s="5"/>
      <c r="M472" s="8"/>
      <c r="N472" s="8"/>
      <c r="O472" s="21"/>
      <c r="P472" s="3"/>
      <c r="Q472" s="3"/>
      <c r="R472" s="3"/>
    </row>
    <row r="473" spans="1:18">
      <c r="A473" s="14"/>
      <c r="B473" s="150" t="str">
        <f t="shared" ref="B473:B475" si="86">UPPER(H473)</f>
        <v>POST PRODUCTION / ORIGINAL SCORES &amp; SONGS</v>
      </c>
      <c r="C473" s="141"/>
      <c r="D473" s="141"/>
      <c r="E473" s="141"/>
      <c r="F473" s="141"/>
      <c r="G473" s="28"/>
      <c r="H473" s="167" t="s">
        <v>435</v>
      </c>
      <c r="I473" s="141"/>
      <c r="J473" s="141"/>
      <c r="K473" s="141"/>
      <c r="L473" s="141"/>
      <c r="M473" s="29"/>
      <c r="N473" s="149" t="s">
        <v>888</v>
      </c>
      <c r="O473" s="141"/>
      <c r="P473" s="141"/>
      <c r="Q473" s="141"/>
      <c r="R473" s="141"/>
    </row>
    <row r="474" spans="1:18">
      <c r="A474" s="14"/>
      <c r="B474" s="146" t="str">
        <f t="shared" si="86"/>
        <v>MUSIC BY EPISODE</v>
      </c>
      <c r="C474" s="141"/>
      <c r="D474" s="141"/>
      <c r="E474" s="141"/>
      <c r="F474" s="141"/>
      <c r="G474" s="3"/>
      <c r="H474" s="149" t="s">
        <v>476</v>
      </c>
      <c r="I474" s="141"/>
      <c r="J474" s="141"/>
      <c r="K474" s="141"/>
      <c r="L474" s="141"/>
      <c r="M474" s="8"/>
      <c r="N474" s="149" t="s">
        <v>919</v>
      </c>
      <c r="O474" s="141"/>
      <c r="P474" s="141"/>
      <c r="Q474" s="141"/>
      <c r="R474" s="141"/>
    </row>
    <row r="475" spans="1:18">
      <c r="A475" s="14"/>
      <c r="B475" s="146" t="str">
        <f t="shared" si="86"/>
        <v/>
      </c>
      <c r="C475" s="141"/>
      <c r="D475" s="141"/>
      <c r="E475" s="141"/>
      <c r="F475" s="141"/>
      <c r="G475" s="3"/>
      <c r="H475" s="149"/>
      <c r="I475" s="141"/>
      <c r="J475" s="141"/>
      <c r="K475" s="141"/>
      <c r="L475" s="141"/>
      <c r="M475" s="8"/>
      <c r="N475" s="149"/>
      <c r="O475" s="141"/>
      <c r="P475" s="141"/>
      <c r="Q475" s="141"/>
      <c r="R475" s="141"/>
    </row>
    <row r="476" spans="1:18">
      <c r="A476" s="14"/>
      <c r="B476" s="42"/>
      <c r="C476" s="10" t="str">
        <f t="shared" ref="C476:C486" si="87">UPPER(I476)</f>
        <v>MUSIC SUPERVISOR</v>
      </c>
      <c r="D476" s="42"/>
      <c r="E476" s="57" t="str">
        <f t="shared" ref="E476:E486" si="88">UPPER(K476)</f>
        <v>YOONHO KIM</v>
      </c>
      <c r="F476" s="42"/>
      <c r="G476" s="3"/>
      <c r="H476" s="3"/>
      <c r="I476" s="30" t="s">
        <v>447</v>
      </c>
      <c r="J476" s="24"/>
      <c r="K476" s="22" t="s">
        <v>448</v>
      </c>
      <c r="L476" s="3"/>
      <c r="M476" s="8"/>
      <c r="N476" s="3"/>
      <c r="O476" s="8" t="s">
        <v>898</v>
      </c>
      <c r="P476" s="3"/>
      <c r="Q476" s="3" t="s">
        <v>899</v>
      </c>
      <c r="R476" s="3"/>
    </row>
    <row r="477" spans="1:18">
      <c r="A477" s="14"/>
      <c r="B477" s="42"/>
      <c r="C477" s="10" t="str">
        <f t="shared" si="87"/>
        <v/>
      </c>
      <c r="D477" s="42"/>
      <c r="E477" s="57" t="str">
        <f t="shared" si="88"/>
        <v/>
      </c>
      <c r="F477" s="42"/>
      <c r="G477" s="3"/>
      <c r="H477" s="3"/>
      <c r="I477" s="30"/>
      <c r="J477" s="14"/>
      <c r="K477" s="22"/>
      <c r="L477" s="3"/>
      <c r="M477" s="8"/>
      <c r="N477" s="3"/>
      <c r="O477" s="8"/>
      <c r="P477" s="3"/>
      <c r="Q477" s="3"/>
      <c r="R477" s="3"/>
    </row>
    <row r="478" spans="1:18">
      <c r="A478" s="14"/>
      <c r="B478" s="42"/>
      <c r="C478" s="10" t="str">
        <f t="shared" si="87"/>
        <v>LEAD COMPOSER</v>
      </c>
      <c r="D478" s="42"/>
      <c r="E478" s="57" t="str">
        <f t="shared" si="88"/>
        <v>SIEUN KIM</v>
      </c>
      <c r="F478" s="42"/>
      <c r="G478" s="3"/>
      <c r="H478" s="5"/>
      <c r="I478" s="30" t="s">
        <v>449</v>
      </c>
      <c r="J478" s="24"/>
      <c r="K478" s="22" t="s">
        <v>463</v>
      </c>
      <c r="L478" s="5"/>
      <c r="M478" s="8"/>
      <c r="N478" s="3"/>
      <c r="O478" s="8" t="s">
        <v>900</v>
      </c>
      <c r="P478" s="3"/>
      <c r="Q478" s="3" t="s">
        <v>901</v>
      </c>
      <c r="R478" s="3"/>
    </row>
    <row r="479" spans="1:18">
      <c r="A479" s="14"/>
      <c r="B479" s="42"/>
      <c r="C479" s="10" t="str">
        <f t="shared" si="87"/>
        <v/>
      </c>
      <c r="D479" s="42"/>
      <c r="E479" s="57" t="str">
        <f t="shared" si="88"/>
        <v/>
      </c>
      <c r="F479" s="42"/>
      <c r="G479" s="3"/>
      <c r="H479" s="3"/>
      <c r="I479" s="30"/>
      <c r="J479" s="75"/>
      <c r="K479" s="22"/>
      <c r="L479" s="3"/>
      <c r="M479" s="8"/>
      <c r="N479" s="3"/>
      <c r="O479" s="8"/>
      <c r="P479" s="3"/>
      <c r="Q479" s="3"/>
      <c r="R479" s="3"/>
    </row>
    <row r="480" spans="1:18">
      <c r="A480" s="14"/>
      <c r="B480" s="42"/>
      <c r="C480" s="10" t="str">
        <f t="shared" si="87"/>
        <v>ADDITIONAL COMPOSER</v>
      </c>
      <c r="D480" s="42"/>
      <c r="E480" s="57" t="str">
        <f t="shared" si="88"/>
        <v>NAYEON LEE</v>
      </c>
      <c r="F480" s="42"/>
      <c r="G480" s="3"/>
      <c r="H480" s="3"/>
      <c r="I480" s="30" t="s">
        <v>451</v>
      </c>
      <c r="J480" s="24"/>
      <c r="K480" s="22" t="s">
        <v>640</v>
      </c>
      <c r="L480" s="3"/>
      <c r="M480" s="8"/>
      <c r="N480" s="3"/>
      <c r="O480" s="8" t="s">
        <v>902</v>
      </c>
      <c r="P480" s="3"/>
      <c r="Q480" s="3" t="s">
        <v>903</v>
      </c>
      <c r="R480" s="3"/>
    </row>
    <row r="481" spans="1:18">
      <c r="A481" s="14"/>
      <c r="B481" s="42"/>
      <c r="C481" s="10" t="str">
        <f t="shared" si="87"/>
        <v/>
      </c>
      <c r="D481" s="42"/>
      <c r="E481" s="57" t="str">
        <f t="shared" si="88"/>
        <v>JIAE YU</v>
      </c>
      <c r="F481" s="42"/>
      <c r="G481" s="3"/>
      <c r="H481" s="3"/>
      <c r="I481" s="30"/>
      <c r="J481" s="24"/>
      <c r="K481" s="22" t="s">
        <v>458</v>
      </c>
      <c r="L481" s="3"/>
      <c r="M481" s="8"/>
      <c r="N481" s="3"/>
      <c r="O481" s="8"/>
      <c r="P481" s="3"/>
      <c r="Q481" s="20" t="s">
        <v>907</v>
      </c>
      <c r="R481" s="3"/>
    </row>
    <row r="482" spans="1:18">
      <c r="A482" s="14"/>
      <c r="B482" s="42"/>
      <c r="C482" s="10" t="str">
        <f t="shared" si="87"/>
        <v/>
      </c>
      <c r="D482" s="42"/>
      <c r="E482" s="57" t="str">
        <f t="shared" si="88"/>
        <v/>
      </c>
      <c r="F482" s="42"/>
      <c r="G482" s="3"/>
      <c r="H482" s="3"/>
      <c r="I482" s="44"/>
      <c r="J482" s="14"/>
      <c r="K482" s="14"/>
      <c r="L482" s="3"/>
      <c r="M482" s="8"/>
      <c r="N482" s="3"/>
      <c r="O482" s="8"/>
      <c r="P482" s="3"/>
      <c r="Q482" s="3"/>
      <c r="R482" s="3"/>
    </row>
    <row r="483" spans="1:18">
      <c r="A483" s="14"/>
      <c r="B483" s="42"/>
      <c r="C483" s="10" t="str">
        <f t="shared" si="87"/>
        <v>LEAD SOUND DESIGNER</v>
      </c>
      <c r="D483" s="42"/>
      <c r="E483" s="57" t="str">
        <f t="shared" si="88"/>
        <v>HYEJEONG HWANG</v>
      </c>
      <c r="F483" s="42"/>
      <c r="G483" s="3"/>
      <c r="H483" s="3"/>
      <c r="I483" s="30" t="s">
        <v>478</v>
      </c>
      <c r="J483" s="24"/>
      <c r="K483" s="22" t="s">
        <v>441</v>
      </c>
      <c r="L483" s="3"/>
      <c r="M483" s="8"/>
      <c r="N483" s="3"/>
      <c r="O483" s="8" t="s">
        <v>920</v>
      </c>
      <c r="P483" s="3"/>
      <c r="Q483" s="3" t="s">
        <v>885</v>
      </c>
      <c r="R483" s="3"/>
    </row>
    <row r="484" spans="1:18">
      <c r="A484" s="14"/>
      <c r="B484" s="42"/>
      <c r="C484" s="10" t="str">
        <f t="shared" si="87"/>
        <v/>
      </c>
      <c r="D484" s="42"/>
      <c r="E484" s="57" t="str">
        <f t="shared" si="88"/>
        <v/>
      </c>
      <c r="F484" s="42"/>
      <c r="G484" s="3"/>
      <c r="H484" s="3"/>
      <c r="I484" s="30"/>
      <c r="J484" s="24"/>
      <c r="K484" s="22"/>
      <c r="L484" s="3"/>
      <c r="M484" s="8"/>
      <c r="N484" s="3"/>
      <c r="O484" s="8"/>
      <c r="P484" s="3"/>
      <c r="Q484" s="3"/>
      <c r="R484" s="3"/>
    </row>
    <row r="485" spans="1:18">
      <c r="A485" s="14"/>
      <c r="B485" s="42"/>
      <c r="C485" s="10" t="str">
        <f t="shared" si="87"/>
        <v>FOLEY DESIGNER</v>
      </c>
      <c r="D485" s="42"/>
      <c r="E485" s="57" t="str">
        <f t="shared" si="88"/>
        <v>TAEHUN KIM</v>
      </c>
      <c r="F485" s="42"/>
      <c r="G485" s="3"/>
      <c r="H485" s="3"/>
      <c r="I485" s="30" t="s">
        <v>479</v>
      </c>
      <c r="J485" s="24"/>
      <c r="K485" s="22" t="s">
        <v>480</v>
      </c>
      <c r="L485" s="3"/>
      <c r="M485" s="8"/>
      <c r="N485" s="3"/>
      <c r="O485" s="8" t="s">
        <v>921</v>
      </c>
      <c r="P485" s="3"/>
      <c r="Q485" s="3" t="s">
        <v>922</v>
      </c>
      <c r="R485" s="3"/>
    </row>
    <row r="486" spans="1:18">
      <c r="A486" s="14"/>
      <c r="B486" s="42"/>
      <c r="C486" s="42" t="str">
        <f t="shared" si="87"/>
        <v/>
      </c>
      <c r="D486" s="42"/>
      <c r="E486" s="57" t="str">
        <f t="shared" si="88"/>
        <v/>
      </c>
      <c r="F486" s="42"/>
      <c r="G486" s="3"/>
      <c r="H486" s="3"/>
      <c r="I486" s="8"/>
      <c r="J486" s="3"/>
      <c r="K486" s="3"/>
      <c r="L486" s="3"/>
      <c r="M486" s="8"/>
      <c r="N486" s="8"/>
      <c r="O486" s="21"/>
      <c r="P486" s="3"/>
      <c r="Q486" s="20"/>
      <c r="R486" s="3"/>
    </row>
    <row r="487" spans="1:18">
      <c r="A487" s="14"/>
      <c r="B487" s="3"/>
      <c r="C487" s="3"/>
      <c r="D487" s="3"/>
      <c r="E487" s="80"/>
      <c r="F487" s="3"/>
      <c r="G487" s="3"/>
      <c r="H487" s="3"/>
      <c r="I487" s="8"/>
      <c r="J487" s="3"/>
      <c r="K487" s="3"/>
      <c r="L487" s="3"/>
      <c r="M487" s="8"/>
      <c r="N487" s="8"/>
      <c r="O487" s="8"/>
      <c r="P487" s="3"/>
      <c r="Q487" s="3"/>
      <c r="R487" s="3"/>
    </row>
    <row r="488" spans="1:18">
      <c r="A488" s="14"/>
      <c r="B488" s="58"/>
      <c r="C488" s="58"/>
      <c r="D488" s="58"/>
      <c r="E488" s="58"/>
      <c r="F488" s="58"/>
      <c r="G488" s="3"/>
      <c r="H488" s="5"/>
      <c r="I488" s="5"/>
      <c r="J488" s="5"/>
      <c r="K488" s="5"/>
      <c r="L488" s="5"/>
      <c r="M488" s="8"/>
      <c r="N488" s="8"/>
      <c r="O488" s="8"/>
      <c r="P488" s="3"/>
      <c r="Q488" s="3"/>
      <c r="R488" s="3"/>
    </row>
    <row r="489" spans="1:18">
      <c r="A489" s="14"/>
      <c r="B489" s="153" t="str">
        <f>UPPER(H489)</f>
        <v>MASTERING</v>
      </c>
      <c r="C489" s="141"/>
      <c r="D489" s="141"/>
      <c r="E489" s="141"/>
      <c r="F489" s="141"/>
      <c r="G489" s="28"/>
      <c r="H489" s="167" t="s">
        <v>481</v>
      </c>
      <c r="I489" s="141"/>
      <c r="J489" s="141"/>
      <c r="K489" s="141"/>
      <c r="L489" s="141"/>
      <c r="M489" s="29"/>
      <c r="N489" s="149" t="s">
        <v>923</v>
      </c>
      <c r="O489" s="141"/>
      <c r="P489" s="141"/>
      <c r="Q489" s="141"/>
      <c r="R489" s="141"/>
    </row>
    <row r="490" spans="1:18">
      <c r="A490" s="14"/>
      <c r="B490" s="42"/>
      <c r="C490" s="10"/>
      <c r="D490" s="42"/>
      <c r="E490" s="57"/>
      <c r="F490" s="59"/>
      <c r="G490" s="3"/>
      <c r="H490" s="3"/>
      <c r="I490" s="8"/>
      <c r="J490" s="3"/>
      <c r="K490" s="3"/>
      <c r="L490" s="3"/>
      <c r="M490" s="8"/>
      <c r="N490" s="3"/>
      <c r="O490" s="8"/>
      <c r="P490" s="3"/>
      <c r="Q490" s="3"/>
      <c r="R490" s="3"/>
    </row>
    <row r="491" spans="1:18">
      <c r="A491" s="14"/>
      <c r="B491" s="42" t="str">
        <f t="shared" ref="B491:C491" si="89">UPPER(H491)</f>
        <v/>
      </c>
      <c r="C491" s="10" t="str">
        <f t="shared" si="89"/>
        <v>STUDIO</v>
      </c>
      <c r="D491" s="42"/>
      <c r="E491" s="57" t="str">
        <f>UPPER(K491)</f>
        <v>SBA</v>
      </c>
      <c r="F491" s="59"/>
      <c r="G491" s="3"/>
      <c r="H491" s="3"/>
      <c r="I491" s="8" t="s">
        <v>482</v>
      </c>
      <c r="J491" s="3"/>
      <c r="K491" s="3" t="s">
        <v>483</v>
      </c>
      <c r="L491" s="3"/>
      <c r="M491" s="8"/>
      <c r="N491" s="3"/>
      <c r="O491" s="8" t="s">
        <v>924</v>
      </c>
      <c r="P491" s="3"/>
      <c r="Q491" s="3" t="s">
        <v>483</v>
      </c>
      <c r="R491" s="3"/>
    </row>
    <row r="492" spans="1:18">
      <c r="A492" s="14"/>
      <c r="B492" s="42"/>
      <c r="C492" s="10"/>
      <c r="D492" s="42"/>
      <c r="E492" s="57"/>
      <c r="F492" s="59"/>
      <c r="G492" s="3"/>
      <c r="H492" s="3"/>
      <c r="I492" s="8"/>
      <c r="J492" s="3"/>
      <c r="K492" s="3"/>
      <c r="L492" s="3"/>
      <c r="M492" s="8"/>
      <c r="N492" s="3"/>
      <c r="O492" s="3"/>
      <c r="P492" s="3"/>
      <c r="Q492" s="3"/>
      <c r="R492" s="3"/>
    </row>
    <row r="493" spans="1:18">
      <c r="A493" s="14"/>
      <c r="B493" s="42"/>
      <c r="C493" s="10" t="str">
        <f>UPPER(I493)</f>
        <v>STUDIO DEPT. DIRECTOR</v>
      </c>
      <c r="D493" s="42"/>
      <c r="E493" s="57" t="str">
        <f>UPPER(K493)</f>
        <v>JONGMIN HAHM</v>
      </c>
      <c r="F493" s="59"/>
      <c r="G493" s="3"/>
      <c r="H493" s="3"/>
      <c r="I493" s="8" t="s">
        <v>484</v>
      </c>
      <c r="J493" s="3"/>
      <c r="K493" s="3" t="s">
        <v>485</v>
      </c>
      <c r="L493" s="3"/>
      <c r="M493" s="8"/>
      <c r="N493" s="3"/>
      <c r="O493" s="8" t="s">
        <v>925</v>
      </c>
      <c r="P493" s="3"/>
      <c r="Q493" s="3" t="s">
        <v>926</v>
      </c>
      <c r="R493" s="3"/>
    </row>
    <row r="494" spans="1:18">
      <c r="A494" s="14"/>
      <c r="B494" s="42"/>
      <c r="C494" s="10"/>
      <c r="D494" s="42"/>
      <c r="E494" s="57"/>
      <c r="F494" s="59"/>
      <c r="G494" s="3"/>
      <c r="H494" s="3"/>
      <c r="I494" s="8"/>
      <c r="J494" s="3"/>
      <c r="K494" s="3"/>
      <c r="L494" s="3"/>
      <c r="M494" s="8"/>
      <c r="N494" s="3"/>
      <c r="O494" s="3"/>
      <c r="P494" s="3"/>
      <c r="Q494" s="3"/>
      <c r="R494" s="3"/>
    </row>
    <row r="495" spans="1:18">
      <c r="A495" s="14"/>
      <c r="B495" s="42" t="str">
        <f t="shared" ref="B495:C495" si="90">UPPER(H495)</f>
        <v/>
      </c>
      <c r="C495" s="10" t="str">
        <f t="shared" si="90"/>
        <v>STUDIO MANAGER</v>
      </c>
      <c r="D495" s="42"/>
      <c r="E495" s="57" t="str">
        <f t="shared" ref="E495:E496" si="91">UPPER(K495)</f>
        <v>MYUNGHOON LEE</v>
      </c>
      <c r="F495" s="59"/>
      <c r="G495" s="3"/>
      <c r="H495" s="3"/>
      <c r="I495" s="8" t="s">
        <v>486</v>
      </c>
      <c r="J495" s="3"/>
      <c r="K495" s="3" t="s">
        <v>487</v>
      </c>
      <c r="L495" s="3"/>
      <c r="M495" s="8"/>
      <c r="N495" s="3"/>
      <c r="O495" s="8" t="s">
        <v>927</v>
      </c>
      <c r="P495" s="3"/>
      <c r="Q495" s="3" t="s">
        <v>928</v>
      </c>
      <c r="R495" s="3"/>
    </row>
    <row r="496" spans="1:18">
      <c r="A496" s="14"/>
      <c r="B496" s="42" t="str">
        <f t="shared" ref="B496:C496" si="92">UPPER(H496)</f>
        <v/>
      </c>
      <c r="C496" s="10" t="str">
        <f t="shared" si="92"/>
        <v/>
      </c>
      <c r="D496" s="42"/>
      <c r="E496" s="57" t="str">
        <f t="shared" si="91"/>
        <v>HAESU JEON</v>
      </c>
      <c r="F496" s="59"/>
      <c r="G496" s="3"/>
      <c r="H496" s="3"/>
      <c r="I496" s="8"/>
      <c r="J496" s="3"/>
      <c r="K496" s="3" t="s">
        <v>488</v>
      </c>
      <c r="L496" s="3"/>
      <c r="M496" s="8"/>
      <c r="N496" s="8"/>
      <c r="O496" s="3"/>
      <c r="P496" s="3"/>
      <c r="Q496" s="3" t="s">
        <v>929</v>
      </c>
      <c r="R496" s="3"/>
    </row>
    <row r="497" spans="1:18">
      <c r="A497" s="14"/>
      <c r="B497" s="9"/>
      <c r="C497" s="9"/>
      <c r="D497" s="9"/>
      <c r="E497" s="9"/>
      <c r="F497" s="9"/>
      <c r="G497" s="3"/>
      <c r="H497" s="3"/>
      <c r="I497" s="8"/>
      <c r="J497" s="3"/>
      <c r="K497" s="3"/>
      <c r="L497" s="3"/>
      <c r="M497" s="8"/>
      <c r="N497" s="8"/>
      <c r="O497" s="21"/>
      <c r="P497" s="3"/>
      <c r="Q497" s="3"/>
      <c r="R497" s="3"/>
    </row>
    <row r="498" spans="1:18">
      <c r="A498" s="14"/>
      <c r="B498" s="11"/>
      <c r="C498" s="12" t="str">
        <f>UPPER(I498)</f>
        <v/>
      </c>
      <c r="D498" s="11"/>
      <c r="E498" s="11" t="str">
        <f>UPPER(K498)</f>
        <v/>
      </c>
      <c r="F498" s="11"/>
      <c r="G498" s="3"/>
      <c r="H498" s="3"/>
      <c r="I498" s="8"/>
      <c r="J498" s="3"/>
      <c r="K498" s="13"/>
      <c r="L498" s="3"/>
      <c r="M498" s="8"/>
      <c r="N498" s="8"/>
      <c r="O498" s="21"/>
      <c r="P498" s="3"/>
      <c r="Q498" s="3"/>
      <c r="R498" s="3"/>
    </row>
    <row r="499" spans="1:18">
      <c r="A499" s="14"/>
      <c r="B499" s="58"/>
      <c r="C499" s="58"/>
      <c r="D499" s="58"/>
      <c r="E499" s="58"/>
      <c r="F499" s="58"/>
      <c r="G499" s="3"/>
      <c r="H499" s="5"/>
      <c r="I499" s="5"/>
      <c r="J499" s="5"/>
      <c r="K499" s="5"/>
      <c r="L499" s="5"/>
      <c r="M499" s="8"/>
      <c r="N499" s="8"/>
      <c r="O499" s="21"/>
      <c r="P499" s="3"/>
      <c r="Q499" s="3"/>
      <c r="R499" s="3"/>
    </row>
    <row r="500" spans="1:18">
      <c r="A500" s="14"/>
      <c r="B500" s="153" t="str">
        <f t="shared" ref="B500:B502" si="93">UPPER(H500)</f>
        <v>MASTERING</v>
      </c>
      <c r="C500" s="141"/>
      <c r="D500" s="141"/>
      <c r="E500" s="141"/>
      <c r="F500" s="141"/>
      <c r="G500" s="28"/>
      <c r="H500" s="167" t="s">
        <v>481</v>
      </c>
      <c r="I500" s="141"/>
      <c r="J500" s="141"/>
      <c r="K500" s="141"/>
      <c r="L500" s="141"/>
      <c r="M500" s="8"/>
      <c r="N500" s="149" t="s">
        <v>923</v>
      </c>
      <c r="O500" s="141"/>
      <c r="P500" s="141"/>
      <c r="Q500" s="141"/>
      <c r="R500" s="141"/>
    </row>
    <row r="501" spans="1:18">
      <c r="A501" s="14"/>
      <c r="B501" s="146" t="str">
        <f t="shared" si="93"/>
        <v>IYUNO</v>
      </c>
      <c r="C501" s="141"/>
      <c r="D501" s="141"/>
      <c r="E501" s="141"/>
      <c r="F501" s="141"/>
      <c r="G501" s="3"/>
      <c r="H501" s="169" t="s">
        <v>489</v>
      </c>
      <c r="I501" s="141"/>
      <c r="J501" s="141"/>
      <c r="K501" s="141"/>
      <c r="L501" s="141"/>
      <c r="M501" s="8"/>
      <c r="N501" s="155" t="s">
        <v>489</v>
      </c>
      <c r="O501" s="141"/>
      <c r="P501" s="141"/>
      <c r="Q501" s="141"/>
      <c r="R501" s="141"/>
    </row>
    <row r="502" spans="1:18">
      <c r="A502" s="14"/>
      <c r="B502" s="42" t="str">
        <f t="shared" si="93"/>
        <v/>
      </c>
      <c r="C502" s="10" t="str">
        <f t="shared" ref="C502:C505" si="94">UPPER(I502)</f>
        <v/>
      </c>
      <c r="D502" s="42"/>
      <c r="E502" s="57" t="str">
        <f t="shared" ref="E502:E511" si="95">UPPER(K502)</f>
        <v/>
      </c>
      <c r="F502" s="59"/>
      <c r="G502" s="3"/>
      <c r="H502" s="3"/>
      <c r="I502" s="8"/>
      <c r="J502" s="3"/>
      <c r="K502" s="3"/>
      <c r="L502" s="3"/>
      <c r="M502" s="8"/>
      <c r="N502" s="8"/>
      <c r="O502" s="21"/>
      <c r="P502" s="3"/>
      <c r="Q502" s="3"/>
      <c r="R502" s="3"/>
    </row>
    <row r="503" spans="1:18">
      <c r="A503" s="14"/>
      <c r="B503" s="42"/>
      <c r="C503" s="10" t="str">
        <f t="shared" si="94"/>
        <v>MEDIA OPERATIONS SUPERVISOR</v>
      </c>
      <c r="D503" s="42"/>
      <c r="E503" s="57" t="str">
        <f t="shared" si="95"/>
        <v>JINWOO YANG</v>
      </c>
      <c r="F503" s="59"/>
      <c r="G503" s="3"/>
      <c r="H503" s="3"/>
      <c r="I503" s="8" t="s">
        <v>490</v>
      </c>
      <c r="J503" s="3"/>
      <c r="K503" s="3" t="s">
        <v>491</v>
      </c>
      <c r="L503" s="3"/>
      <c r="M503" s="8"/>
      <c r="N503" s="8"/>
      <c r="O503" s="21" t="s">
        <v>930</v>
      </c>
      <c r="P503" s="3"/>
      <c r="Q503" s="3" t="s">
        <v>931</v>
      </c>
      <c r="R503" s="3"/>
    </row>
    <row r="504" spans="1:18">
      <c r="A504" s="14"/>
      <c r="B504" s="42"/>
      <c r="C504" s="10" t="str">
        <f t="shared" si="94"/>
        <v/>
      </c>
      <c r="D504" s="42"/>
      <c r="E504" s="57" t="str">
        <f t="shared" si="95"/>
        <v/>
      </c>
      <c r="F504" s="59"/>
      <c r="G504" s="3"/>
      <c r="H504" s="3"/>
      <c r="I504" s="8"/>
      <c r="J504" s="3"/>
      <c r="K504" s="3"/>
      <c r="L504" s="3"/>
      <c r="M504" s="8"/>
      <c r="N504" s="8"/>
      <c r="O504" s="21"/>
      <c r="P504" s="3"/>
      <c r="Q504" s="3"/>
      <c r="R504" s="3"/>
    </row>
    <row r="505" spans="1:18">
      <c r="A505" s="14"/>
      <c r="B505" s="42"/>
      <c r="C505" s="10" t="str">
        <f t="shared" si="94"/>
        <v>PROJECT MANAGER</v>
      </c>
      <c r="D505" s="42"/>
      <c r="E505" s="57" t="str">
        <f t="shared" si="95"/>
        <v>WONJEONG SONG</v>
      </c>
      <c r="F505" s="59"/>
      <c r="G505" s="3"/>
      <c r="H505" s="3"/>
      <c r="I505" s="8" t="s">
        <v>492</v>
      </c>
      <c r="J505" s="3"/>
      <c r="K505" s="3" t="s">
        <v>493</v>
      </c>
      <c r="L505" s="3"/>
      <c r="M505" s="8"/>
      <c r="N505" s="8"/>
      <c r="O505" s="21" t="s">
        <v>932</v>
      </c>
      <c r="P505" s="3"/>
      <c r="Q505" s="3" t="s">
        <v>933</v>
      </c>
      <c r="R505" s="3"/>
    </row>
    <row r="506" spans="1:18">
      <c r="A506" s="14"/>
      <c r="B506" s="42" t="str">
        <f t="shared" ref="B506:C506" si="96">UPPER(H506)</f>
        <v/>
      </c>
      <c r="C506" s="10" t="str">
        <f t="shared" si="96"/>
        <v/>
      </c>
      <c r="D506" s="42"/>
      <c r="E506" s="57" t="str">
        <f t="shared" si="95"/>
        <v/>
      </c>
      <c r="F506" s="59"/>
      <c r="G506" s="3"/>
      <c r="H506" s="3"/>
      <c r="I506" s="8"/>
      <c r="J506" s="3"/>
      <c r="K506" s="3"/>
      <c r="L506" s="3"/>
      <c r="M506" s="8"/>
      <c r="N506" s="8"/>
      <c r="O506" s="21"/>
      <c r="P506" s="3"/>
      <c r="Q506" s="3"/>
      <c r="R506" s="3"/>
    </row>
    <row r="507" spans="1:18">
      <c r="A507" s="14"/>
      <c r="B507" s="42" t="str">
        <f t="shared" ref="B507:C507" si="97">UPPER(H507)</f>
        <v/>
      </c>
      <c r="C507" s="10" t="str">
        <f t="shared" si="97"/>
        <v>VIDEO EDITOR</v>
      </c>
      <c r="D507" s="42"/>
      <c r="E507" s="57" t="str">
        <f t="shared" si="95"/>
        <v>SANGYOUNG CHO</v>
      </c>
      <c r="F507" s="59"/>
      <c r="G507" s="3"/>
      <c r="H507" s="3"/>
      <c r="I507" s="8" t="s">
        <v>494</v>
      </c>
      <c r="J507" s="3"/>
      <c r="K507" s="3" t="s">
        <v>495</v>
      </c>
      <c r="L507" s="3"/>
      <c r="M507" s="8"/>
      <c r="N507" s="8"/>
      <c r="O507" s="21" t="s">
        <v>934</v>
      </c>
      <c r="P507" s="3"/>
      <c r="Q507" s="3" t="s">
        <v>935</v>
      </c>
      <c r="R507" s="3"/>
    </row>
    <row r="508" spans="1:18">
      <c r="A508" s="14"/>
      <c r="B508" s="42"/>
      <c r="C508" s="10" t="str">
        <f t="shared" ref="C508:C511" si="98">UPPER(I508)</f>
        <v/>
      </c>
      <c r="D508" s="42"/>
      <c r="E508" s="57" t="str">
        <f t="shared" si="95"/>
        <v>JINAH JEONG</v>
      </c>
      <c r="F508" s="59"/>
      <c r="G508" s="3"/>
      <c r="H508" s="3"/>
      <c r="I508" s="8"/>
      <c r="J508" s="3"/>
      <c r="K508" s="3" t="s">
        <v>496</v>
      </c>
      <c r="L508" s="3"/>
      <c r="M508" s="8"/>
      <c r="N508" s="8"/>
      <c r="O508" s="21"/>
      <c r="P508" s="3"/>
      <c r="Q508" s="3" t="s">
        <v>936</v>
      </c>
      <c r="R508" s="3"/>
    </row>
    <row r="509" spans="1:18">
      <c r="A509" s="14"/>
      <c r="B509" s="42"/>
      <c r="C509" s="10" t="str">
        <f t="shared" si="98"/>
        <v/>
      </c>
      <c r="D509" s="42"/>
      <c r="E509" s="57" t="str">
        <f t="shared" si="95"/>
        <v>SONGI YOON</v>
      </c>
      <c r="F509" s="59"/>
      <c r="G509" s="3"/>
      <c r="H509" s="3"/>
      <c r="I509" s="8"/>
      <c r="J509" s="3"/>
      <c r="K509" s="3" t="s">
        <v>497</v>
      </c>
      <c r="L509" s="3"/>
      <c r="M509" s="8"/>
      <c r="N509" s="8"/>
      <c r="O509" s="21"/>
      <c r="P509" s="3"/>
      <c r="Q509" s="3" t="s">
        <v>937</v>
      </c>
      <c r="R509" s="3"/>
    </row>
    <row r="510" spans="1:18">
      <c r="A510" s="14"/>
      <c r="B510" s="42"/>
      <c r="C510" s="10" t="str">
        <f t="shared" si="98"/>
        <v/>
      </c>
      <c r="D510" s="42"/>
      <c r="E510" s="57" t="str">
        <f t="shared" si="95"/>
        <v/>
      </c>
      <c r="F510" s="59"/>
      <c r="G510" s="3"/>
      <c r="H510" s="3"/>
      <c r="I510" s="8"/>
      <c r="J510" s="3"/>
      <c r="K510" s="3"/>
      <c r="L510" s="3"/>
      <c r="M510" s="8"/>
      <c r="N510" s="8"/>
      <c r="O510" s="21"/>
      <c r="P510" s="3"/>
      <c r="Q510" s="3"/>
      <c r="R510" s="3"/>
    </row>
    <row r="511" spans="1:18">
      <c r="A511" s="14"/>
      <c r="B511" s="42"/>
      <c r="C511" s="10" t="str">
        <f t="shared" si="98"/>
        <v>ASSET MANAGER</v>
      </c>
      <c r="D511" s="42"/>
      <c r="E511" s="57" t="str">
        <f t="shared" si="95"/>
        <v>SANGMIN PARK</v>
      </c>
      <c r="F511" s="59"/>
      <c r="G511" s="3"/>
      <c r="H511" s="3"/>
      <c r="I511" s="8" t="s">
        <v>498</v>
      </c>
      <c r="J511" s="3"/>
      <c r="K511" s="3" t="s">
        <v>499</v>
      </c>
      <c r="L511" s="3"/>
      <c r="M511" s="8"/>
      <c r="N511" s="8"/>
      <c r="O511" s="21" t="s">
        <v>938</v>
      </c>
      <c r="P511" s="3"/>
      <c r="Q511" s="3" t="s">
        <v>939</v>
      </c>
      <c r="R511" s="3"/>
    </row>
    <row r="512" spans="1:18">
      <c r="A512" s="14"/>
      <c r="B512" s="42"/>
      <c r="C512" s="10"/>
      <c r="D512" s="42"/>
      <c r="E512" s="57"/>
      <c r="F512" s="59"/>
      <c r="G512" s="3"/>
      <c r="H512" s="3"/>
      <c r="I512" s="8"/>
      <c r="J512" s="3"/>
      <c r="K512" s="3"/>
      <c r="L512" s="3"/>
      <c r="M512" s="8"/>
      <c r="N512" s="8"/>
      <c r="O512" s="21"/>
      <c r="P512" s="3"/>
      <c r="Q512" s="3"/>
      <c r="R512" s="3"/>
    </row>
    <row r="513" spans="1:18">
      <c r="A513" s="14"/>
      <c r="B513" s="11"/>
      <c r="C513" s="12"/>
      <c r="D513" s="11"/>
      <c r="E513" s="11"/>
      <c r="F513" s="11"/>
      <c r="G513" s="3"/>
      <c r="H513" s="3"/>
      <c r="I513" s="8"/>
      <c r="J513" s="3"/>
      <c r="K513" s="13"/>
      <c r="L513" s="3"/>
      <c r="M513" s="8"/>
      <c r="N513" s="8"/>
      <c r="O513" s="21"/>
      <c r="P513" s="3"/>
      <c r="Q513" s="3"/>
      <c r="R513" s="3"/>
    </row>
    <row r="514" spans="1:18">
      <c r="A514" s="14"/>
      <c r="B514" s="6"/>
      <c r="C514" s="6"/>
      <c r="D514" s="6"/>
      <c r="E514" s="6"/>
      <c r="F514" s="6"/>
      <c r="G514" s="3"/>
      <c r="H514" s="5"/>
      <c r="I514" s="5"/>
      <c r="J514" s="5"/>
      <c r="K514" s="5"/>
      <c r="L514" s="5"/>
      <c r="M514" s="8"/>
      <c r="N514" s="8"/>
      <c r="O514" s="21"/>
      <c r="P514" s="3"/>
      <c r="Q514" s="3"/>
      <c r="R514" s="3"/>
    </row>
    <row r="515" spans="1:18">
      <c r="A515" s="14"/>
      <c r="B515" s="150" t="str">
        <f>UPPER(H515)</f>
        <v>TENCENT VIDEO</v>
      </c>
      <c r="C515" s="141"/>
      <c r="D515" s="141"/>
      <c r="E515" s="141"/>
      <c r="F515" s="141"/>
      <c r="G515" s="28"/>
      <c r="H515" s="167" t="s">
        <v>500</v>
      </c>
      <c r="I515" s="141"/>
      <c r="J515" s="141"/>
      <c r="K515" s="141"/>
      <c r="L515" s="141"/>
      <c r="M515" s="29"/>
      <c r="N515" s="149" t="s">
        <v>500</v>
      </c>
      <c r="O515" s="141"/>
      <c r="P515" s="141"/>
      <c r="Q515" s="141"/>
      <c r="R515" s="141"/>
    </row>
    <row r="516" spans="1:18">
      <c r="A516" s="14"/>
      <c r="B516" s="9"/>
      <c r="C516" s="10" t="str">
        <f t="shared" ref="C516:C536" si="99">UPPER(I516)</f>
        <v>BUSINESS DIRECTOR</v>
      </c>
      <c r="D516" s="9"/>
      <c r="E516" s="9" t="str">
        <f t="shared" ref="E516:E538" si="100">UPPER(K516)</f>
        <v>VERN WANG</v>
      </c>
      <c r="F516" s="9"/>
      <c r="G516" s="3"/>
      <c r="H516" s="3"/>
      <c r="I516" s="8" t="s">
        <v>501</v>
      </c>
      <c r="J516" s="3"/>
      <c r="K516" s="2" t="s">
        <v>502</v>
      </c>
      <c r="L516" s="3"/>
      <c r="M516" s="8"/>
      <c r="N516" s="8"/>
      <c r="O516" s="8" t="s">
        <v>501</v>
      </c>
      <c r="P516" s="3"/>
      <c r="Q516" s="2" t="s">
        <v>502</v>
      </c>
      <c r="R516" s="3"/>
    </row>
    <row r="517" spans="1:18">
      <c r="A517" s="14"/>
      <c r="B517" s="9"/>
      <c r="C517" s="10" t="str">
        <f t="shared" si="99"/>
        <v/>
      </c>
      <c r="D517" s="9"/>
      <c r="E517" s="9" t="str">
        <f t="shared" si="100"/>
        <v>ANN WANG</v>
      </c>
      <c r="F517" s="9"/>
      <c r="G517" s="3"/>
      <c r="H517" s="3"/>
      <c r="I517" s="8"/>
      <c r="J517" s="3"/>
      <c r="K517" s="2" t="s">
        <v>503</v>
      </c>
      <c r="L517" s="7"/>
      <c r="M517" s="7"/>
      <c r="N517" s="7"/>
      <c r="O517" s="8"/>
      <c r="P517" s="3"/>
      <c r="Q517" s="2" t="s">
        <v>503</v>
      </c>
      <c r="R517" s="3"/>
    </row>
    <row r="518" spans="1:18">
      <c r="A518" s="14"/>
      <c r="B518" s="9"/>
      <c r="C518" s="10" t="str">
        <f t="shared" si="99"/>
        <v>PRODUCER</v>
      </c>
      <c r="D518" s="9"/>
      <c r="E518" s="9" t="str">
        <f t="shared" si="100"/>
        <v>LEEGER LIU</v>
      </c>
      <c r="F518" s="9"/>
      <c r="G518" s="3"/>
      <c r="H518" s="3"/>
      <c r="I518" s="36" t="s">
        <v>504</v>
      </c>
      <c r="J518" s="3"/>
      <c r="K518" s="2" t="s">
        <v>505</v>
      </c>
      <c r="L518" s="7"/>
      <c r="M518" s="7"/>
      <c r="N518" s="7"/>
      <c r="O518" s="36" t="s">
        <v>504</v>
      </c>
      <c r="P518" s="3"/>
      <c r="Q518" s="2" t="s">
        <v>505</v>
      </c>
      <c r="R518" s="3"/>
    </row>
    <row r="519" spans="1:18">
      <c r="A519" s="14"/>
      <c r="B519" s="9"/>
      <c r="C519" s="10" t="str">
        <f t="shared" si="99"/>
        <v/>
      </c>
      <c r="D519" s="9"/>
      <c r="E519" s="9" t="str">
        <f t="shared" si="100"/>
        <v>ANGEL GENG</v>
      </c>
      <c r="F519" s="9"/>
      <c r="G519" s="3"/>
      <c r="H519" s="3"/>
      <c r="I519" s="8"/>
      <c r="J519" s="3"/>
      <c r="K519" s="2" t="s">
        <v>506</v>
      </c>
      <c r="L519" s="7"/>
      <c r="M519" s="7"/>
      <c r="N519" s="7"/>
      <c r="O519" s="8"/>
      <c r="P519" s="3"/>
      <c r="Q519" s="2" t="s">
        <v>506</v>
      </c>
      <c r="R519" s="3"/>
    </row>
    <row r="520" spans="1:18">
      <c r="A520" s="14"/>
      <c r="B520" s="9"/>
      <c r="C520" s="10" t="str">
        <f t="shared" si="99"/>
        <v/>
      </c>
      <c r="D520" s="9"/>
      <c r="E520" s="9" t="str">
        <f t="shared" si="100"/>
        <v>LILLIANS LI</v>
      </c>
      <c r="F520" s="9"/>
      <c r="G520" s="3"/>
      <c r="H520" s="3"/>
      <c r="I520" s="8"/>
      <c r="J520" s="3"/>
      <c r="K520" s="2" t="s">
        <v>507</v>
      </c>
      <c r="L520" s="60"/>
      <c r="M520" s="60"/>
      <c r="N520" s="60"/>
      <c r="O520" s="8"/>
      <c r="P520" s="3"/>
      <c r="Q520" s="2" t="s">
        <v>507</v>
      </c>
      <c r="R520" s="3"/>
    </row>
    <row r="521" spans="1:18">
      <c r="A521" s="14"/>
      <c r="B521" s="9"/>
      <c r="C521" s="10" t="str">
        <f t="shared" si="99"/>
        <v>PROGRAMMING EDITOR</v>
      </c>
      <c r="D521" s="9"/>
      <c r="E521" s="9" t="str">
        <f t="shared" si="100"/>
        <v>XINCI CHANG</v>
      </c>
      <c r="F521" s="9"/>
      <c r="G521" s="3"/>
      <c r="H521" s="3"/>
      <c r="I521" s="36" t="s">
        <v>508</v>
      </c>
      <c r="J521" s="3"/>
      <c r="K521" s="2" t="s">
        <v>509</v>
      </c>
      <c r="L521" s="7"/>
      <c r="M521" s="7"/>
      <c r="N521" s="7"/>
      <c r="O521" s="36" t="s">
        <v>508</v>
      </c>
      <c r="P521" s="3"/>
      <c r="Q521" s="2" t="s">
        <v>509</v>
      </c>
      <c r="R521" s="3"/>
    </row>
    <row r="522" spans="1:18">
      <c r="A522" s="14"/>
      <c r="B522" s="9"/>
      <c r="C522" s="10" t="str">
        <f t="shared" si="99"/>
        <v/>
      </c>
      <c r="D522" s="9"/>
      <c r="E522" s="9" t="str">
        <f t="shared" si="100"/>
        <v>NAIYUE HU</v>
      </c>
      <c r="F522" s="9"/>
      <c r="G522" s="3"/>
      <c r="H522" s="3"/>
      <c r="I522" s="8"/>
      <c r="J522" s="3"/>
      <c r="K522" s="2" t="s">
        <v>510</v>
      </c>
      <c r="L522" s="7"/>
      <c r="M522" s="7"/>
      <c r="N522" s="7"/>
      <c r="O522" s="8"/>
      <c r="P522" s="3"/>
      <c r="Q522" s="2" t="s">
        <v>510</v>
      </c>
      <c r="R522" s="3"/>
    </row>
    <row r="523" spans="1:18">
      <c r="A523" s="14"/>
      <c r="B523" s="9"/>
      <c r="C523" s="10" t="str">
        <f t="shared" si="99"/>
        <v/>
      </c>
      <c r="D523" s="9"/>
      <c r="E523" s="9" t="str">
        <f t="shared" si="100"/>
        <v>JING LIN</v>
      </c>
      <c r="F523" s="9"/>
      <c r="G523" s="3"/>
      <c r="H523" s="3"/>
      <c r="I523" s="8"/>
      <c r="J523" s="3"/>
      <c r="K523" s="2" t="s">
        <v>511</v>
      </c>
      <c r="L523" s="7"/>
      <c r="M523" s="7"/>
      <c r="N523" s="7"/>
      <c r="O523" s="8"/>
      <c r="P523" s="3"/>
      <c r="Q523" s="2" t="s">
        <v>511</v>
      </c>
      <c r="R523" s="3"/>
    </row>
    <row r="524" spans="1:18">
      <c r="A524" s="14"/>
      <c r="B524" s="9"/>
      <c r="C524" s="10" t="str">
        <f t="shared" si="99"/>
        <v/>
      </c>
      <c r="D524" s="9"/>
      <c r="E524" s="9" t="str">
        <f t="shared" si="100"/>
        <v>YOYO GAO</v>
      </c>
      <c r="F524" s="9"/>
      <c r="G524" s="3"/>
      <c r="H524" s="3"/>
      <c r="I524" s="8"/>
      <c r="J524" s="3"/>
      <c r="K524" s="2" t="s">
        <v>512</v>
      </c>
      <c r="L524" s="7"/>
      <c r="M524" s="7"/>
      <c r="N524" s="7"/>
      <c r="O524" s="8"/>
      <c r="P524" s="3"/>
      <c r="Q524" s="2" t="s">
        <v>512</v>
      </c>
      <c r="R524" s="3"/>
    </row>
    <row r="525" spans="1:18">
      <c r="A525" s="14"/>
      <c r="B525" s="9"/>
      <c r="C525" s="10" t="str">
        <f t="shared" si="99"/>
        <v/>
      </c>
      <c r="D525" s="9"/>
      <c r="E525" s="9" t="str">
        <f t="shared" si="100"/>
        <v>KRYSTAL YANG</v>
      </c>
      <c r="F525" s="9"/>
      <c r="G525" s="3"/>
      <c r="H525" s="3"/>
      <c r="I525" s="8"/>
      <c r="J525" s="3"/>
      <c r="K525" s="2" t="s">
        <v>513</v>
      </c>
      <c r="L525" s="7"/>
      <c r="M525" s="7"/>
      <c r="N525" s="7"/>
      <c r="O525" s="8"/>
      <c r="P525" s="3"/>
      <c r="Q525" s="2" t="s">
        <v>513</v>
      </c>
      <c r="R525" s="3"/>
    </row>
    <row r="526" spans="1:18">
      <c r="A526" s="14"/>
      <c r="B526" s="9"/>
      <c r="C526" s="10" t="str">
        <f t="shared" si="99"/>
        <v/>
      </c>
      <c r="D526" s="9"/>
      <c r="E526" s="9" t="str">
        <f t="shared" si="100"/>
        <v>BETTY MEI</v>
      </c>
      <c r="F526" s="9"/>
      <c r="G526" s="3"/>
      <c r="H526" s="3"/>
      <c r="I526" s="8"/>
      <c r="J526" s="3"/>
      <c r="K526" s="2" t="s">
        <v>514</v>
      </c>
      <c r="L526" s="7"/>
      <c r="M526" s="7"/>
      <c r="N526" s="7"/>
      <c r="O526" s="8"/>
      <c r="P526" s="3"/>
      <c r="Q526" s="2" t="s">
        <v>514</v>
      </c>
      <c r="R526" s="3"/>
    </row>
    <row r="527" spans="1:18">
      <c r="A527" s="14"/>
      <c r="B527" s="9"/>
      <c r="C527" s="10" t="str">
        <f t="shared" si="99"/>
        <v/>
      </c>
      <c r="D527" s="9"/>
      <c r="E527" s="9" t="str">
        <f t="shared" si="100"/>
        <v>RHEA LIU</v>
      </c>
      <c r="F527" s="9"/>
      <c r="G527" s="3"/>
      <c r="H527" s="3"/>
      <c r="I527" s="8"/>
      <c r="J527" s="3"/>
      <c r="K527" s="2" t="s">
        <v>515</v>
      </c>
      <c r="L527" s="7"/>
      <c r="M527" s="7"/>
      <c r="N527" s="7"/>
      <c r="O527" s="8"/>
      <c r="P527" s="3"/>
      <c r="Q527" s="2" t="s">
        <v>515</v>
      </c>
      <c r="R527" s="3"/>
    </row>
    <row r="528" spans="1:18">
      <c r="A528" s="14"/>
      <c r="B528" s="9"/>
      <c r="C528" s="10" t="str">
        <f t="shared" si="99"/>
        <v/>
      </c>
      <c r="D528" s="9"/>
      <c r="E528" s="9" t="str">
        <f t="shared" si="100"/>
        <v>ZHENGDAO CHEN</v>
      </c>
      <c r="F528" s="9"/>
      <c r="G528" s="3"/>
      <c r="H528" s="3"/>
      <c r="I528" s="8"/>
      <c r="J528" s="3"/>
      <c r="K528" s="2" t="s">
        <v>516</v>
      </c>
      <c r="L528" s="3"/>
      <c r="M528" s="8"/>
      <c r="N528" s="8"/>
      <c r="O528" s="8"/>
      <c r="P528" s="3"/>
      <c r="Q528" s="2" t="s">
        <v>516</v>
      </c>
      <c r="R528" s="3"/>
    </row>
    <row r="529" spans="1:18">
      <c r="A529" s="14"/>
      <c r="B529" s="9"/>
      <c r="C529" s="10" t="str">
        <f t="shared" si="99"/>
        <v>BUSINESS EDITOR</v>
      </c>
      <c r="D529" s="9"/>
      <c r="E529" s="9" t="str">
        <f t="shared" si="100"/>
        <v>LAINEY LIU</v>
      </c>
      <c r="F529" s="9"/>
      <c r="G529" s="3"/>
      <c r="H529" s="3"/>
      <c r="I529" s="36" t="s">
        <v>517</v>
      </c>
      <c r="J529" s="3"/>
      <c r="K529" s="2" t="s">
        <v>518</v>
      </c>
      <c r="L529" s="3"/>
      <c r="M529" s="8"/>
      <c r="N529" s="8"/>
      <c r="O529" s="36" t="s">
        <v>517</v>
      </c>
      <c r="P529" s="3"/>
      <c r="Q529" s="2" t="s">
        <v>518</v>
      </c>
      <c r="R529" s="3"/>
    </row>
    <row r="530" spans="1:18">
      <c r="A530" s="14"/>
      <c r="B530" s="9"/>
      <c r="C530" s="10" t="str">
        <f t="shared" si="99"/>
        <v/>
      </c>
      <c r="D530" s="9"/>
      <c r="E530" s="9" t="str">
        <f t="shared" si="100"/>
        <v>DEE ZHANG</v>
      </c>
      <c r="F530" s="9"/>
      <c r="G530" s="3"/>
      <c r="H530" s="3"/>
      <c r="I530" s="8"/>
      <c r="J530" s="3"/>
      <c r="K530" s="2" t="s">
        <v>519</v>
      </c>
      <c r="L530" s="3"/>
      <c r="M530" s="8"/>
      <c r="N530" s="8"/>
      <c r="O530" s="8"/>
      <c r="P530" s="3"/>
      <c r="Q530" s="2" t="s">
        <v>519</v>
      </c>
      <c r="R530" s="3"/>
    </row>
    <row r="531" spans="1:18">
      <c r="A531" s="14"/>
      <c r="B531" s="9"/>
      <c r="C531" s="10" t="str">
        <f t="shared" si="99"/>
        <v>LEGAL</v>
      </c>
      <c r="D531" s="9"/>
      <c r="E531" s="9" t="str">
        <f t="shared" si="100"/>
        <v>KAN ZHANG</v>
      </c>
      <c r="F531" s="9"/>
      <c r="G531" s="3"/>
      <c r="H531" s="3"/>
      <c r="I531" s="36" t="s">
        <v>520</v>
      </c>
      <c r="J531" s="3"/>
      <c r="K531" s="2" t="s">
        <v>521</v>
      </c>
      <c r="L531" s="3"/>
      <c r="M531" s="8"/>
      <c r="N531" s="8"/>
      <c r="O531" s="36" t="s">
        <v>520</v>
      </c>
      <c r="P531" s="3"/>
      <c r="Q531" s="2" t="s">
        <v>521</v>
      </c>
      <c r="R531" s="3"/>
    </row>
    <row r="532" spans="1:18">
      <c r="A532" s="14"/>
      <c r="B532" s="9"/>
      <c r="C532" s="10" t="str">
        <f t="shared" si="99"/>
        <v>FINANCE &amp; TAX</v>
      </c>
      <c r="D532" s="9"/>
      <c r="E532" s="9" t="str">
        <f t="shared" si="100"/>
        <v xml:space="preserve">XIAOCHEN ZHANG </v>
      </c>
      <c r="F532" s="9"/>
      <c r="G532" s="3"/>
      <c r="H532" s="3"/>
      <c r="I532" s="36" t="s">
        <v>522</v>
      </c>
      <c r="J532" s="3"/>
      <c r="K532" s="2" t="s">
        <v>523</v>
      </c>
      <c r="L532" s="3"/>
      <c r="M532" s="8"/>
      <c r="N532" s="8"/>
      <c r="O532" s="36" t="s">
        <v>522</v>
      </c>
      <c r="P532" s="3"/>
      <c r="Q532" s="2" t="s">
        <v>523</v>
      </c>
      <c r="R532" s="3"/>
    </row>
    <row r="533" spans="1:18">
      <c r="A533" s="14"/>
      <c r="B533" s="9"/>
      <c r="C533" s="10" t="str">
        <f t="shared" si="99"/>
        <v/>
      </c>
      <c r="D533" s="9"/>
      <c r="E533" s="9" t="str">
        <f t="shared" si="100"/>
        <v>YING CHEN</v>
      </c>
      <c r="F533" s="9"/>
      <c r="G533" s="3"/>
      <c r="H533" s="3"/>
      <c r="I533" s="2"/>
      <c r="J533" s="3"/>
      <c r="K533" s="2" t="s">
        <v>524</v>
      </c>
      <c r="L533" s="3"/>
      <c r="M533" s="8"/>
      <c r="N533" s="8"/>
      <c r="O533" s="2"/>
      <c r="P533" s="3"/>
      <c r="Q533" s="2" t="s">
        <v>524</v>
      </c>
      <c r="R533" s="3"/>
    </row>
    <row r="534" spans="1:18">
      <c r="A534" s="14"/>
      <c r="B534" s="9"/>
      <c r="C534" s="10" t="str">
        <f t="shared" si="99"/>
        <v>MARKETING</v>
      </c>
      <c r="D534" s="9"/>
      <c r="E534" s="9" t="str">
        <f t="shared" si="100"/>
        <v>TRACY CUI</v>
      </c>
      <c r="F534" s="9"/>
      <c r="G534" s="3"/>
      <c r="H534" s="3"/>
      <c r="I534" s="36" t="s">
        <v>525</v>
      </c>
      <c r="J534" s="3"/>
      <c r="K534" s="2" t="s">
        <v>526</v>
      </c>
      <c r="L534" s="3"/>
      <c r="M534" s="8"/>
      <c r="N534" s="8"/>
      <c r="O534" s="36" t="s">
        <v>525</v>
      </c>
      <c r="P534" s="3"/>
      <c r="Q534" s="2" t="s">
        <v>526</v>
      </c>
      <c r="R534" s="3"/>
    </row>
    <row r="535" spans="1:18">
      <c r="A535" s="14"/>
      <c r="B535" s="9"/>
      <c r="C535" s="10" t="str">
        <f t="shared" si="99"/>
        <v/>
      </c>
      <c r="D535" s="9"/>
      <c r="E535" s="9" t="str">
        <f t="shared" si="100"/>
        <v>MENGJIE HE</v>
      </c>
      <c r="F535" s="9"/>
      <c r="G535" s="3"/>
      <c r="H535" s="3"/>
      <c r="I535" s="8"/>
      <c r="J535" s="3"/>
      <c r="K535" s="2" t="s">
        <v>527</v>
      </c>
      <c r="L535" s="3"/>
      <c r="M535" s="8"/>
      <c r="N535" s="8"/>
      <c r="O535" s="8"/>
      <c r="P535" s="3"/>
      <c r="Q535" s="2" t="s">
        <v>527</v>
      </c>
      <c r="R535" s="3"/>
    </row>
    <row r="536" spans="1:18">
      <c r="A536" s="14"/>
      <c r="B536" s="9"/>
      <c r="C536" s="10" t="str">
        <f t="shared" si="99"/>
        <v/>
      </c>
      <c r="D536" s="9"/>
      <c r="E536" s="9" t="str">
        <f t="shared" si="100"/>
        <v>IRIS ZHANG</v>
      </c>
      <c r="F536" s="9"/>
      <c r="G536" s="3"/>
      <c r="H536" s="3"/>
      <c r="I536" s="8"/>
      <c r="J536" s="3"/>
      <c r="K536" s="2" t="s">
        <v>528</v>
      </c>
      <c r="L536" s="3"/>
      <c r="M536" s="8"/>
      <c r="N536" s="8"/>
      <c r="O536" s="8"/>
      <c r="P536" s="3"/>
      <c r="Q536" s="2" t="s">
        <v>528</v>
      </c>
      <c r="R536" s="3"/>
    </row>
    <row r="537" spans="1:18">
      <c r="A537" s="14"/>
      <c r="B537" s="9"/>
      <c r="C537" s="10"/>
      <c r="D537" s="9"/>
      <c r="E537" s="9" t="str">
        <f t="shared" si="100"/>
        <v>AARON YU</v>
      </c>
      <c r="F537" s="9"/>
      <c r="G537" s="3"/>
      <c r="H537" s="3"/>
      <c r="I537" s="8"/>
      <c r="J537" s="3"/>
      <c r="K537" s="2" t="s">
        <v>529</v>
      </c>
      <c r="L537" s="3"/>
      <c r="M537" s="8"/>
      <c r="N537" s="8"/>
      <c r="O537" s="8"/>
      <c r="P537" s="3"/>
      <c r="Q537" s="2" t="s">
        <v>529</v>
      </c>
      <c r="R537" s="3"/>
    </row>
    <row r="538" spans="1:18">
      <c r="A538" s="14"/>
      <c r="B538" s="9"/>
      <c r="C538" s="9"/>
      <c r="D538" s="9"/>
      <c r="E538" s="9" t="str">
        <f t="shared" si="100"/>
        <v/>
      </c>
      <c r="F538" s="9"/>
      <c r="G538" s="3"/>
      <c r="H538" s="3"/>
      <c r="I538" s="8"/>
      <c r="J538" s="3"/>
      <c r="K538" s="2"/>
      <c r="L538" s="3"/>
      <c r="M538" s="8"/>
      <c r="N538" s="8"/>
      <c r="O538" s="21"/>
      <c r="P538" s="3"/>
      <c r="Q538" s="3"/>
      <c r="R538" s="3"/>
    </row>
    <row r="539" spans="1:18">
      <c r="A539" s="14"/>
      <c r="B539" s="11"/>
      <c r="C539" s="12"/>
      <c r="D539" s="11"/>
      <c r="E539" s="11"/>
      <c r="F539" s="11"/>
      <c r="G539" s="3"/>
      <c r="H539" s="3"/>
      <c r="I539" s="8"/>
      <c r="J539" s="3"/>
      <c r="K539" s="13"/>
      <c r="L539" s="3"/>
      <c r="M539" s="8"/>
      <c r="N539" s="8"/>
      <c r="O539" s="21"/>
      <c r="P539" s="3"/>
      <c r="Q539" s="3"/>
      <c r="R539" s="3"/>
    </row>
    <row r="540" spans="1:18">
      <c r="A540" s="14"/>
      <c r="B540" s="61"/>
      <c r="C540" s="61"/>
      <c r="D540" s="61"/>
      <c r="E540" s="61"/>
      <c r="F540" s="61"/>
      <c r="G540" s="3"/>
      <c r="H540" s="7"/>
      <c r="I540" s="7"/>
      <c r="J540" s="7"/>
      <c r="K540" s="7"/>
      <c r="L540" s="7"/>
      <c r="M540" s="8"/>
      <c r="N540" s="8"/>
      <c r="O540" s="21"/>
      <c r="P540" s="3"/>
      <c r="Q540" s="3"/>
      <c r="R540" s="3"/>
    </row>
    <row r="541" spans="1:18">
      <c r="A541" s="14"/>
      <c r="B541" s="143" t="str">
        <f t="shared" ref="B541:B544" si="101">UPPER(H541)</f>
        <v>PRODUCTION SERVICES PROVIDED BY</v>
      </c>
      <c r="C541" s="141"/>
      <c r="D541" s="141"/>
      <c r="E541" s="141"/>
      <c r="F541" s="141"/>
      <c r="G541" s="3"/>
      <c r="H541" s="145" t="s">
        <v>530</v>
      </c>
      <c r="I541" s="141"/>
      <c r="J541" s="141"/>
      <c r="K541" s="141"/>
      <c r="L541" s="141"/>
      <c r="M541" s="8"/>
      <c r="N541" s="145" t="s">
        <v>940</v>
      </c>
      <c r="O541" s="141"/>
      <c r="P541" s="141"/>
      <c r="Q541" s="141"/>
      <c r="R541" s="141"/>
    </row>
    <row r="542" spans="1:18">
      <c r="A542" s="14"/>
      <c r="B542" s="146" t="str">
        <f t="shared" si="101"/>
        <v>THE MONK STUDIOS</v>
      </c>
      <c r="C542" s="141"/>
      <c r="D542" s="141"/>
      <c r="E542" s="141"/>
      <c r="F542" s="141"/>
      <c r="G542" s="8"/>
      <c r="H542" s="149" t="s">
        <v>202</v>
      </c>
      <c r="I542" s="141"/>
      <c r="J542" s="141"/>
      <c r="K542" s="141"/>
      <c r="L542" s="141"/>
      <c r="M542" s="8"/>
      <c r="N542" s="149" t="s">
        <v>202</v>
      </c>
      <c r="O542" s="141"/>
      <c r="P542" s="141"/>
      <c r="Q542" s="141"/>
      <c r="R542" s="141"/>
    </row>
    <row r="543" spans="1:18">
      <c r="A543" s="14"/>
      <c r="B543" s="9" t="str">
        <f t="shared" si="101"/>
        <v/>
      </c>
      <c r="C543" s="10" t="str">
        <f>UPPER(I543)</f>
        <v/>
      </c>
      <c r="D543" s="9"/>
      <c r="E543" s="9" t="str">
        <f>UPPER(K543)</f>
        <v/>
      </c>
      <c r="F543" s="9"/>
      <c r="G543" s="3"/>
      <c r="H543" s="76"/>
      <c r="I543" s="8"/>
      <c r="J543" s="3"/>
      <c r="K543" s="13"/>
      <c r="L543" s="3"/>
      <c r="M543" s="8"/>
      <c r="N543" s="76"/>
      <c r="O543" s="8"/>
      <c r="P543" s="3"/>
      <c r="Q543" s="13"/>
      <c r="R543" s="3"/>
    </row>
    <row r="544" spans="1:18">
      <c r="A544" s="14"/>
      <c r="B544" s="146" t="str">
        <f t="shared" si="101"/>
        <v>MANAGEMENT</v>
      </c>
      <c r="C544" s="141"/>
      <c r="D544" s="141"/>
      <c r="E544" s="141"/>
      <c r="F544" s="141"/>
      <c r="G544" s="3"/>
      <c r="H544" s="151" t="s">
        <v>392</v>
      </c>
      <c r="I544" s="141"/>
      <c r="J544" s="141"/>
      <c r="K544" s="141"/>
      <c r="L544" s="141"/>
      <c r="M544" s="8"/>
      <c r="N544" s="151" t="s">
        <v>392</v>
      </c>
      <c r="O544" s="141"/>
      <c r="P544" s="141"/>
      <c r="Q544" s="141"/>
      <c r="R544" s="141"/>
    </row>
    <row r="545" spans="1:18">
      <c r="A545" s="14"/>
      <c r="B545" s="9"/>
      <c r="C545" s="10" t="str">
        <f t="shared" ref="C545:C566" si="102">UPPER(I545)</f>
        <v>PRODUCTION EXECUTIVE</v>
      </c>
      <c r="D545" s="9"/>
      <c r="E545" s="9" t="str">
        <f t="shared" ref="E545:E566" si="103">UPPER(K545)</f>
        <v>JUCK SOMSAMAN</v>
      </c>
      <c r="F545" s="9"/>
      <c r="G545" s="3"/>
      <c r="H545" s="13"/>
      <c r="I545" s="36" t="s">
        <v>531</v>
      </c>
      <c r="J545" s="3"/>
      <c r="K545" s="31" t="s">
        <v>532</v>
      </c>
      <c r="L545" s="3"/>
      <c r="M545" s="63"/>
      <c r="N545" s="13"/>
      <c r="O545" s="36" t="s">
        <v>531</v>
      </c>
      <c r="P545" s="3"/>
      <c r="Q545" s="31" t="s">
        <v>532</v>
      </c>
      <c r="R545" s="3"/>
    </row>
    <row r="546" spans="1:18">
      <c r="A546" s="14"/>
      <c r="B546" s="9"/>
      <c r="C546" s="10" t="str">
        <f t="shared" si="102"/>
        <v/>
      </c>
      <c r="D546" s="9"/>
      <c r="E546" s="9" t="str">
        <f t="shared" si="103"/>
        <v/>
      </c>
      <c r="F546" s="9"/>
      <c r="G546" s="3"/>
      <c r="H546" s="13"/>
      <c r="I546" s="36"/>
      <c r="J546" s="3"/>
      <c r="K546" s="31"/>
      <c r="L546" s="3"/>
      <c r="M546" s="8"/>
      <c r="N546" s="13"/>
      <c r="O546" s="36"/>
      <c r="P546" s="3"/>
      <c r="Q546" s="31"/>
      <c r="R546" s="3"/>
    </row>
    <row r="547" spans="1:18">
      <c r="A547" s="14"/>
      <c r="B547" s="9"/>
      <c r="C547" s="10" t="str">
        <f t="shared" si="102"/>
        <v>PRODUCTION MANAGER</v>
      </c>
      <c r="D547" s="9"/>
      <c r="E547" s="9" t="str">
        <f t="shared" si="103"/>
        <v>NAPASSARA CHAISUKDAMRONG</v>
      </c>
      <c r="F547" s="9"/>
      <c r="G547" s="3"/>
      <c r="H547" s="13"/>
      <c r="I547" s="36" t="s">
        <v>152</v>
      </c>
      <c r="J547" s="3"/>
      <c r="K547" s="31" t="s">
        <v>533</v>
      </c>
      <c r="L547" s="3"/>
      <c r="M547" s="8"/>
      <c r="N547" s="13"/>
      <c r="O547" s="36" t="s">
        <v>152</v>
      </c>
      <c r="P547" s="3"/>
      <c r="Q547" s="31" t="s">
        <v>533</v>
      </c>
      <c r="R547" s="3"/>
    </row>
    <row r="548" spans="1:18">
      <c r="A548" s="14"/>
      <c r="B548" s="9"/>
      <c r="C548" s="10" t="str">
        <f t="shared" si="102"/>
        <v/>
      </c>
      <c r="D548" s="9"/>
      <c r="E548" s="9" t="str">
        <f t="shared" si="103"/>
        <v>RUJIRA POKSOMBOONKIJ</v>
      </c>
      <c r="F548" s="9"/>
      <c r="G548" s="3"/>
      <c r="H548" s="13"/>
      <c r="I548" s="36"/>
      <c r="J548" s="3"/>
      <c r="K548" s="31" t="s">
        <v>534</v>
      </c>
      <c r="L548" s="3"/>
      <c r="M548" s="8"/>
      <c r="N548" s="13"/>
      <c r="O548" s="36"/>
      <c r="P548" s="3"/>
      <c r="Q548" s="31" t="s">
        <v>534</v>
      </c>
      <c r="R548" s="3"/>
    </row>
    <row r="549" spans="1:18">
      <c r="A549" s="14"/>
      <c r="B549" s="9"/>
      <c r="C549" s="10" t="str">
        <f t="shared" si="102"/>
        <v/>
      </c>
      <c r="D549" s="9"/>
      <c r="E549" s="9" t="str">
        <f t="shared" si="103"/>
        <v/>
      </c>
      <c r="F549" s="9"/>
      <c r="G549" s="3"/>
      <c r="H549" s="13"/>
      <c r="I549" s="36"/>
      <c r="J549" s="3"/>
      <c r="K549" s="65"/>
      <c r="L549" s="3"/>
      <c r="M549" s="8"/>
      <c r="N549" s="13"/>
      <c r="O549" s="36"/>
      <c r="P549" s="3"/>
      <c r="Q549" s="31"/>
      <c r="R549" s="3"/>
    </row>
    <row r="550" spans="1:18">
      <c r="A550" s="14"/>
      <c r="B550" s="9"/>
      <c r="C550" s="10" t="str">
        <f t="shared" si="102"/>
        <v>CG SUPEVISOR</v>
      </c>
      <c r="D550" s="9"/>
      <c r="E550" s="9" t="str">
        <f t="shared" si="103"/>
        <v>KATHA NA BADALUNG</v>
      </c>
      <c r="F550" s="9"/>
      <c r="G550" s="3"/>
      <c r="H550" s="13"/>
      <c r="I550" s="36" t="s">
        <v>535</v>
      </c>
      <c r="J550" s="3"/>
      <c r="K550" s="65" t="s">
        <v>536</v>
      </c>
      <c r="L550" s="3"/>
      <c r="M550" s="8"/>
      <c r="N550" s="13"/>
      <c r="O550" s="36" t="s">
        <v>535</v>
      </c>
      <c r="P550" s="3"/>
      <c r="Q550" s="31" t="s">
        <v>536</v>
      </c>
      <c r="R550" s="3"/>
    </row>
    <row r="551" spans="1:18">
      <c r="A551" s="14"/>
      <c r="B551" s="9"/>
      <c r="C551" s="10" t="str">
        <f t="shared" si="102"/>
        <v/>
      </c>
      <c r="D551" s="9"/>
      <c r="E551" s="9" t="str">
        <f t="shared" si="103"/>
        <v/>
      </c>
      <c r="F551" s="9"/>
      <c r="G551" s="3"/>
      <c r="H551" s="13"/>
      <c r="I551" s="36"/>
      <c r="J551" s="3"/>
      <c r="K551" s="31"/>
      <c r="L551" s="3"/>
      <c r="M551" s="8"/>
      <c r="N551" s="13"/>
      <c r="O551" s="36"/>
      <c r="P551" s="3"/>
      <c r="Q551" s="31"/>
      <c r="R551" s="3"/>
    </row>
    <row r="552" spans="1:18">
      <c r="A552" s="14"/>
      <c r="B552" s="9"/>
      <c r="C552" s="10" t="str">
        <f t="shared" si="102"/>
        <v>PRODUCER</v>
      </c>
      <c r="D552" s="9"/>
      <c r="E552" s="9" t="str">
        <f t="shared" si="103"/>
        <v>BUDSARIN PANOMMA</v>
      </c>
      <c r="F552" s="9"/>
      <c r="G552" s="3"/>
      <c r="H552" s="13"/>
      <c r="I552" s="36" t="s">
        <v>504</v>
      </c>
      <c r="J552" s="3"/>
      <c r="K552" s="31" t="s">
        <v>537</v>
      </c>
      <c r="L552" s="3"/>
      <c r="M552" s="8"/>
      <c r="N552" s="13"/>
      <c r="O552" s="36" t="s">
        <v>504</v>
      </c>
      <c r="P552" s="3"/>
      <c r="Q552" s="31" t="s">
        <v>537</v>
      </c>
      <c r="R552" s="3"/>
    </row>
    <row r="553" spans="1:18">
      <c r="A553" s="14"/>
      <c r="B553" s="9"/>
      <c r="C553" s="10" t="str">
        <f t="shared" si="102"/>
        <v/>
      </c>
      <c r="D553" s="9"/>
      <c r="E553" s="9" t="str">
        <f t="shared" si="103"/>
        <v/>
      </c>
      <c r="F553" s="9"/>
      <c r="G553" s="3"/>
      <c r="H553" s="13"/>
      <c r="I553" s="36"/>
      <c r="J553" s="3"/>
      <c r="K553" s="65"/>
      <c r="L553" s="3"/>
      <c r="M553" s="63"/>
      <c r="N553" s="13"/>
      <c r="O553" s="36"/>
      <c r="P553" s="3"/>
      <c r="Q553" s="31"/>
      <c r="R553" s="3"/>
    </row>
    <row r="554" spans="1:18">
      <c r="A554" s="14"/>
      <c r="B554" s="9"/>
      <c r="C554" s="10" t="str">
        <f t="shared" si="102"/>
        <v>ASSET MANAGER</v>
      </c>
      <c r="D554" s="9"/>
      <c r="E554" s="9" t="str">
        <f t="shared" si="103"/>
        <v>PALAPAS NIMAWAN</v>
      </c>
      <c r="F554" s="9"/>
      <c r="G554" s="3"/>
      <c r="H554" s="13"/>
      <c r="I554" s="36" t="s">
        <v>498</v>
      </c>
      <c r="J554" s="3"/>
      <c r="K554" s="65" t="s">
        <v>538</v>
      </c>
      <c r="L554" s="3"/>
      <c r="M554" s="63"/>
      <c r="N554" s="13"/>
      <c r="O554" s="36" t="s">
        <v>498</v>
      </c>
      <c r="P554" s="3"/>
      <c r="Q554" s="31" t="s">
        <v>538</v>
      </c>
      <c r="R554" s="3"/>
    </row>
    <row r="555" spans="1:18">
      <c r="A555" s="14"/>
      <c r="B555" s="9"/>
      <c r="C555" s="10" t="str">
        <f t="shared" si="102"/>
        <v>ANIMATION MANAGER</v>
      </c>
      <c r="D555" s="9"/>
      <c r="E555" s="9" t="str">
        <f t="shared" si="103"/>
        <v>PARINYA PONGSANGIAM</v>
      </c>
      <c r="F555" s="9"/>
      <c r="G555" s="3"/>
      <c r="H555" s="13"/>
      <c r="I555" s="36" t="s">
        <v>539</v>
      </c>
      <c r="J555" s="3"/>
      <c r="K555" s="65" t="s">
        <v>540</v>
      </c>
      <c r="L555" s="3"/>
      <c r="M555" s="8"/>
      <c r="N555" s="13"/>
      <c r="O555" s="36" t="s">
        <v>539</v>
      </c>
      <c r="P555" s="3"/>
      <c r="Q555" s="31" t="s">
        <v>540</v>
      </c>
      <c r="R555" s="3"/>
    </row>
    <row r="556" spans="1:18">
      <c r="A556" s="14"/>
      <c r="B556" s="9"/>
      <c r="C556" s="10" t="str">
        <f t="shared" si="102"/>
        <v>CG MANAGER</v>
      </c>
      <c r="D556" s="9"/>
      <c r="E556" s="9" t="str">
        <f t="shared" si="103"/>
        <v>SASIPORN PANOMMA</v>
      </c>
      <c r="F556" s="9"/>
      <c r="G556" s="3"/>
      <c r="H556" s="13"/>
      <c r="I556" s="36" t="s">
        <v>541</v>
      </c>
      <c r="J556" s="3"/>
      <c r="K556" s="31" t="s">
        <v>542</v>
      </c>
      <c r="L556" s="3"/>
      <c r="M556" s="63"/>
      <c r="N556" s="13"/>
      <c r="O556" s="36" t="s">
        <v>541</v>
      </c>
      <c r="P556" s="3"/>
      <c r="Q556" s="31" t="s">
        <v>542</v>
      </c>
      <c r="R556" s="3"/>
    </row>
    <row r="557" spans="1:18">
      <c r="A557" s="14"/>
      <c r="B557" s="9"/>
      <c r="C557" s="10" t="str">
        <f t="shared" si="102"/>
        <v/>
      </c>
      <c r="D557" s="9"/>
      <c r="E557" s="9" t="str">
        <f t="shared" si="103"/>
        <v/>
      </c>
      <c r="F557" s="9"/>
      <c r="G557" s="3"/>
      <c r="H557" s="13"/>
      <c r="I557" s="36"/>
      <c r="J557" s="3"/>
      <c r="K557" s="31"/>
      <c r="L557" s="3"/>
      <c r="M557" s="8"/>
      <c r="N557" s="13"/>
      <c r="O557" s="36"/>
      <c r="P557" s="3"/>
      <c r="Q557" s="31"/>
      <c r="R557" s="3"/>
    </row>
    <row r="558" spans="1:18">
      <c r="A558" s="14"/>
      <c r="B558" s="9"/>
      <c r="C558" s="10" t="str">
        <f t="shared" si="102"/>
        <v>ASSET COORDINATOR</v>
      </c>
      <c r="D558" s="9"/>
      <c r="E558" s="9" t="str">
        <f t="shared" si="103"/>
        <v>CHUTCHAPHOL KHANTASOPHON</v>
      </c>
      <c r="F558" s="9"/>
      <c r="G558" s="3"/>
      <c r="H558" s="13"/>
      <c r="I558" s="36" t="s">
        <v>543</v>
      </c>
      <c r="J558" s="3"/>
      <c r="K558" s="31" t="s">
        <v>544</v>
      </c>
      <c r="L558" s="3"/>
      <c r="M558" s="8"/>
      <c r="N558" s="13"/>
      <c r="O558" s="36" t="s">
        <v>543</v>
      </c>
      <c r="P558" s="3"/>
      <c r="Q558" s="31" t="s">
        <v>544</v>
      </c>
      <c r="R558" s="3"/>
    </row>
    <row r="559" spans="1:18">
      <c r="A559" s="14"/>
      <c r="B559" s="9"/>
      <c r="C559" s="10" t="str">
        <f t="shared" si="102"/>
        <v/>
      </c>
      <c r="D559" s="9"/>
      <c r="E559" s="9" t="str">
        <f t="shared" si="103"/>
        <v>WARISSARA PETSAKUL</v>
      </c>
      <c r="F559" s="9"/>
      <c r="G559" s="3"/>
      <c r="H559" s="13"/>
      <c r="I559" s="36"/>
      <c r="J559" s="3"/>
      <c r="K559" s="31" t="s">
        <v>545</v>
      </c>
      <c r="L559" s="3"/>
      <c r="M559" s="63"/>
      <c r="N559" s="13"/>
      <c r="O559" s="36"/>
      <c r="P559" s="3"/>
      <c r="Q559" s="31" t="s">
        <v>545</v>
      </c>
      <c r="R559" s="3"/>
    </row>
    <row r="560" spans="1:18">
      <c r="A560" s="14"/>
      <c r="B560" s="9"/>
      <c r="C560" s="10" t="str">
        <f t="shared" si="102"/>
        <v>LAYOUT COORDINATOR</v>
      </c>
      <c r="D560" s="9"/>
      <c r="E560" s="9" t="str">
        <f t="shared" si="103"/>
        <v>PATSAWAN CHUASRITRAKUL</v>
      </c>
      <c r="F560" s="9"/>
      <c r="G560" s="3"/>
      <c r="H560" s="13"/>
      <c r="I560" s="36" t="s">
        <v>546</v>
      </c>
      <c r="J560" s="3"/>
      <c r="K560" s="31" t="s">
        <v>547</v>
      </c>
      <c r="L560" s="3"/>
      <c r="M560" s="8"/>
      <c r="N560" s="13"/>
      <c r="O560" s="36" t="s">
        <v>546</v>
      </c>
      <c r="P560" s="3"/>
      <c r="Q560" s="31" t="s">
        <v>547</v>
      </c>
      <c r="R560" s="3"/>
    </row>
    <row r="561" spans="1:18">
      <c r="A561" s="14"/>
      <c r="B561" s="9"/>
      <c r="C561" s="10" t="str">
        <f t="shared" si="102"/>
        <v>ANIMATION COORDINATOR</v>
      </c>
      <c r="D561" s="9"/>
      <c r="E561" s="9" t="str">
        <f t="shared" si="103"/>
        <v>SAWITA STARPITCHAYANANT</v>
      </c>
      <c r="F561" s="9"/>
      <c r="G561" s="3"/>
      <c r="H561" s="13"/>
      <c r="I561" s="36" t="s">
        <v>548</v>
      </c>
      <c r="J561" s="3"/>
      <c r="K561" s="31" t="s">
        <v>549</v>
      </c>
      <c r="L561" s="3"/>
      <c r="M561" s="8"/>
      <c r="N561" s="13"/>
      <c r="O561" s="36" t="s">
        <v>548</v>
      </c>
      <c r="P561" s="3"/>
      <c r="Q561" s="31" t="s">
        <v>549</v>
      </c>
      <c r="R561" s="3"/>
    </row>
    <row r="562" spans="1:18">
      <c r="A562" s="14"/>
      <c r="B562" s="9"/>
      <c r="C562" s="10" t="str">
        <f t="shared" si="102"/>
        <v/>
      </c>
      <c r="D562" s="9"/>
      <c r="E562" s="9" t="str">
        <f t="shared" si="103"/>
        <v>KUNLAPHAT JEERAMANEEMAI</v>
      </c>
      <c r="F562" s="9"/>
      <c r="G562" s="3"/>
      <c r="H562" s="13"/>
      <c r="I562" s="36"/>
      <c r="J562" s="3"/>
      <c r="K562" s="31" t="s">
        <v>550</v>
      </c>
      <c r="L562" s="3"/>
      <c r="M562" s="8"/>
      <c r="N562" s="13"/>
      <c r="O562" s="36"/>
      <c r="P562" s="3"/>
      <c r="Q562" s="31" t="s">
        <v>550</v>
      </c>
      <c r="R562" s="3"/>
    </row>
    <row r="563" spans="1:18">
      <c r="A563" s="14"/>
      <c r="B563" s="9"/>
      <c r="C563" s="10" t="str">
        <f t="shared" si="102"/>
        <v/>
      </c>
      <c r="D563" s="9"/>
      <c r="E563" s="9" t="str">
        <f t="shared" si="103"/>
        <v>PUNYAWEE TUNGJAISUE</v>
      </c>
      <c r="F563" s="9"/>
      <c r="G563" s="3"/>
      <c r="H563" s="13"/>
      <c r="I563" s="36"/>
      <c r="J563" s="3"/>
      <c r="K563" s="31" t="s">
        <v>551</v>
      </c>
      <c r="L563" s="3"/>
      <c r="M563" s="8"/>
      <c r="N563" s="13"/>
      <c r="O563" s="36"/>
      <c r="P563" s="3"/>
      <c r="Q563" s="31" t="s">
        <v>551</v>
      </c>
      <c r="R563" s="3"/>
    </row>
    <row r="564" spans="1:18">
      <c r="A564" s="14"/>
      <c r="B564" s="9"/>
      <c r="C564" s="10" t="str">
        <f t="shared" si="102"/>
        <v>FX COORDINATOR</v>
      </c>
      <c r="D564" s="9"/>
      <c r="E564" s="9" t="str">
        <f t="shared" si="103"/>
        <v>NAVIPAS SUTTICHONSAKUL</v>
      </c>
      <c r="F564" s="9"/>
      <c r="G564" s="3"/>
      <c r="H564" s="13"/>
      <c r="I564" s="36" t="s">
        <v>552</v>
      </c>
      <c r="J564" s="3"/>
      <c r="K564" s="31" t="s">
        <v>553</v>
      </c>
      <c r="L564" s="3"/>
      <c r="M564" s="8"/>
      <c r="N564" s="13"/>
      <c r="O564" s="36" t="s">
        <v>552</v>
      </c>
      <c r="P564" s="3"/>
      <c r="Q564" s="31" t="s">
        <v>553</v>
      </c>
      <c r="R564" s="3"/>
    </row>
    <row r="565" spans="1:18">
      <c r="A565" s="14"/>
      <c r="B565" s="9"/>
      <c r="C565" s="10" t="str">
        <f t="shared" si="102"/>
        <v>LRC COORDINATOR</v>
      </c>
      <c r="D565" s="9"/>
      <c r="E565" s="9" t="str">
        <f t="shared" si="103"/>
        <v>SUNIDA DANGTHONGKUM</v>
      </c>
      <c r="F565" s="9"/>
      <c r="G565" s="3"/>
      <c r="H565" s="13"/>
      <c r="I565" s="36" t="s">
        <v>554</v>
      </c>
      <c r="J565" s="3"/>
      <c r="K565" s="31" t="s">
        <v>555</v>
      </c>
      <c r="L565" s="3"/>
      <c r="M565" s="8"/>
      <c r="N565" s="13"/>
      <c r="O565" s="36" t="s">
        <v>554</v>
      </c>
      <c r="P565" s="3"/>
      <c r="Q565" s="31" t="s">
        <v>555</v>
      </c>
      <c r="R565" s="3"/>
    </row>
    <row r="566" spans="1:18">
      <c r="A566" s="14"/>
      <c r="B566" s="9"/>
      <c r="C566" s="10" t="str">
        <f t="shared" si="102"/>
        <v>PIPELINE&amp;TD COORDINATOR</v>
      </c>
      <c r="D566" s="9"/>
      <c r="E566" s="9" t="str">
        <f t="shared" si="103"/>
        <v>DANUPHOL JONGARIYAKUL</v>
      </c>
      <c r="F566" s="9"/>
      <c r="G566" s="3"/>
      <c r="H566" s="13"/>
      <c r="I566" s="36" t="s">
        <v>556</v>
      </c>
      <c r="J566" s="3"/>
      <c r="K566" s="31" t="s">
        <v>557</v>
      </c>
      <c r="L566" s="3"/>
      <c r="M566" s="8"/>
      <c r="N566" s="13"/>
      <c r="O566" s="36" t="s">
        <v>556</v>
      </c>
      <c r="P566" s="3"/>
      <c r="Q566" s="31" t="s">
        <v>557</v>
      </c>
      <c r="R566" s="3"/>
    </row>
    <row r="567" spans="1:18">
      <c r="A567" s="14"/>
      <c r="B567" s="9"/>
      <c r="C567" s="10"/>
      <c r="D567" s="9"/>
      <c r="E567" s="9"/>
      <c r="F567" s="9"/>
      <c r="G567" s="3"/>
      <c r="H567" s="13"/>
      <c r="I567" s="36"/>
      <c r="J567" s="3"/>
      <c r="K567" s="31"/>
      <c r="L567" s="3"/>
      <c r="M567" s="8"/>
      <c r="N567" s="47"/>
      <c r="O567" s="21"/>
      <c r="P567" s="20"/>
      <c r="Q567" s="47"/>
      <c r="R567" s="3"/>
    </row>
    <row r="568" spans="1:18">
      <c r="A568" s="14"/>
      <c r="B568" s="11"/>
      <c r="C568" s="12" t="str">
        <f>UPPER(I568)</f>
        <v/>
      </c>
      <c r="D568" s="11"/>
      <c r="E568" s="11" t="str">
        <f>UPPER(K568)</f>
        <v/>
      </c>
      <c r="F568" s="11"/>
      <c r="G568" s="3"/>
      <c r="H568" s="13"/>
      <c r="I568" s="8"/>
      <c r="J568" s="3"/>
      <c r="K568" s="13"/>
      <c r="L568" s="3"/>
      <c r="M568" s="8"/>
      <c r="N568" s="8"/>
      <c r="O568" s="21"/>
      <c r="P568" s="3"/>
      <c r="Q568" s="3"/>
      <c r="R568" s="3"/>
    </row>
    <row r="569" spans="1:18">
      <c r="A569" s="14"/>
      <c r="B569" s="6"/>
      <c r="C569" s="6"/>
      <c r="D569" s="6"/>
      <c r="E569" s="6"/>
      <c r="F569" s="6"/>
      <c r="G569" s="3"/>
      <c r="H569" s="74"/>
      <c r="I569" s="5"/>
      <c r="J569" s="5"/>
      <c r="K569" s="5"/>
      <c r="L569" s="74"/>
      <c r="M569" s="8"/>
      <c r="N569" s="8"/>
      <c r="O569" s="21"/>
      <c r="P569" s="3"/>
      <c r="Q569" s="3"/>
      <c r="R569" s="3"/>
    </row>
    <row r="570" spans="1:18">
      <c r="A570" s="14"/>
      <c r="B570" s="143" t="str">
        <f t="shared" ref="B570:B571" si="104">UPPER(H570)</f>
        <v>PRODUCTION SERVICES PROVIDED BY</v>
      </c>
      <c r="C570" s="141"/>
      <c r="D570" s="141"/>
      <c r="E570" s="141"/>
      <c r="F570" s="141"/>
      <c r="G570" s="3"/>
      <c r="H570" s="145" t="s">
        <v>530</v>
      </c>
      <c r="I570" s="141"/>
      <c r="J570" s="141"/>
      <c r="K570" s="141"/>
      <c r="L570" s="141"/>
      <c r="M570" s="8"/>
      <c r="N570" s="145" t="s">
        <v>940</v>
      </c>
      <c r="O570" s="141"/>
      <c r="P570" s="141"/>
      <c r="Q570" s="141"/>
      <c r="R570" s="141"/>
    </row>
    <row r="571" spans="1:18">
      <c r="A571" s="14"/>
      <c r="B571" s="146" t="str">
        <f t="shared" si="104"/>
        <v>THE MONK STUDIOS</v>
      </c>
      <c r="C571" s="141"/>
      <c r="D571" s="141"/>
      <c r="E571" s="141"/>
      <c r="F571" s="141"/>
      <c r="G571" s="8"/>
      <c r="H571" s="149" t="s">
        <v>202</v>
      </c>
      <c r="I571" s="141"/>
      <c r="J571" s="141"/>
      <c r="K571" s="141"/>
      <c r="L571" s="141"/>
      <c r="M571" s="8"/>
      <c r="N571" s="149" t="s">
        <v>202</v>
      </c>
      <c r="O571" s="141"/>
      <c r="P571" s="141"/>
      <c r="Q571" s="141"/>
      <c r="R571" s="141"/>
    </row>
    <row r="572" spans="1:18">
      <c r="A572" s="14"/>
      <c r="B572" s="6"/>
      <c r="C572" s="6"/>
      <c r="D572" s="6"/>
      <c r="E572" s="6"/>
      <c r="F572" s="6"/>
      <c r="G572" s="3"/>
      <c r="H572" s="74"/>
      <c r="I572" s="5"/>
      <c r="J572" s="5"/>
      <c r="K572" s="5"/>
      <c r="L572" s="74"/>
      <c r="M572" s="8"/>
      <c r="N572" s="74"/>
      <c r="O572" s="5"/>
      <c r="P572" s="5"/>
      <c r="Q572" s="5"/>
      <c r="R572" s="74"/>
    </row>
    <row r="573" spans="1:18">
      <c r="A573" s="14"/>
      <c r="B573" s="146" t="str">
        <f>UPPER(H573)</f>
        <v>PIPELINE &amp; TD</v>
      </c>
      <c r="C573" s="141"/>
      <c r="D573" s="141"/>
      <c r="E573" s="141"/>
      <c r="F573" s="141"/>
      <c r="G573" s="3"/>
      <c r="H573" s="151" t="s">
        <v>558</v>
      </c>
      <c r="I573" s="141"/>
      <c r="J573" s="141"/>
      <c r="K573" s="141"/>
      <c r="L573" s="141"/>
      <c r="M573" s="8"/>
      <c r="N573" s="151" t="s">
        <v>558</v>
      </c>
      <c r="O573" s="141"/>
      <c r="P573" s="141"/>
      <c r="Q573" s="141"/>
      <c r="R573" s="141"/>
    </row>
    <row r="574" spans="1:18">
      <c r="A574" s="14"/>
      <c r="B574" s="9"/>
      <c r="C574" s="10" t="str">
        <f>UPPER(I574)</f>
        <v>HEAD OF PIPELINE</v>
      </c>
      <c r="D574" s="9"/>
      <c r="E574" s="9" t="str">
        <f>UPPER(K574)</f>
        <v>MICHAEL ISARASAK KHANTHAROD</v>
      </c>
      <c r="F574" s="9"/>
      <c r="G574" s="3"/>
      <c r="H574" s="13"/>
      <c r="I574" s="36" t="s">
        <v>561</v>
      </c>
      <c r="J574" s="3"/>
      <c r="K574" s="31" t="s">
        <v>562</v>
      </c>
      <c r="L574" s="3"/>
      <c r="M574" s="8"/>
      <c r="N574" s="13"/>
      <c r="O574" s="36" t="s">
        <v>561</v>
      </c>
      <c r="P574" s="3"/>
      <c r="Q574" s="31" t="s">
        <v>562</v>
      </c>
      <c r="R574" s="3"/>
    </row>
    <row r="575" spans="1:18">
      <c r="A575" s="14"/>
      <c r="B575" s="9"/>
      <c r="C575" s="10"/>
      <c r="D575" s="9"/>
      <c r="E575" s="9"/>
      <c r="F575" s="9"/>
      <c r="G575" s="3"/>
      <c r="H575" s="13"/>
      <c r="I575" s="36"/>
      <c r="J575" s="3"/>
      <c r="K575" s="31"/>
      <c r="L575" s="3"/>
      <c r="M575" s="8"/>
      <c r="N575" s="13"/>
      <c r="O575" s="36"/>
      <c r="P575" s="3"/>
      <c r="Q575" s="31"/>
      <c r="R575" s="3"/>
    </row>
    <row r="576" spans="1:18">
      <c r="A576" s="14"/>
      <c r="B576" s="9"/>
      <c r="C576" s="10" t="str">
        <f t="shared" ref="C576:C593" si="105">UPPER(I576)</f>
        <v>LEAD PIPELINE</v>
      </c>
      <c r="D576" s="9"/>
      <c r="E576" s="9" t="str">
        <f>UPPER(K576)</f>
        <v>SARINPORN PINTUSOPON</v>
      </c>
      <c r="F576" s="9"/>
      <c r="G576" s="3"/>
      <c r="H576" s="13"/>
      <c r="I576" s="36" t="s">
        <v>563</v>
      </c>
      <c r="J576" s="3"/>
      <c r="K576" s="31" t="s">
        <v>564</v>
      </c>
      <c r="L576" s="3"/>
      <c r="M576" s="8"/>
      <c r="N576" s="13"/>
      <c r="O576" s="36" t="s">
        <v>563</v>
      </c>
      <c r="P576" s="3"/>
      <c r="Q576" s="31" t="s">
        <v>564</v>
      </c>
      <c r="R576" s="3"/>
    </row>
    <row r="577" spans="1:18">
      <c r="A577" s="14"/>
      <c r="B577" s="9"/>
      <c r="C577" s="10" t="str">
        <f t="shared" si="105"/>
        <v/>
      </c>
      <c r="D577" s="9"/>
      <c r="E577" s="9"/>
      <c r="F577" s="9"/>
      <c r="G577" s="3"/>
      <c r="H577" s="13"/>
      <c r="I577" s="36"/>
      <c r="J577" s="3"/>
      <c r="K577" s="31"/>
      <c r="L577" s="3"/>
      <c r="M577" s="8"/>
      <c r="N577" s="13"/>
      <c r="O577" s="36"/>
      <c r="P577" s="3"/>
      <c r="Q577" s="31"/>
      <c r="R577" s="3"/>
    </row>
    <row r="578" spans="1:18">
      <c r="A578" s="14"/>
      <c r="B578" s="9"/>
      <c r="C578" s="10" t="str">
        <f t="shared" si="105"/>
        <v>PIPELINE DEVELOPER</v>
      </c>
      <c r="D578" s="9"/>
      <c r="E578" s="9" t="str">
        <f t="shared" ref="E578:E593" si="106">UPPER(K578)</f>
        <v>TANARAT LUANG-ON</v>
      </c>
      <c r="F578" s="9"/>
      <c r="G578" s="3"/>
      <c r="H578" s="13"/>
      <c r="I578" s="36" t="s">
        <v>565</v>
      </c>
      <c r="J578" s="3"/>
      <c r="K578" s="31" t="s">
        <v>566</v>
      </c>
      <c r="L578" s="3"/>
      <c r="M578" s="8"/>
      <c r="N578" s="13"/>
      <c r="O578" s="36" t="s">
        <v>565</v>
      </c>
      <c r="P578" s="3"/>
      <c r="Q578" s="31" t="s">
        <v>566</v>
      </c>
      <c r="R578" s="3"/>
    </row>
    <row r="579" spans="1:18">
      <c r="A579" s="14"/>
      <c r="B579" s="9"/>
      <c r="C579" s="10" t="str">
        <f t="shared" si="105"/>
        <v/>
      </c>
      <c r="D579" s="9"/>
      <c r="E579" s="9" t="str">
        <f t="shared" si="106"/>
        <v>THANYATHON TAYANGKHANON</v>
      </c>
      <c r="F579" s="9"/>
      <c r="G579" s="3"/>
      <c r="H579" s="13"/>
      <c r="I579" s="36"/>
      <c r="J579" s="3"/>
      <c r="K579" s="31" t="s">
        <v>567</v>
      </c>
      <c r="L579" s="3"/>
      <c r="M579" s="8"/>
      <c r="N579" s="13"/>
      <c r="O579" s="36"/>
      <c r="P579" s="3"/>
      <c r="Q579" s="31" t="s">
        <v>567</v>
      </c>
      <c r="R579" s="3"/>
    </row>
    <row r="580" spans="1:18">
      <c r="A580" s="14"/>
      <c r="B580" s="9"/>
      <c r="C580" s="10" t="str">
        <f t="shared" si="105"/>
        <v/>
      </c>
      <c r="D580" s="9"/>
      <c r="E580" s="9" t="str">
        <f t="shared" si="106"/>
        <v>NATTAPONG NILPROHM</v>
      </c>
      <c r="F580" s="9"/>
      <c r="G580" s="3"/>
      <c r="H580" s="13"/>
      <c r="I580" s="36"/>
      <c r="J580" s="3"/>
      <c r="K580" s="22" t="s">
        <v>645</v>
      </c>
      <c r="L580" s="3"/>
      <c r="M580" s="63"/>
      <c r="N580" s="13"/>
      <c r="O580" s="36"/>
      <c r="P580" s="3"/>
      <c r="Q580" s="22" t="s">
        <v>645</v>
      </c>
      <c r="R580" s="3"/>
    </row>
    <row r="581" spans="1:18">
      <c r="A581" s="14"/>
      <c r="B581" s="9"/>
      <c r="C581" s="10" t="str">
        <f t="shared" si="105"/>
        <v/>
      </c>
      <c r="D581" s="9"/>
      <c r="E581" s="9" t="str">
        <f t="shared" si="106"/>
        <v>NUTTAPON VANAKITTISTIEN</v>
      </c>
      <c r="F581" s="9"/>
      <c r="G581" s="3"/>
      <c r="H581" s="13"/>
      <c r="I581" s="36"/>
      <c r="J581" s="3"/>
      <c r="K581" s="31" t="s">
        <v>568</v>
      </c>
      <c r="L581" s="3"/>
      <c r="M581" s="8"/>
      <c r="N581" s="13"/>
      <c r="O581" s="36"/>
      <c r="P581" s="3"/>
      <c r="Q581" s="31" t="s">
        <v>568</v>
      </c>
      <c r="R581" s="3"/>
    </row>
    <row r="582" spans="1:18">
      <c r="A582" s="14"/>
      <c r="B582" s="9"/>
      <c r="C582" s="10" t="str">
        <f t="shared" si="105"/>
        <v/>
      </c>
      <c r="D582" s="9"/>
      <c r="E582" s="9" t="str">
        <f t="shared" si="106"/>
        <v>APISIT SENLUANG</v>
      </c>
      <c r="F582" s="9"/>
      <c r="G582" s="3"/>
      <c r="H582" s="13"/>
      <c r="I582" s="36"/>
      <c r="J582" s="3"/>
      <c r="K582" s="31" t="s">
        <v>569</v>
      </c>
      <c r="L582" s="3"/>
      <c r="M582" s="8"/>
      <c r="N582" s="13"/>
      <c r="O582" s="36"/>
      <c r="P582" s="3"/>
      <c r="Q582" s="31" t="s">
        <v>569</v>
      </c>
      <c r="R582" s="3"/>
    </row>
    <row r="583" spans="1:18">
      <c r="A583" s="14"/>
      <c r="B583" s="9"/>
      <c r="C583" s="10" t="str">
        <f t="shared" si="105"/>
        <v/>
      </c>
      <c r="D583" s="9"/>
      <c r="E583" s="9" t="str">
        <f t="shared" si="106"/>
        <v/>
      </c>
      <c r="F583" s="9"/>
      <c r="G583" s="3"/>
      <c r="H583" s="13"/>
      <c r="I583" s="36"/>
      <c r="J583" s="3"/>
      <c r="K583" s="31"/>
      <c r="L583" s="3"/>
      <c r="M583" s="8"/>
      <c r="N583" s="13"/>
      <c r="O583" s="36"/>
      <c r="P583" s="3"/>
      <c r="Q583" s="31"/>
      <c r="R583" s="3"/>
    </row>
    <row r="584" spans="1:18">
      <c r="A584" s="14"/>
      <c r="B584" s="9"/>
      <c r="C584" s="10" t="str">
        <f t="shared" si="105"/>
        <v>LEAD TECHNICAL DIRECTOR</v>
      </c>
      <c r="D584" s="9"/>
      <c r="E584" s="9" t="str">
        <f t="shared" si="106"/>
        <v>THANAPAT TUMMATI</v>
      </c>
      <c r="F584" s="9"/>
      <c r="G584" s="3"/>
      <c r="H584" s="13"/>
      <c r="I584" s="36" t="s">
        <v>570</v>
      </c>
      <c r="J584" s="3"/>
      <c r="K584" s="31" t="s">
        <v>571</v>
      </c>
      <c r="L584" s="3"/>
      <c r="M584" s="8"/>
      <c r="N584" s="13"/>
      <c r="O584" s="36" t="s">
        <v>570</v>
      </c>
      <c r="P584" s="3"/>
      <c r="Q584" s="31" t="s">
        <v>571</v>
      </c>
      <c r="R584" s="3"/>
    </row>
    <row r="585" spans="1:18">
      <c r="A585" s="14"/>
      <c r="B585" s="9"/>
      <c r="C585" s="10" t="str">
        <f t="shared" si="105"/>
        <v/>
      </c>
      <c r="D585" s="9"/>
      <c r="E585" s="9" t="str">
        <f t="shared" si="106"/>
        <v/>
      </c>
      <c r="F585" s="9"/>
      <c r="G585" s="3"/>
      <c r="H585" s="13"/>
      <c r="I585" s="36"/>
      <c r="J585" s="3"/>
      <c r="K585" s="31"/>
      <c r="L585" s="3"/>
      <c r="M585" s="8"/>
      <c r="N585" s="13"/>
      <c r="O585" s="36"/>
      <c r="P585" s="3"/>
      <c r="Q585" s="31"/>
      <c r="R585" s="3"/>
    </row>
    <row r="586" spans="1:18">
      <c r="A586" s="14"/>
      <c r="B586" s="9"/>
      <c r="C586" s="10" t="str">
        <f t="shared" si="105"/>
        <v>TECHNICAL DIRECTOR</v>
      </c>
      <c r="D586" s="9"/>
      <c r="E586" s="9" t="str">
        <f t="shared" si="106"/>
        <v>TANAWOOT  SINGTHONGPRASERT</v>
      </c>
      <c r="F586" s="9"/>
      <c r="G586" s="3"/>
      <c r="H586" s="13"/>
      <c r="I586" s="36" t="s">
        <v>572</v>
      </c>
      <c r="J586" s="3"/>
      <c r="K586" s="31" t="s">
        <v>646</v>
      </c>
      <c r="L586" s="3"/>
      <c r="M586" s="8"/>
      <c r="N586" s="13"/>
      <c r="O586" s="36" t="s">
        <v>572</v>
      </c>
      <c r="P586" s="3"/>
      <c r="Q586" s="31" t="s">
        <v>646</v>
      </c>
      <c r="R586" s="3"/>
    </row>
    <row r="587" spans="1:18">
      <c r="A587" s="14"/>
      <c r="B587" s="9"/>
      <c r="C587" s="10" t="str">
        <f t="shared" si="105"/>
        <v/>
      </c>
      <c r="D587" s="9"/>
      <c r="E587" s="9" t="str">
        <f t="shared" si="106"/>
        <v>PEERAPAT SRIPENG</v>
      </c>
      <c r="F587" s="9"/>
      <c r="G587" s="3"/>
      <c r="H587" s="13"/>
      <c r="I587" s="36"/>
      <c r="J587" s="3"/>
      <c r="K587" s="31" t="s">
        <v>574</v>
      </c>
      <c r="L587" s="3"/>
      <c r="M587" s="8"/>
      <c r="N587" s="13"/>
      <c r="O587" s="36"/>
      <c r="P587" s="3"/>
      <c r="Q587" s="31" t="s">
        <v>574</v>
      </c>
      <c r="R587" s="3"/>
    </row>
    <row r="588" spans="1:18">
      <c r="A588" s="14"/>
      <c r="B588" s="9"/>
      <c r="C588" s="10" t="str">
        <f t="shared" si="105"/>
        <v/>
      </c>
      <c r="D588" s="9"/>
      <c r="E588" s="9" t="str">
        <f t="shared" si="106"/>
        <v>THIRADA THEETHUM</v>
      </c>
      <c r="F588" s="9"/>
      <c r="G588" s="3"/>
      <c r="H588" s="13"/>
      <c r="I588" s="36"/>
      <c r="J588" s="3"/>
      <c r="K588" s="31" t="s">
        <v>575</v>
      </c>
      <c r="L588" s="3"/>
      <c r="M588" s="8"/>
      <c r="N588" s="13"/>
      <c r="O588" s="36"/>
      <c r="P588" s="3"/>
      <c r="Q588" s="31" t="s">
        <v>575</v>
      </c>
      <c r="R588" s="3"/>
    </row>
    <row r="589" spans="1:18">
      <c r="A589" s="14"/>
      <c r="B589" s="9"/>
      <c r="C589" s="10" t="str">
        <f t="shared" si="105"/>
        <v/>
      </c>
      <c r="D589" s="9"/>
      <c r="E589" s="9" t="str">
        <f t="shared" si="106"/>
        <v>NICHAPAT KACHACHEEWA</v>
      </c>
      <c r="F589" s="9"/>
      <c r="G589" s="3"/>
      <c r="H589" s="13"/>
      <c r="I589" s="36"/>
      <c r="J589" s="3"/>
      <c r="K589" s="31" t="s">
        <v>576</v>
      </c>
      <c r="L589" s="3"/>
      <c r="M589" s="8"/>
      <c r="N589" s="13"/>
      <c r="O589" s="36"/>
      <c r="P589" s="3"/>
      <c r="Q589" s="31" t="s">
        <v>576</v>
      </c>
      <c r="R589" s="3"/>
    </row>
    <row r="590" spans="1:18">
      <c r="A590" s="14"/>
      <c r="B590" s="9"/>
      <c r="C590" s="10" t="str">
        <f t="shared" si="105"/>
        <v/>
      </c>
      <c r="D590" s="9"/>
      <c r="E590" s="9" t="str">
        <f t="shared" si="106"/>
        <v>SUCHADA  KHAMWAN</v>
      </c>
      <c r="F590" s="9"/>
      <c r="G590" s="3"/>
      <c r="H590" s="13"/>
      <c r="I590" s="36"/>
      <c r="J590" s="3"/>
      <c r="K590" s="31" t="s">
        <v>577</v>
      </c>
      <c r="L590" s="3"/>
      <c r="M590" s="8"/>
      <c r="N590" s="13"/>
      <c r="O590" s="36"/>
      <c r="P590" s="3"/>
      <c r="Q590" s="31" t="s">
        <v>577</v>
      </c>
      <c r="R590" s="3"/>
    </row>
    <row r="591" spans="1:18">
      <c r="A591" s="14"/>
      <c r="B591" s="9"/>
      <c r="C591" s="10" t="str">
        <f t="shared" si="105"/>
        <v/>
      </c>
      <c r="D591" s="9"/>
      <c r="E591" s="9" t="str">
        <f t="shared" si="106"/>
        <v/>
      </c>
      <c r="F591" s="9"/>
      <c r="G591" s="3"/>
      <c r="H591" s="13"/>
      <c r="I591" s="36"/>
      <c r="J591" s="3"/>
      <c r="K591" s="31"/>
      <c r="L591" s="3"/>
      <c r="M591" s="8"/>
      <c r="N591" s="13"/>
      <c r="O591" s="36"/>
      <c r="P591" s="3"/>
      <c r="Q591" s="31"/>
      <c r="R591" s="3"/>
    </row>
    <row r="592" spans="1:18">
      <c r="A592" s="14"/>
      <c r="B592" s="9"/>
      <c r="C592" s="10" t="str">
        <f t="shared" si="105"/>
        <v>RIG TECHNICAL DIRECTOR</v>
      </c>
      <c r="D592" s="9"/>
      <c r="E592" s="9" t="str">
        <f t="shared" si="106"/>
        <v>PONGSOPON  SROYSOMWONG</v>
      </c>
      <c r="F592" s="9"/>
      <c r="G592" s="3"/>
      <c r="H592" s="13"/>
      <c r="I592" s="36" t="s">
        <v>578</v>
      </c>
      <c r="J592" s="3"/>
      <c r="K592" s="31" t="s">
        <v>647</v>
      </c>
      <c r="L592" s="3"/>
      <c r="M592" s="8"/>
      <c r="N592" s="13"/>
      <c r="O592" s="36" t="s">
        <v>578</v>
      </c>
      <c r="P592" s="3"/>
      <c r="Q592" s="31" t="s">
        <v>647</v>
      </c>
      <c r="R592" s="3"/>
    </row>
    <row r="593" spans="1:18">
      <c r="A593" s="14"/>
      <c r="B593" s="9"/>
      <c r="C593" s="10" t="str">
        <f t="shared" si="105"/>
        <v/>
      </c>
      <c r="D593" s="9"/>
      <c r="E593" s="9" t="str">
        <f t="shared" si="106"/>
        <v>SARAWUT SUWAN</v>
      </c>
      <c r="F593" s="9"/>
      <c r="G593" s="3"/>
      <c r="H593" s="13"/>
      <c r="I593" s="36"/>
      <c r="J593" s="3"/>
      <c r="K593" s="31" t="s">
        <v>580</v>
      </c>
      <c r="L593" s="3"/>
      <c r="M593" s="8"/>
      <c r="N593" s="13"/>
      <c r="O593" s="36"/>
      <c r="P593" s="3"/>
      <c r="Q593" s="31" t="s">
        <v>580</v>
      </c>
      <c r="R593" s="3"/>
    </row>
    <row r="594" spans="1:18">
      <c r="A594" s="14"/>
      <c r="B594" s="6"/>
      <c r="C594" s="6"/>
      <c r="D594" s="6"/>
      <c r="E594" s="6"/>
      <c r="F594" s="6"/>
      <c r="G594" s="3"/>
      <c r="H594" s="74"/>
      <c r="I594" s="5"/>
      <c r="J594" s="5"/>
      <c r="K594" s="5"/>
      <c r="L594" s="74"/>
      <c r="M594" s="8"/>
      <c r="N594" s="47"/>
      <c r="O594" s="21"/>
      <c r="P594" s="20"/>
      <c r="Q594" s="47"/>
      <c r="R594" s="3"/>
    </row>
    <row r="595" spans="1:18">
      <c r="A595" s="14"/>
      <c r="B595" s="26"/>
      <c r="C595" s="26"/>
      <c r="D595" s="26"/>
      <c r="E595" s="26"/>
      <c r="F595" s="26"/>
      <c r="G595" s="3"/>
      <c r="H595" s="74"/>
      <c r="I595" s="5"/>
      <c r="J595" s="5"/>
      <c r="K595" s="5"/>
      <c r="L595" s="74"/>
      <c r="M595" s="8"/>
      <c r="N595" s="47"/>
      <c r="O595" s="21"/>
      <c r="P595" s="20"/>
      <c r="Q595" s="47"/>
      <c r="R595" s="3"/>
    </row>
    <row r="596" spans="1:18">
      <c r="A596" s="14"/>
      <c r="B596" s="6"/>
      <c r="C596" s="6"/>
      <c r="D596" s="6"/>
      <c r="E596" s="6"/>
      <c r="F596" s="6"/>
      <c r="G596" s="3"/>
      <c r="H596" s="74"/>
      <c r="I596" s="5"/>
      <c r="J596" s="5"/>
      <c r="K596" s="5"/>
      <c r="L596" s="74"/>
      <c r="M596" s="8"/>
      <c r="N596" s="47"/>
      <c r="O596" s="21"/>
      <c r="P596" s="20"/>
      <c r="Q596" s="47"/>
      <c r="R596" s="3"/>
    </row>
    <row r="597" spans="1:18">
      <c r="A597" s="14"/>
      <c r="B597" s="143" t="str">
        <f t="shared" ref="B597:B598" si="107">UPPER(H597)</f>
        <v>PRODUCTION SERVICES PROVIDED BY</v>
      </c>
      <c r="C597" s="141"/>
      <c r="D597" s="141"/>
      <c r="E597" s="141"/>
      <c r="F597" s="141"/>
      <c r="G597" s="3"/>
      <c r="H597" s="145" t="s">
        <v>530</v>
      </c>
      <c r="I597" s="141"/>
      <c r="J597" s="141"/>
      <c r="K597" s="141"/>
      <c r="L597" s="141"/>
      <c r="M597" s="8"/>
      <c r="N597" s="145" t="s">
        <v>940</v>
      </c>
      <c r="O597" s="141"/>
      <c r="P597" s="141"/>
      <c r="Q597" s="141"/>
      <c r="R597" s="141"/>
    </row>
    <row r="598" spans="1:18">
      <c r="A598" s="14"/>
      <c r="B598" s="146" t="str">
        <f t="shared" si="107"/>
        <v>THE MONK STUDIOS</v>
      </c>
      <c r="C598" s="141"/>
      <c r="D598" s="141"/>
      <c r="E598" s="141"/>
      <c r="F598" s="141"/>
      <c r="G598" s="8"/>
      <c r="H598" s="149" t="s">
        <v>202</v>
      </c>
      <c r="I598" s="141"/>
      <c r="J598" s="141"/>
      <c r="K598" s="141"/>
      <c r="L598" s="141"/>
      <c r="M598" s="8"/>
      <c r="N598" s="149" t="s">
        <v>202</v>
      </c>
      <c r="O598" s="141"/>
      <c r="P598" s="141"/>
      <c r="Q598" s="141"/>
      <c r="R598" s="141"/>
    </row>
    <row r="599" spans="1:18">
      <c r="A599" s="14"/>
      <c r="B599" s="9"/>
      <c r="C599" s="10"/>
      <c r="D599" s="9"/>
      <c r="E599" s="9"/>
      <c r="F599" s="9"/>
      <c r="G599" s="3"/>
      <c r="H599" s="13"/>
      <c r="I599" s="8"/>
      <c r="J599" s="3"/>
      <c r="K599" s="13"/>
      <c r="L599" s="3"/>
      <c r="M599" s="8"/>
      <c r="N599" s="13"/>
      <c r="O599" s="8"/>
      <c r="P599" s="3"/>
      <c r="Q599" s="13"/>
      <c r="R599" s="3"/>
    </row>
    <row r="600" spans="1:18">
      <c r="A600" s="14"/>
      <c r="B600" s="146" t="str">
        <f>UPPER(H600)</f>
        <v>IT</v>
      </c>
      <c r="C600" s="141"/>
      <c r="D600" s="141"/>
      <c r="E600" s="141"/>
      <c r="F600" s="141"/>
      <c r="G600" s="3"/>
      <c r="H600" s="151" t="s">
        <v>581</v>
      </c>
      <c r="I600" s="141"/>
      <c r="J600" s="141"/>
      <c r="K600" s="141"/>
      <c r="L600" s="141"/>
      <c r="M600" s="8"/>
      <c r="N600" s="151" t="s">
        <v>581</v>
      </c>
      <c r="O600" s="141"/>
      <c r="P600" s="141"/>
      <c r="Q600" s="141"/>
      <c r="R600" s="141"/>
    </row>
    <row r="601" spans="1:18">
      <c r="A601" s="14"/>
      <c r="B601" s="9"/>
      <c r="C601" s="10" t="str">
        <f t="shared" ref="C601:C608" si="108">UPPER(I601)</f>
        <v>IT DIRECTOR</v>
      </c>
      <c r="D601" s="9"/>
      <c r="E601" s="9" t="str">
        <f t="shared" ref="E601:E608" si="109">UPPER(K601)</f>
        <v>PAKORN CHUTINIMITKUL</v>
      </c>
      <c r="F601" s="9"/>
      <c r="G601" s="3"/>
      <c r="H601" s="13"/>
      <c r="I601" s="30" t="s">
        <v>582</v>
      </c>
      <c r="J601" s="3"/>
      <c r="K601" s="22" t="s">
        <v>583</v>
      </c>
      <c r="L601" s="3"/>
      <c r="M601" s="8"/>
      <c r="N601" s="13"/>
      <c r="O601" s="30" t="s">
        <v>582</v>
      </c>
      <c r="P601" s="3"/>
      <c r="Q601" s="22" t="s">
        <v>583</v>
      </c>
      <c r="R601" s="3"/>
    </row>
    <row r="602" spans="1:18">
      <c r="A602" s="14"/>
      <c r="B602" s="9"/>
      <c r="C602" s="10" t="str">
        <f t="shared" si="108"/>
        <v/>
      </c>
      <c r="D602" s="9"/>
      <c r="E602" s="9" t="str">
        <f t="shared" si="109"/>
        <v/>
      </c>
      <c r="F602" s="9"/>
      <c r="G602" s="3"/>
      <c r="H602" s="13"/>
      <c r="I602" s="30"/>
      <c r="J602" s="3"/>
      <c r="K602" s="22"/>
      <c r="L602" s="3"/>
      <c r="M602" s="8"/>
      <c r="N602" s="13"/>
      <c r="O602" s="30"/>
      <c r="P602" s="3"/>
      <c r="Q602" s="22"/>
      <c r="R602" s="3"/>
    </row>
    <row r="603" spans="1:18">
      <c r="A603" s="14"/>
      <c r="B603" s="9"/>
      <c r="C603" s="10" t="str">
        <f t="shared" si="108"/>
        <v>SYSTEM ENGINEER</v>
      </c>
      <c r="D603" s="9"/>
      <c r="E603" s="9" t="str">
        <f t="shared" si="109"/>
        <v>NATEE KOONJATURAPAT</v>
      </c>
      <c r="F603" s="9"/>
      <c r="G603" s="3"/>
      <c r="H603" s="13"/>
      <c r="I603" s="30" t="s">
        <v>584</v>
      </c>
      <c r="J603" s="3"/>
      <c r="K603" s="22" t="s">
        <v>585</v>
      </c>
      <c r="L603" s="3"/>
      <c r="M603" s="8"/>
      <c r="N603" s="13"/>
      <c r="O603" s="30" t="s">
        <v>584</v>
      </c>
      <c r="P603" s="3"/>
      <c r="Q603" s="22" t="s">
        <v>585</v>
      </c>
      <c r="R603" s="3"/>
    </row>
    <row r="604" spans="1:18">
      <c r="A604" s="14"/>
      <c r="B604" s="9"/>
      <c r="C604" s="10" t="str">
        <f t="shared" si="108"/>
        <v/>
      </c>
      <c r="D604" s="9"/>
      <c r="E604" s="9" t="str">
        <f t="shared" si="109"/>
        <v/>
      </c>
      <c r="F604" s="9"/>
      <c r="G604" s="3"/>
      <c r="H604" s="13"/>
      <c r="I604" s="30"/>
      <c r="J604" s="3"/>
      <c r="K604" s="22"/>
      <c r="L604" s="3"/>
      <c r="M604" s="8"/>
      <c r="N604" s="13"/>
      <c r="O604" s="30"/>
      <c r="P604" s="3"/>
      <c r="Q604" s="22"/>
      <c r="R604" s="3"/>
    </row>
    <row r="605" spans="1:18">
      <c r="A605" s="14"/>
      <c r="B605" s="9"/>
      <c r="C605" s="10" t="str">
        <f t="shared" si="108"/>
        <v>IT SUPPORT</v>
      </c>
      <c r="D605" s="9"/>
      <c r="E605" s="9" t="str">
        <f t="shared" si="109"/>
        <v>CHATCHAI LOHSIRI</v>
      </c>
      <c r="F605" s="9"/>
      <c r="G605" s="3"/>
      <c r="H605" s="13"/>
      <c r="I605" s="30" t="s">
        <v>586</v>
      </c>
      <c r="J605" s="3"/>
      <c r="K605" s="22" t="s">
        <v>587</v>
      </c>
      <c r="L605" s="3"/>
      <c r="M605" s="8"/>
      <c r="N605" s="13"/>
      <c r="O605" s="30" t="s">
        <v>586</v>
      </c>
      <c r="P605" s="3"/>
      <c r="Q605" s="22" t="s">
        <v>587</v>
      </c>
      <c r="R605" s="3"/>
    </row>
    <row r="606" spans="1:18">
      <c r="A606" s="14"/>
      <c r="B606" s="9"/>
      <c r="C606" s="10" t="str">
        <f t="shared" si="108"/>
        <v/>
      </c>
      <c r="D606" s="9"/>
      <c r="E606" s="9" t="str">
        <f t="shared" si="109"/>
        <v>WIMONWAN LERTTHONGKAM</v>
      </c>
      <c r="F606" s="9"/>
      <c r="G606" s="3"/>
      <c r="H606" s="13"/>
      <c r="I606" s="30"/>
      <c r="J606" s="3"/>
      <c r="K606" s="22" t="s">
        <v>588</v>
      </c>
      <c r="L606" s="3"/>
      <c r="M606" s="8"/>
      <c r="N606" s="13"/>
      <c r="O606" s="30"/>
      <c r="P606" s="3"/>
      <c r="Q606" s="22" t="s">
        <v>588</v>
      </c>
      <c r="R606" s="3"/>
    </row>
    <row r="607" spans="1:18">
      <c r="A607" s="14"/>
      <c r="B607" s="9"/>
      <c r="C607" s="10" t="str">
        <f t="shared" si="108"/>
        <v/>
      </c>
      <c r="D607" s="9"/>
      <c r="E607" s="9" t="str">
        <f t="shared" si="109"/>
        <v/>
      </c>
      <c r="F607" s="9"/>
      <c r="G607" s="3"/>
      <c r="H607" s="13"/>
      <c r="I607" s="8"/>
      <c r="J607" s="3"/>
      <c r="K607" s="13"/>
      <c r="L607" s="3"/>
      <c r="M607" s="8"/>
      <c r="N607" s="47"/>
      <c r="O607" s="21"/>
      <c r="P607" s="20"/>
      <c r="Q607" s="62"/>
      <c r="R607" s="3"/>
    </row>
    <row r="608" spans="1:18">
      <c r="A608" s="14"/>
      <c r="B608" s="11"/>
      <c r="C608" s="12" t="str">
        <f t="shared" si="108"/>
        <v/>
      </c>
      <c r="D608" s="11"/>
      <c r="E608" s="11" t="str">
        <f t="shared" si="109"/>
        <v/>
      </c>
      <c r="F608" s="11"/>
      <c r="G608" s="3"/>
      <c r="H608" s="3"/>
      <c r="I608" s="8"/>
      <c r="J608" s="3"/>
      <c r="K608" s="13"/>
      <c r="L608" s="3"/>
      <c r="M608" s="8"/>
      <c r="N608" s="8"/>
      <c r="O608" s="21"/>
      <c r="P608" s="3"/>
      <c r="Q608" s="3"/>
      <c r="R608" s="3"/>
    </row>
    <row r="609" spans="1:18">
      <c r="A609" s="14"/>
      <c r="B609" s="61"/>
      <c r="C609" s="61"/>
      <c r="D609" s="61"/>
      <c r="E609" s="61"/>
      <c r="F609" s="61"/>
      <c r="G609" s="3"/>
      <c r="H609" s="7"/>
      <c r="I609" s="7"/>
      <c r="J609" s="7"/>
      <c r="K609" s="7"/>
      <c r="L609" s="7"/>
      <c r="M609" s="8"/>
      <c r="N609" s="8"/>
      <c r="O609" s="21"/>
      <c r="P609" s="3"/>
      <c r="Q609" s="3"/>
      <c r="R609" s="3"/>
    </row>
    <row r="610" spans="1:18">
      <c r="A610" s="14"/>
      <c r="B610" s="143" t="str">
        <f t="shared" ref="B610:B611" si="110">UPPER(H610)</f>
        <v>PRODUCTION SERVICES PROVIDED BY</v>
      </c>
      <c r="C610" s="141"/>
      <c r="D610" s="141"/>
      <c r="E610" s="141"/>
      <c r="F610" s="141"/>
      <c r="G610" s="3"/>
      <c r="H610" s="145" t="s">
        <v>530</v>
      </c>
      <c r="I610" s="141"/>
      <c r="J610" s="141"/>
      <c r="K610" s="141"/>
      <c r="L610" s="141"/>
      <c r="M610" s="8"/>
      <c r="N610" s="145" t="s">
        <v>940</v>
      </c>
      <c r="O610" s="141"/>
      <c r="P610" s="141"/>
      <c r="Q610" s="141"/>
      <c r="R610" s="141"/>
    </row>
    <row r="611" spans="1:18">
      <c r="A611" s="14"/>
      <c r="B611" s="146" t="str">
        <f t="shared" si="110"/>
        <v>STUDIO GOINDOL INC.</v>
      </c>
      <c r="C611" s="141"/>
      <c r="D611" s="141"/>
      <c r="E611" s="141"/>
      <c r="F611" s="141"/>
      <c r="G611" s="3"/>
      <c r="H611" s="149" t="s">
        <v>176</v>
      </c>
      <c r="I611" s="141"/>
      <c r="J611" s="141"/>
      <c r="K611" s="141"/>
      <c r="L611" s="141"/>
      <c r="M611" s="8"/>
      <c r="N611" s="149" t="s">
        <v>176</v>
      </c>
      <c r="O611" s="141"/>
      <c r="P611" s="141"/>
      <c r="Q611" s="141"/>
      <c r="R611" s="141"/>
    </row>
    <row r="612" spans="1:18">
      <c r="A612" s="14"/>
      <c r="B612" s="6"/>
      <c r="C612" s="6"/>
      <c r="D612" s="6"/>
      <c r="E612" s="6"/>
      <c r="F612" s="6"/>
      <c r="G612" s="3"/>
      <c r="H612" s="5"/>
      <c r="I612" s="5"/>
      <c r="J612" s="5"/>
      <c r="K612" s="5"/>
      <c r="L612" s="5"/>
      <c r="M612" s="8"/>
      <c r="N612" s="15"/>
      <c r="O612" s="15"/>
      <c r="P612" s="15"/>
      <c r="Q612" s="15"/>
      <c r="R612" s="15"/>
    </row>
    <row r="613" spans="1:18">
      <c r="A613" s="14"/>
      <c r="B613" s="146" t="str">
        <f>UPPER(H613)</f>
        <v>STORYBOARD &amp; DESIGN</v>
      </c>
      <c r="C613" s="141"/>
      <c r="D613" s="141"/>
      <c r="E613" s="141"/>
      <c r="F613" s="141"/>
      <c r="G613" s="3"/>
      <c r="H613" s="149" t="s">
        <v>589</v>
      </c>
      <c r="I613" s="141"/>
      <c r="J613" s="141"/>
      <c r="K613" s="141"/>
      <c r="L613" s="141"/>
      <c r="M613" s="8"/>
      <c r="N613" s="149" t="s">
        <v>941</v>
      </c>
      <c r="O613" s="141"/>
      <c r="P613" s="141"/>
      <c r="Q613" s="141"/>
      <c r="R613" s="141"/>
    </row>
    <row r="614" spans="1:18">
      <c r="A614" s="14"/>
      <c r="B614" s="9"/>
      <c r="C614" s="10" t="str">
        <f>UPPER(I614)</f>
        <v>CHIEF PRODUCER</v>
      </c>
      <c r="D614" s="9"/>
      <c r="E614" s="9" t="str">
        <f>UPPER(K614)</f>
        <v>JUNGSOO HUR</v>
      </c>
      <c r="F614" s="9"/>
      <c r="G614" s="3"/>
      <c r="H614" s="3"/>
      <c r="I614" s="8" t="s">
        <v>590</v>
      </c>
      <c r="J614" s="3"/>
      <c r="K614" s="3" t="s">
        <v>591</v>
      </c>
      <c r="L614" s="3"/>
      <c r="M614" s="8"/>
      <c r="N614" s="3"/>
      <c r="O614" s="63" t="s">
        <v>772</v>
      </c>
      <c r="P614" s="3"/>
      <c r="Q614" s="3" t="s">
        <v>942</v>
      </c>
      <c r="R614" s="3"/>
    </row>
    <row r="615" spans="1:18">
      <c r="A615" s="14"/>
      <c r="B615" s="9"/>
      <c r="C615" s="10"/>
      <c r="D615" s="9"/>
      <c r="E615" s="9"/>
      <c r="F615" s="9"/>
      <c r="G615" s="3"/>
      <c r="H615" s="3"/>
      <c r="I615" s="8"/>
      <c r="J615" s="3"/>
      <c r="K615" s="3"/>
      <c r="L615" s="3"/>
      <c r="M615" s="8"/>
      <c r="N615" s="3"/>
      <c r="O615" s="8"/>
      <c r="P615" s="3"/>
      <c r="Q615" s="3"/>
      <c r="R615" s="3"/>
    </row>
    <row r="616" spans="1:18">
      <c r="A616" s="14"/>
      <c r="B616" s="9"/>
      <c r="C616" s="10" t="str">
        <f>UPPER(I616)</f>
        <v>PRODUCER</v>
      </c>
      <c r="D616" s="9"/>
      <c r="E616" s="9" t="str">
        <f>UPPER(K616)</f>
        <v>GEUNJEONG KIM</v>
      </c>
      <c r="F616" s="9"/>
      <c r="G616" s="3"/>
      <c r="H616" s="3"/>
      <c r="I616" s="8" t="s">
        <v>504</v>
      </c>
      <c r="J616" s="3"/>
      <c r="K616" s="3" t="s">
        <v>592</v>
      </c>
      <c r="L616" s="3"/>
      <c r="M616" s="8"/>
      <c r="N616" s="3"/>
      <c r="O616" s="8" t="s">
        <v>773</v>
      </c>
      <c r="P616" s="3"/>
      <c r="Q616" s="3" t="s">
        <v>943</v>
      </c>
      <c r="R616" s="3"/>
    </row>
    <row r="617" spans="1:18">
      <c r="A617" s="14"/>
      <c r="B617" s="9"/>
      <c r="C617" s="10"/>
      <c r="D617" s="9"/>
      <c r="E617" s="9"/>
      <c r="F617" s="9"/>
      <c r="G617" s="3"/>
      <c r="H617" s="3"/>
      <c r="I617" s="8"/>
      <c r="J617" s="3"/>
      <c r="K617" s="3"/>
      <c r="L617" s="3"/>
      <c r="M617" s="8"/>
      <c r="N617" s="3"/>
      <c r="O617" s="8"/>
      <c r="P617" s="3"/>
      <c r="Q617" s="3"/>
      <c r="R617" s="3"/>
    </row>
    <row r="618" spans="1:18">
      <c r="A618" s="14"/>
      <c r="B618" s="9"/>
      <c r="C618" s="10" t="str">
        <f>UPPER(I618)</f>
        <v>COORDINATOR</v>
      </c>
      <c r="D618" s="9"/>
      <c r="E618" s="9" t="str">
        <f>UPPER(K618)</f>
        <v>JOWON JUNG</v>
      </c>
      <c r="F618" s="9"/>
      <c r="G618" s="3"/>
      <c r="H618" s="3"/>
      <c r="I618" s="8" t="s">
        <v>593</v>
      </c>
      <c r="J618" s="3"/>
      <c r="K618" s="3" t="s">
        <v>594</v>
      </c>
      <c r="L618" s="3"/>
      <c r="M618" s="8"/>
      <c r="N618" s="3"/>
      <c r="O618" s="8" t="s">
        <v>944</v>
      </c>
      <c r="P618" s="3"/>
      <c r="Q618" s="3" t="s">
        <v>945</v>
      </c>
      <c r="R618" s="3"/>
    </row>
    <row r="619" spans="1:18">
      <c r="A619" s="14"/>
      <c r="B619" s="9"/>
      <c r="C619" s="10"/>
      <c r="D619" s="9"/>
      <c r="E619" s="9"/>
      <c r="F619" s="9"/>
      <c r="G619" s="3"/>
      <c r="H619" s="3"/>
      <c r="I619" s="8"/>
      <c r="J619" s="3"/>
      <c r="K619" s="3"/>
      <c r="L619" s="3"/>
      <c r="M619" s="8"/>
      <c r="N619" s="3"/>
      <c r="O619" s="8"/>
      <c r="P619" s="3"/>
      <c r="Q619" s="3"/>
      <c r="R619" s="3"/>
    </row>
    <row r="620" spans="1:18">
      <c r="A620" s="14"/>
      <c r="B620" s="9"/>
      <c r="C620" s="10" t="str">
        <f t="shared" ref="C620:C627" si="111">UPPER(I620)</f>
        <v>LEAD DESIGNER</v>
      </c>
      <c r="D620" s="9"/>
      <c r="E620" s="9" t="str">
        <f t="shared" ref="E620:E627" si="112">UPPER(K620)</f>
        <v>WOOJIN SEOK</v>
      </c>
      <c r="F620" s="9"/>
      <c r="G620" s="3"/>
      <c r="H620" s="3"/>
      <c r="I620" s="8" t="s">
        <v>595</v>
      </c>
      <c r="J620" s="3"/>
      <c r="K620" s="3" t="s">
        <v>596</v>
      </c>
      <c r="L620" s="3"/>
      <c r="M620" s="8"/>
      <c r="N620" s="3"/>
      <c r="O620" s="8" t="s">
        <v>946</v>
      </c>
      <c r="P620" s="3"/>
      <c r="Q620" s="3" t="s">
        <v>947</v>
      </c>
      <c r="R620" s="3"/>
    </row>
    <row r="621" spans="1:18">
      <c r="A621" s="14"/>
      <c r="B621" s="9"/>
      <c r="C621" s="10" t="str">
        <f t="shared" si="111"/>
        <v/>
      </c>
      <c r="D621" s="9"/>
      <c r="E621" s="9" t="str">
        <f t="shared" si="112"/>
        <v/>
      </c>
      <c r="F621" s="9"/>
      <c r="G621" s="3"/>
      <c r="H621" s="3"/>
      <c r="I621" s="8"/>
      <c r="J621" s="3"/>
      <c r="K621" s="3"/>
      <c r="L621" s="3"/>
      <c r="M621" s="8"/>
      <c r="N621" s="3"/>
      <c r="O621" s="8"/>
      <c r="P621" s="3"/>
      <c r="Q621" s="3"/>
      <c r="R621" s="3"/>
    </row>
    <row r="622" spans="1:18">
      <c r="A622" s="14"/>
      <c r="B622" s="9"/>
      <c r="C622" s="10" t="str">
        <f t="shared" si="111"/>
        <v>DESIGNER</v>
      </c>
      <c r="D622" s="9"/>
      <c r="E622" s="9" t="str">
        <f t="shared" si="112"/>
        <v>JIHYUN KIM</v>
      </c>
      <c r="F622" s="9"/>
      <c r="G622" s="3"/>
      <c r="H622" s="3"/>
      <c r="I622" s="8" t="s">
        <v>597</v>
      </c>
      <c r="J622" s="3"/>
      <c r="K622" s="3" t="s">
        <v>598</v>
      </c>
      <c r="L622" s="3"/>
      <c r="M622" s="8"/>
      <c r="N622" s="3"/>
      <c r="O622" s="8" t="s">
        <v>948</v>
      </c>
      <c r="P622" s="3"/>
      <c r="Q622" s="3" t="s">
        <v>771</v>
      </c>
      <c r="R622" s="3"/>
    </row>
    <row r="623" spans="1:18">
      <c r="A623" s="14"/>
      <c r="B623" s="9"/>
      <c r="C623" s="10" t="str">
        <f t="shared" si="111"/>
        <v/>
      </c>
      <c r="D623" s="9"/>
      <c r="E623" s="9" t="str">
        <f t="shared" si="112"/>
        <v>MINCHANG KIM</v>
      </c>
      <c r="F623" s="9"/>
      <c r="G623" s="3"/>
      <c r="H623" s="3"/>
      <c r="I623" s="8"/>
      <c r="J623" s="3"/>
      <c r="K623" s="3" t="s">
        <v>599</v>
      </c>
      <c r="L623" s="3"/>
      <c r="M623" s="8"/>
      <c r="N623" s="3"/>
      <c r="O623" s="3"/>
      <c r="P623" s="3"/>
      <c r="Q623" s="3" t="s">
        <v>949</v>
      </c>
      <c r="R623" s="3"/>
    </row>
    <row r="624" spans="1:18">
      <c r="A624" s="14"/>
      <c r="B624" s="9"/>
      <c r="C624" s="10" t="str">
        <f t="shared" si="111"/>
        <v/>
      </c>
      <c r="D624" s="9"/>
      <c r="E624" s="9" t="str">
        <f t="shared" si="112"/>
        <v>JAEWOOK JOO</v>
      </c>
      <c r="F624" s="9"/>
      <c r="G624" s="3"/>
      <c r="H624" s="3"/>
      <c r="I624" s="8"/>
      <c r="J624" s="3"/>
      <c r="K624" s="3" t="s">
        <v>600</v>
      </c>
      <c r="L624" s="3"/>
      <c r="M624" s="8"/>
      <c r="N624" s="3"/>
      <c r="O624" s="3"/>
      <c r="P624" s="3"/>
      <c r="Q624" s="3" t="s">
        <v>950</v>
      </c>
      <c r="R624" s="3"/>
    </row>
    <row r="625" spans="1:18">
      <c r="A625" s="14"/>
      <c r="B625" s="9"/>
      <c r="C625" s="10" t="str">
        <f t="shared" si="111"/>
        <v/>
      </c>
      <c r="D625" s="9"/>
      <c r="E625" s="9" t="str">
        <f t="shared" si="112"/>
        <v>NAMOK EU</v>
      </c>
      <c r="F625" s="9"/>
      <c r="G625" s="3"/>
      <c r="H625" s="3"/>
      <c r="I625" s="8"/>
      <c r="J625" s="3"/>
      <c r="K625" s="3" t="s">
        <v>601</v>
      </c>
      <c r="L625" s="3"/>
      <c r="M625" s="8"/>
      <c r="N625" s="3"/>
      <c r="O625" s="3"/>
      <c r="P625" s="3"/>
      <c r="Q625" s="3" t="s">
        <v>951</v>
      </c>
      <c r="R625" s="3"/>
    </row>
    <row r="626" spans="1:18">
      <c r="A626" s="14"/>
      <c r="B626" s="9"/>
      <c r="C626" s="10" t="str">
        <f t="shared" si="111"/>
        <v/>
      </c>
      <c r="D626" s="9"/>
      <c r="E626" s="9" t="str">
        <f t="shared" si="112"/>
        <v>DAI JEONG</v>
      </c>
      <c r="F626" s="9"/>
      <c r="G626" s="3"/>
      <c r="H626" s="3"/>
      <c r="I626" s="8"/>
      <c r="J626" s="3"/>
      <c r="K626" s="3" t="s">
        <v>602</v>
      </c>
      <c r="L626" s="3"/>
      <c r="M626" s="8"/>
      <c r="N626" s="3"/>
      <c r="O626" s="3"/>
      <c r="P626" s="3"/>
      <c r="Q626" s="3" t="s">
        <v>952</v>
      </c>
      <c r="R626" s="3"/>
    </row>
    <row r="627" spans="1:18">
      <c r="A627" s="14"/>
      <c r="B627" s="9"/>
      <c r="C627" s="10" t="str">
        <f t="shared" si="111"/>
        <v/>
      </c>
      <c r="D627" s="9"/>
      <c r="E627" s="9" t="str">
        <f t="shared" si="112"/>
        <v/>
      </c>
      <c r="F627" s="9"/>
      <c r="G627" s="3"/>
      <c r="H627" s="3"/>
      <c r="I627" s="8"/>
      <c r="J627" s="3"/>
      <c r="K627" s="3"/>
      <c r="L627" s="3"/>
      <c r="M627" s="8"/>
      <c r="N627" s="8"/>
      <c r="O627" s="21"/>
      <c r="P627" s="3"/>
      <c r="Q627" s="3"/>
      <c r="R627" s="3"/>
    </row>
    <row r="628" spans="1:18">
      <c r="A628" s="14"/>
      <c r="B628" s="3"/>
      <c r="C628" s="12"/>
      <c r="D628" s="3"/>
      <c r="E628" s="11"/>
      <c r="F628" s="3"/>
      <c r="G628" s="3"/>
      <c r="H628" s="8"/>
      <c r="I628" s="8"/>
      <c r="J628" s="8"/>
      <c r="K628" s="13"/>
      <c r="L628" s="8"/>
      <c r="M628" s="12"/>
      <c r="N628" s="12"/>
      <c r="O628" s="21"/>
      <c r="P628" s="3"/>
      <c r="Q628" s="3"/>
      <c r="R628" s="3"/>
    </row>
    <row r="629" spans="1:18">
      <c r="A629" s="14"/>
      <c r="B629" s="3"/>
      <c r="C629" s="12" t="str">
        <f>UPPER(I629)</f>
        <v/>
      </c>
      <c r="D629" s="11"/>
      <c r="E629" s="11" t="str">
        <f>UPPER(K629)</f>
        <v/>
      </c>
      <c r="F629" s="3"/>
      <c r="G629" s="3"/>
      <c r="H629" s="8"/>
      <c r="I629" s="8"/>
      <c r="J629" s="8"/>
      <c r="K629" s="13"/>
      <c r="L629" s="8"/>
      <c r="M629" s="12"/>
      <c r="N629" s="12"/>
      <c r="O629" s="21"/>
      <c r="P629" s="3"/>
      <c r="Q629" s="3"/>
      <c r="R629" s="3"/>
    </row>
    <row r="630" spans="1:18">
      <c r="A630" s="14"/>
      <c r="B630" s="3"/>
      <c r="C630" s="3"/>
      <c r="D630" s="3"/>
      <c r="E630" s="3"/>
      <c r="F630" s="3"/>
      <c r="G630" s="3"/>
      <c r="H630" s="3"/>
      <c r="I630" s="8"/>
      <c r="J630" s="3"/>
      <c r="K630" s="3"/>
      <c r="L630" s="3"/>
      <c r="M630" s="3"/>
      <c r="N630" s="3"/>
      <c r="O630" s="21"/>
      <c r="P630" s="3"/>
      <c r="Q630" s="3"/>
      <c r="R630" s="3"/>
    </row>
    <row r="631" spans="1:18"/>
    <row r="632" spans="1:18"/>
    <row r="633" spans="1:18"/>
    <row r="634" spans="1:18"/>
    <row r="635" spans="1:18"/>
    <row r="636" spans="1:18"/>
    <row r="637" spans="1:18"/>
    <row r="638" spans="1:18"/>
    <row r="639" spans="1:18"/>
    <row r="640" spans="1:18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</sheetData>
  <mergeCells count="202">
    <mergeCell ref="B158:F158"/>
    <mergeCell ref="B159:F159"/>
    <mergeCell ref="H159:L159"/>
    <mergeCell ref="N159:R159"/>
    <mergeCell ref="B178:F178"/>
    <mergeCell ref="N178:R178"/>
    <mergeCell ref="B179:F179"/>
    <mergeCell ref="N179:R179"/>
    <mergeCell ref="H178:L178"/>
    <mergeCell ref="H179:L179"/>
    <mergeCell ref="B191:F191"/>
    <mergeCell ref="H191:L191"/>
    <mergeCell ref="N191:R191"/>
    <mergeCell ref="H195:L195"/>
    <mergeCell ref="N195:R195"/>
    <mergeCell ref="B195:F195"/>
    <mergeCell ref="B207:F207"/>
    <mergeCell ref="H207:L207"/>
    <mergeCell ref="N207:R207"/>
    <mergeCell ref="B272:F272"/>
    <mergeCell ref="N272:R272"/>
    <mergeCell ref="H271:L271"/>
    <mergeCell ref="H272:L272"/>
    <mergeCell ref="B222:F222"/>
    <mergeCell ref="N222:R222"/>
    <mergeCell ref="B223:F223"/>
    <mergeCell ref="N223:R223"/>
    <mergeCell ref="H222:L222"/>
    <mergeCell ref="H223:L223"/>
    <mergeCell ref="B246:F246"/>
    <mergeCell ref="H246:L246"/>
    <mergeCell ref="N246:R246"/>
    <mergeCell ref="B53:F53"/>
    <mergeCell ref="H53:L53"/>
    <mergeCell ref="N53:R53"/>
    <mergeCell ref="H74:L74"/>
    <mergeCell ref="B74:F74"/>
    <mergeCell ref="B75:F75"/>
    <mergeCell ref="H75:L75"/>
    <mergeCell ref="N75:R75"/>
    <mergeCell ref="B87:F87"/>
    <mergeCell ref="A1:R2"/>
    <mergeCell ref="B4:F4"/>
    <mergeCell ref="H4:L4"/>
    <mergeCell ref="N4:R4"/>
    <mergeCell ref="B27:F27"/>
    <mergeCell ref="H27:L27"/>
    <mergeCell ref="N27:R27"/>
    <mergeCell ref="B52:F52"/>
    <mergeCell ref="H52:L52"/>
    <mergeCell ref="N52:R52"/>
    <mergeCell ref="H87:L87"/>
    <mergeCell ref="N87:R87"/>
    <mergeCell ref="N109:R109"/>
    <mergeCell ref="N110:R110"/>
    <mergeCell ref="B96:F96"/>
    <mergeCell ref="H96:L96"/>
    <mergeCell ref="N96:R96"/>
    <mergeCell ref="B109:F109"/>
    <mergeCell ref="H109:L109"/>
    <mergeCell ref="B110:F110"/>
    <mergeCell ref="H110:L110"/>
    <mergeCell ref="B136:F136"/>
    <mergeCell ref="H136:L136"/>
    <mergeCell ref="N136:R136"/>
    <mergeCell ref="B137:F137"/>
    <mergeCell ref="H137:L137"/>
    <mergeCell ref="H158:L158"/>
    <mergeCell ref="N158:R158"/>
    <mergeCell ref="B287:F287"/>
    <mergeCell ref="B299:F299"/>
    <mergeCell ref="H299:L299"/>
    <mergeCell ref="N299:R299"/>
    <mergeCell ref="B286:F286"/>
    <mergeCell ref="H286:L286"/>
    <mergeCell ref="N286:R286"/>
    <mergeCell ref="H287:L287"/>
    <mergeCell ref="N287:R287"/>
    <mergeCell ref="H247:L247"/>
    <mergeCell ref="N247:R247"/>
    <mergeCell ref="B247:F247"/>
    <mergeCell ref="B257:F257"/>
    <mergeCell ref="H257:L257"/>
    <mergeCell ref="N257:R257"/>
    <mergeCell ref="B271:F271"/>
    <mergeCell ref="N271:R271"/>
    <mergeCell ref="B300:F300"/>
    <mergeCell ref="H300:L300"/>
    <mergeCell ref="N300:R300"/>
    <mergeCell ref="B321:F321"/>
    <mergeCell ref="H321:L321"/>
    <mergeCell ref="N321:R321"/>
    <mergeCell ref="B327:F327"/>
    <mergeCell ref="H327:L327"/>
    <mergeCell ref="N327:R327"/>
    <mergeCell ref="B330:F330"/>
    <mergeCell ref="H367:L367"/>
    <mergeCell ref="N367:R367"/>
    <mergeCell ref="B344:F344"/>
    <mergeCell ref="H344:L344"/>
    <mergeCell ref="N344:R344"/>
    <mergeCell ref="B345:F345"/>
    <mergeCell ref="H345:L345"/>
    <mergeCell ref="N345:R345"/>
    <mergeCell ref="B367:F367"/>
    <mergeCell ref="H396:L396"/>
    <mergeCell ref="N396:R396"/>
    <mergeCell ref="B383:F383"/>
    <mergeCell ref="H383:L383"/>
    <mergeCell ref="N383:R383"/>
    <mergeCell ref="N388:R388"/>
    <mergeCell ref="H389:L389"/>
    <mergeCell ref="N389:R389"/>
    <mergeCell ref="N394:R394"/>
    <mergeCell ref="B389:F389"/>
    <mergeCell ref="B396:F396"/>
    <mergeCell ref="B409:F409"/>
    <mergeCell ref="H409:L409"/>
    <mergeCell ref="N409:R409"/>
    <mergeCell ref="H410:L410"/>
    <mergeCell ref="N410:R410"/>
    <mergeCell ref="B410:F410"/>
    <mergeCell ref="B429:F429"/>
    <mergeCell ref="H429:L429"/>
    <mergeCell ref="N429:R429"/>
    <mergeCell ref="B430:F430"/>
    <mergeCell ref="H430:L430"/>
    <mergeCell ref="N430:R430"/>
    <mergeCell ref="H573:L573"/>
    <mergeCell ref="N573:R573"/>
    <mergeCell ref="B570:F570"/>
    <mergeCell ref="H570:L570"/>
    <mergeCell ref="N570:R570"/>
    <mergeCell ref="B571:F571"/>
    <mergeCell ref="H571:L571"/>
    <mergeCell ref="N571:R571"/>
    <mergeCell ref="B573:F573"/>
    <mergeCell ref="B448:F448"/>
    <mergeCell ref="H448:L448"/>
    <mergeCell ref="N448:R448"/>
    <mergeCell ref="B449:F449"/>
    <mergeCell ref="H449:L449"/>
    <mergeCell ref="B450:F450"/>
    <mergeCell ref="H450:L450"/>
    <mergeCell ref="N449:R449"/>
    <mergeCell ref="N450:R450"/>
    <mergeCell ref="H453:L453"/>
    <mergeCell ref="B460:F460"/>
    <mergeCell ref="H460:L460"/>
    <mergeCell ref="H600:L600"/>
    <mergeCell ref="N600:R600"/>
    <mergeCell ref="B597:F597"/>
    <mergeCell ref="H597:L597"/>
    <mergeCell ref="N597:R597"/>
    <mergeCell ref="B598:F598"/>
    <mergeCell ref="H598:L598"/>
    <mergeCell ref="N598:R598"/>
    <mergeCell ref="B600:F600"/>
    <mergeCell ref="H613:L613"/>
    <mergeCell ref="N613:R613"/>
    <mergeCell ref="B610:F610"/>
    <mergeCell ref="H610:L610"/>
    <mergeCell ref="N610:R610"/>
    <mergeCell ref="B611:F611"/>
    <mergeCell ref="H611:L611"/>
    <mergeCell ref="N611:R611"/>
    <mergeCell ref="B613:F613"/>
    <mergeCell ref="B489:F489"/>
    <mergeCell ref="H489:L489"/>
    <mergeCell ref="B500:F500"/>
    <mergeCell ref="H500:L500"/>
    <mergeCell ref="H501:L501"/>
    <mergeCell ref="B461:F461"/>
    <mergeCell ref="H461:L461"/>
    <mergeCell ref="N473:R473"/>
    <mergeCell ref="N474:R474"/>
    <mergeCell ref="N489:R489"/>
    <mergeCell ref="N500:R500"/>
    <mergeCell ref="N501:R501"/>
    <mergeCell ref="N460:R460"/>
    <mergeCell ref="N461:R461"/>
    <mergeCell ref="H464:L464"/>
    <mergeCell ref="B473:F473"/>
    <mergeCell ref="H473:L473"/>
    <mergeCell ref="B474:F474"/>
    <mergeCell ref="B475:F475"/>
    <mergeCell ref="N475:R475"/>
    <mergeCell ref="H474:L474"/>
    <mergeCell ref="H475:L475"/>
    <mergeCell ref="B544:F544"/>
    <mergeCell ref="H544:L544"/>
    <mergeCell ref="N544:R544"/>
    <mergeCell ref="B501:F501"/>
    <mergeCell ref="B515:F515"/>
    <mergeCell ref="H515:L515"/>
    <mergeCell ref="B541:F541"/>
    <mergeCell ref="H541:L541"/>
    <mergeCell ref="B542:F542"/>
    <mergeCell ref="H542:L542"/>
    <mergeCell ref="N542:R542"/>
    <mergeCell ref="N515:R515"/>
    <mergeCell ref="N541:R541"/>
  </mergeCells>
  <phoneticPr fontId="5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R746"/>
  <sheetViews>
    <sheetView workbookViewId="0">
      <pane ySplit="2" topLeftCell="A3" activePane="bottomLeft" state="frozen"/>
      <selection pane="bottomLeft" sqref="A1:R2"/>
    </sheetView>
  </sheetViews>
  <sheetFormatPr defaultColWidth="12.5703125" defaultRowHeight="15.75" customHeight="1"/>
  <cols>
    <col min="1" max="1" width="2.5703125" customWidth="1"/>
    <col min="2" max="3" width="18.85546875" customWidth="1"/>
    <col min="4" max="4" width="1.42578125" customWidth="1"/>
    <col min="5" max="6" width="18.85546875" customWidth="1"/>
    <col min="7" max="7" width="1.42578125" customWidth="1"/>
    <col min="8" max="9" width="18.85546875" customWidth="1"/>
    <col min="10" max="10" width="1.42578125" customWidth="1"/>
    <col min="11" max="12" width="18.85546875" customWidth="1"/>
    <col min="13" max="13" width="1.42578125" customWidth="1"/>
    <col min="16" max="16" width="1.42578125" customWidth="1"/>
  </cols>
  <sheetData>
    <row r="1" spans="1:18">
      <c r="A1" s="152" t="s">
        <v>655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</row>
    <row r="2" spans="1:18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</row>
    <row r="3" spans="1:18">
      <c r="A3" s="1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72"/>
      <c r="P3" s="5"/>
      <c r="Q3" s="5"/>
      <c r="R3" s="5"/>
    </row>
    <row r="4" spans="1:18">
      <c r="A4" s="14"/>
      <c r="B4" s="150" t="str">
        <f>UPPER(H4)</f>
        <v>VOICE</v>
      </c>
      <c r="C4" s="141"/>
      <c r="D4" s="141"/>
      <c r="E4" s="141"/>
      <c r="F4" s="141"/>
      <c r="G4" s="18"/>
      <c r="H4" s="167" t="s">
        <v>157</v>
      </c>
      <c r="I4" s="141"/>
      <c r="J4" s="141"/>
      <c r="K4" s="141"/>
      <c r="L4" s="141"/>
      <c r="M4" s="18"/>
      <c r="N4" s="149" t="s">
        <v>777</v>
      </c>
      <c r="O4" s="141"/>
      <c r="P4" s="141"/>
      <c r="Q4" s="141"/>
      <c r="R4" s="141"/>
    </row>
    <row r="5" spans="1:18">
      <c r="A5" s="14"/>
      <c r="B5" s="9"/>
      <c r="C5" s="10" t="str">
        <f t="shared" ref="C5:C24" si="0">UPPER(I5)</f>
        <v>MICHAEL</v>
      </c>
      <c r="D5" s="9"/>
      <c r="E5" s="9" t="str">
        <f t="shared" ref="E5:E23" si="1">UPPER(K5)</f>
        <v>MARC THOMPSON</v>
      </c>
      <c r="F5" s="9"/>
      <c r="G5" s="3"/>
      <c r="H5" s="3"/>
      <c r="I5" s="8" t="s">
        <v>158</v>
      </c>
      <c r="J5" s="3"/>
      <c r="K5" s="2" t="s">
        <v>10</v>
      </c>
      <c r="L5" s="3"/>
      <c r="M5" s="8"/>
      <c r="N5" s="8"/>
      <c r="O5" s="8" t="s">
        <v>778</v>
      </c>
      <c r="P5" s="3"/>
      <c r="Q5" s="3" t="s">
        <v>117</v>
      </c>
      <c r="R5" s="3"/>
    </row>
    <row r="6" spans="1:18">
      <c r="A6" s="14"/>
      <c r="B6" s="9"/>
      <c r="C6" s="10" t="str">
        <f t="shared" si="0"/>
        <v>LUCY</v>
      </c>
      <c r="D6" s="9"/>
      <c r="E6" s="9" t="str">
        <f t="shared" si="1"/>
        <v>SAMANTHA COOPER</v>
      </c>
      <c r="F6" s="9"/>
      <c r="G6" s="3"/>
      <c r="H6" s="3"/>
      <c r="I6" s="8" t="s">
        <v>159</v>
      </c>
      <c r="J6" s="3"/>
      <c r="K6" s="2" t="s">
        <v>37</v>
      </c>
      <c r="L6" s="3"/>
      <c r="M6" s="8"/>
      <c r="N6" s="8"/>
      <c r="O6" s="8" t="s">
        <v>779</v>
      </c>
      <c r="P6" s="3"/>
      <c r="Q6" s="3" t="s">
        <v>118</v>
      </c>
      <c r="R6" s="3"/>
    </row>
    <row r="7" spans="1:18">
      <c r="A7" s="14"/>
      <c r="B7" s="9"/>
      <c r="C7" s="10" t="str">
        <f t="shared" si="0"/>
        <v>NICK</v>
      </c>
      <c r="D7" s="9"/>
      <c r="E7" s="9" t="str">
        <f t="shared" si="1"/>
        <v>JAMES BROWN JR</v>
      </c>
      <c r="F7" s="9"/>
      <c r="G7" s="3"/>
      <c r="H7" s="3"/>
      <c r="I7" s="8" t="s">
        <v>42</v>
      </c>
      <c r="J7" s="3"/>
      <c r="K7" s="2" t="s">
        <v>43</v>
      </c>
      <c r="L7" s="3"/>
      <c r="M7" s="8"/>
      <c r="N7" s="8"/>
      <c r="O7" s="8" t="s">
        <v>119</v>
      </c>
      <c r="P7" s="3"/>
      <c r="Q7" s="3" t="s">
        <v>120</v>
      </c>
      <c r="R7" s="3"/>
    </row>
    <row r="8" spans="1:18">
      <c r="A8" s="14"/>
      <c r="B8" s="9"/>
      <c r="C8" s="10" t="str">
        <f t="shared" si="0"/>
        <v>CRYING MAN</v>
      </c>
      <c r="D8" s="9"/>
      <c r="E8" s="9" t="str">
        <f t="shared" si="1"/>
        <v>BARRETT LEDDY</v>
      </c>
      <c r="F8" s="9"/>
      <c r="G8" s="3"/>
      <c r="H8" s="3"/>
      <c r="I8" s="8" t="s">
        <v>160</v>
      </c>
      <c r="J8" s="3"/>
      <c r="K8" s="2" t="s">
        <v>1</v>
      </c>
      <c r="L8" s="3"/>
      <c r="M8" s="8"/>
      <c r="N8" s="8"/>
      <c r="O8" s="8" t="s">
        <v>74</v>
      </c>
      <c r="P8" s="3"/>
      <c r="Q8" s="3" t="s">
        <v>75</v>
      </c>
      <c r="R8" s="3"/>
    </row>
    <row r="9" spans="1:18">
      <c r="A9" s="14"/>
      <c r="B9" s="9"/>
      <c r="C9" s="10" t="str">
        <f t="shared" si="0"/>
        <v>GINSENG MAN</v>
      </c>
      <c r="D9" s="9"/>
      <c r="E9" s="9" t="str">
        <f t="shared" si="1"/>
        <v>JASON GRIFFITH</v>
      </c>
      <c r="F9" s="9"/>
      <c r="G9" s="3"/>
      <c r="H9" s="3"/>
      <c r="I9" s="44" t="s">
        <v>22</v>
      </c>
      <c r="J9" s="14"/>
      <c r="K9" s="24" t="s">
        <v>23</v>
      </c>
      <c r="L9" s="3"/>
      <c r="M9" s="8"/>
      <c r="N9" s="8"/>
      <c r="O9" s="8" t="s">
        <v>97</v>
      </c>
      <c r="P9" s="3"/>
      <c r="Q9" s="3" t="s">
        <v>81</v>
      </c>
      <c r="R9" s="3"/>
    </row>
    <row r="10" spans="1:18">
      <c r="A10" s="14"/>
      <c r="B10" s="9"/>
      <c r="C10" s="10" t="str">
        <f t="shared" si="0"/>
        <v>LUCKY</v>
      </c>
      <c r="D10" s="9"/>
      <c r="E10" s="9" t="str">
        <f t="shared" si="1"/>
        <v>MARC THOMPSON</v>
      </c>
      <c r="F10" s="9"/>
      <c r="G10" s="3"/>
      <c r="H10" s="3"/>
      <c r="I10" s="8" t="s">
        <v>24</v>
      </c>
      <c r="J10" s="3"/>
      <c r="K10" s="2" t="s">
        <v>10</v>
      </c>
      <c r="L10" s="3"/>
      <c r="M10" s="8"/>
      <c r="N10" s="8"/>
      <c r="O10" s="8" t="s">
        <v>98</v>
      </c>
      <c r="P10" s="3"/>
      <c r="Q10" s="3" t="s">
        <v>79</v>
      </c>
      <c r="R10" s="3"/>
    </row>
    <row r="11" spans="1:18">
      <c r="A11" s="14"/>
      <c r="B11" s="9"/>
      <c r="C11" s="10" t="str">
        <f t="shared" si="0"/>
        <v>MUMMY GIRL</v>
      </c>
      <c r="D11" s="9"/>
      <c r="E11" s="9" t="str">
        <f t="shared" si="1"/>
        <v>OLIVIA VIDAS</v>
      </c>
      <c r="F11" s="9"/>
      <c r="G11" s="3"/>
      <c r="H11" s="3"/>
      <c r="I11" s="8" t="s">
        <v>7</v>
      </c>
      <c r="J11" s="3"/>
      <c r="K11" s="22" t="s">
        <v>8</v>
      </c>
      <c r="L11" s="3"/>
      <c r="M11" s="8"/>
      <c r="N11" s="8"/>
      <c r="O11" s="8" t="s">
        <v>82</v>
      </c>
      <c r="P11" s="3"/>
      <c r="Q11" s="3" t="s">
        <v>83</v>
      </c>
      <c r="R11" s="3"/>
    </row>
    <row r="12" spans="1:18">
      <c r="A12" s="14"/>
      <c r="B12" s="9"/>
      <c r="C12" s="10" t="str">
        <f t="shared" si="0"/>
        <v>COLTON</v>
      </c>
      <c r="D12" s="9"/>
      <c r="E12" s="9" t="str">
        <f t="shared" si="1"/>
        <v>JASON GRIFFITH</v>
      </c>
      <c r="F12" s="9"/>
      <c r="G12" s="3"/>
      <c r="H12" s="3"/>
      <c r="I12" s="36" t="s">
        <v>49</v>
      </c>
      <c r="J12" s="3"/>
      <c r="K12" s="3" t="s">
        <v>23</v>
      </c>
      <c r="L12" s="3"/>
      <c r="M12" s="8"/>
      <c r="N12" s="8"/>
      <c r="O12" s="8" t="s">
        <v>126</v>
      </c>
      <c r="P12" s="3"/>
      <c r="Q12" s="3" t="s">
        <v>127</v>
      </c>
      <c r="R12" s="3"/>
    </row>
    <row r="13" spans="1:18">
      <c r="A13" s="14"/>
      <c r="B13" s="9"/>
      <c r="C13" s="10" t="str">
        <f t="shared" si="0"/>
        <v>KRISTA</v>
      </c>
      <c r="D13" s="9"/>
      <c r="E13" s="9" t="str">
        <f t="shared" si="1"/>
        <v>ZURI WASHINGTON</v>
      </c>
      <c r="F13" s="9"/>
      <c r="G13" s="3"/>
      <c r="H13" s="3"/>
      <c r="I13" s="30" t="s">
        <v>163</v>
      </c>
      <c r="J13" s="24"/>
      <c r="K13" s="24" t="s">
        <v>47</v>
      </c>
      <c r="L13" s="3"/>
      <c r="M13" s="8"/>
      <c r="N13" s="8"/>
      <c r="O13" s="8" t="s">
        <v>123</v>
      </c>
      <c r="P13" s="3"/>
      <c r="Q13" s="3" t="s">
        <v>87</v>
      </c>
      <c r="R13" s="3"/>
    </row>
    <row r="14" spans="1:18">
      <c r="A14" s="14"/>
      <c r="B14" s="9"/>
      <c r="C14" s="10" t="str">
        <f t="shared" si="0"/>
        <v>TIMO</v>
      </c>
      <c r="D14" s="9"/>
      <c r="E14" s="9" t="str">
        <f t="shared" si="1"/>
        <v>AMANDA HUFFORD</v>
      </c>
      <c r="F14" s="9"/>
      <c r="G14" s="3"/>
      <c r="H14" s="3"/>
      <c r="I14" s="30" t="s">
        <v>46</v>
      </c>
      <c r="J14" s="14"/>
      <c r="K14" s="24" t="s">
        <v>18</v>
      </c>
      <c r="L14" s="3"/>
      <c r="M14" s="8"/>
      <c r="N14" s="8"/>
      <c r="O14" s="8" t="s">
        <v>122</v>
      </c>
      <c r="P14" s="3"/>
      <c r="Q14" s="3" t="s">
        <v>87</v>
      </c>
      <c r="R14" s="3"/>
    </row>
    <row r="15" spans="1:18">
      <c r="A15" s="14"/>
      <c r="B15" s="9"/>
      <c r="C15" s="10" t="str">
        <f t="shared" si="0"/>
        <v>FIRE HEAD</v>
      </c>
      <c r="D15" s="9"/>
      <c r="E15" s="9" t="str">
        <f t="shared" si="1"/>
        <v>ERICA SCHROEDER</v>
      </c>
      <c r="F15" s="9"/>
      <c r="G15" s="3"/>
      <c r="H15" s="3"/>
      <c r="I15" s="30" t="s">
        <v>15</v>
      </c>
      <c r="J15" s="14"/>
      <c r="K15" s="24" t="s">
        <v>16</v>
      </c>
      <c r="L15" s="3"/>
      <c r="M15" s="8"/>
      <c r="N15" s="8"/>
      <c r="O15" s="8" t="s">
        <v>89</v>
      </c>
      <c r="P15" s="3"/>
      <c r="Q15" s="3" t="s">
        <v>90</v>
      </c>
      <c r="R15" s="3"/>
    </row>
    <row r="16" spans="1:18">
      <c r="A16" s="14"/>
      <c r="B16" s="9"/>
      <c r="C16" s="10" t="str">
        <f t="shared" si="0"/>
        <v>JELLY KING</v>
      </c>
      <c r="D16" s="9"/>
      <c r="E16" s="9" t="str">
        <f t="shared" si="1"/>
        <v>MARC THOMPSON</v>
      </c>
      <c r="F16" s="9"/>
      <c r="G16" s="3"/>
      <c r="H16" s="3"/>
      <c r="I16" s="30" t="s">
        <v>29</v>
      </c>
      <c r="J16" s="24"/>
      <c r="K16" s="24" t="s">
        <v>10</v>
      </c>
      <c r="L16" s="3"/>
      <c r="M16" s="8"/>
      <c r="N16" s="8"/>
      <c r="O16" s="8" t="s">
        <v>105</v>
      </c>
      <c r="P16" s="3"/>
      <c r="Q16" s="3" t="s">
        <v>79</v>
      </c>
      <c r="R16" s="3"/>
    </row>
    <row r="17" spans="1:18">
      <c r="A17" s="14"/>
      <c r="B17" s="9"/>
      <c r="C17" s="10" t="str">
        <f t="shared" si="0"/>
        <v>LEORA</v>
      </c>
      <c r="D17" s="9"/>
      <c r="E17" s="9" t="str">
        <f t="shared" si="1"/>
        <v>AMANDA HUFFORD</v>
      </c>
      <c r="F17" s="9"/>
      <c r="G17" s="3"/>
      <c r="H17" s="3"/>
      <c r="I17" s="8" t="s">
        <v>17</v>
      </c>
      <c r="J17" s="3"/>
      <c r="K17" s="22" t="s">
        <v>18</v>
      </c>
      <c r="L17" s="3"/>
      <c r="M17" s="8"/>
      <c r="N17" s="8"/>
      <c r="O17" s="8" t="s">
        <v>91</v>
      </c>
      <c r="P17" s="3"/>
      <c r="Q17" s="3" t="s">
        <v>92</v>
      </c>
      <c r="R17" s="3"/>
    </row>
    <row r="18" spans="1:18">
      <c r="A18" s="14"/>
      <c r="B18" s="9"/>
      <c r="C18" s="10" t="str">
        <f t="shared" si="0"/>
        <v>CHAMELI</v>
      </c>
      <c r="D18" s="9"/>
      <c r="E18" s="9" t="str">
        <f t="shared" si="1"/>
        <v>SIMONA BERMAN</v>
      </c>
      <c r="F18" s="9"/>
      <c r="G18" s="3"/>
      <c r="H18" s="3"/>
      <c r="I18" s="36" t="s">
        <v>19</v>
      </c>
      <c r="J18" s="3"/>
      <c r="K18" s="24" t="s">
        <v>20</v>
      </c>
      <c r="L18" s="3"/>
      <c r="M18" s="8"/>
      <c r="N18" s="8"/>
      <c r="O18" s="8" t="s">
        <v>93</v>
      </c>
      <c r="P18" s="3"/>
      <c r="Q18" s="3" t="s">
        <v>94</v>
      </c>
      <c r="R18" s="3"/>
    </row>
    <row r="19" spans="1:18">
      <c r="A19" s="14"/>
      <c r="B19" s="9"/>
      <c r="C19" s="10" t="str">
        <f t="shared" si="0"/>
        <v>SUPER SCOTT</v>
      </c>
      <c r="D19" s="9"/>
      <c r="E19" s="9" t="str">
        <f t="shared" si="1"/>
        <v>ADIN RUDD</v>
      </c>
      <c r="F19" s="9"/>
      <c r="G19" s="3"/>
      <c r="H19" s="3"/>
      <c r="I19" s="8" t="s">
        <v>13</v>
      </c>
      <c r="J19" s="3"/>
      <c r="K19" s="22" t="s">
        <v>14</v>
      </c>
      <c r="L19" s="3"/>
      <c r="M19" s="8"/>
      <c r="N19" s="8"/>
      <c r="O19" s="8" t="s">
        <v>88</v>
      </c>
      <c r="P19" s="3"/>
      <c r="Q19" s="3" t="s">
        <v>79</v>
      </c>
      <c r="R19" s="3"/>
    </row>
    <row r="20" spans="1:18">
      <c r="A20" s="14"/>
      <c r="B20" s="9"/>
      <c r="C20" s="10" t="str">
        <f t="shared" si="0"/>
        <v>HONEY</v>
      </c>
      <c r="D20" s="9"/>
      <c r="E20" s="9" t="str">
        <f t="shared" si="1"/>
        <v>SARAH FAYE BEARD</v>
      </c>
      <c r="F20" s="9"/>
      <c r="G20" s="3"/>
      <c r="H20" s="3"/>
      <c r="I20" s="36" t="s">
        <v>66</v>
      </c>
      <c r="J20" s="2"/>
      <c r="K20" s="2" t="s">
        <v>67</v>
      </c>
      <c r="L20" s="3"/>
      <c r="M20" s="8"/>
      <c r="N20" s="8"/>
      <c r="O20" s="8" t="s">
        <v>142</v>
      </c>
      <c r="P20" s="3"/>
      <c r="Q20" s="3" t="s">
        <v>83</v>
      </c>
      <c r="R20" s="3"/>
    </row>
    <row r="21" spans="1:18">
      <c r="A21" s="14"/>
      <c r="B21" s="9"/>
      <c r="C21" s="10" t="str">
        <f t="shared" si="0"/>
        <v>CYNTHIA</v>
      </c>
      <c r="D21" s="9"/>
      <c r="E21" s="9" t="str">
        <f t="shared" si="1"/>
        <v>MARY O'BRADY</v>
      </c>
      <c r="F21" s="9"/>
      <c r="G21" s="3"/>
      <c r="H21" s="3"/>
      <c r="I21" s="36" t="s">
        <v>68</v>
      </c>
      <c r="J21" s="2"/>
      <c r="K21" s="2" t="s">
        <v>69</v>
      </c>
      <c r="L21" s="3"/>
      <c r="M21" s="8"/>
      <c r="N21" s="8"/>
      <c r="O21" s="8" t="s">
        <v>143</v>
      </c>
      <c r="P21" s="3"/>
      <c r="Q21" s="3" t="s">
        <v>83</v>
      </c>
      <c r="R21" s="3"/>
    </row>
    <row r="22" spans="1:18">
      <c r="A22" s="14"/>
      <c r="B22" s="9"/>
      <c r="C22" s="10" t="str">
        <f t="shared" si="0"/>
        <v>DIRK-O</v>
      </c>
      <c r="D22" s="9"/>
      <c r="E22" s="9" t="str">
        <f t="shared" si="1"/>
        <v>MARC THOMPSON</v>
      </c>
      <c r="F22" s="9"/>
      <c r="G22" s="3"/>
      <c r="H22" s="3"/>
      <c r="I22" s="36" t="s">
        <v>649</v>
      </c>
      <c r="J22" s="2"/>
      <c r="K22" s="2" t="s">
        <v>10</v>
      </c>
      <c r="L22" s="3"/>
      <c r="M22" s="8"/>
      <c r="N22" s="8"/>
      <c r="O22" s="8" t="s">
        <v>129</v>
      </c>
      <c r="P22" s="3"/>
      <c r="Q22" s="3" t="s">
        <v>130</v>
      </c>
      <c r="R22" s="3"/>
    </row>
    <row r="23" spans="1:18">
      <c r="A23" s="14"/>
      <c r="B23" s="9"/>
      <c r="C23" s="10" t="str">
        <f t="shared" si="0"/>
        <v>BOBBY</v>
      </c>
      <c r="D23" s="9"/>
      <c r="E23" s="9" t="str">
        <f t="shared" si="1"/>
        <v xml:space="preserve">ALLEN WINTER </v>
      </c>
      <c r="F23" s="9"/>
      <c r="G23" s="3"/>
      <c r="H23" s="3"/>
      <c r="I23" s="8" t="s">
        <v>164</v>
      </c>
      <c r="J23" s="3"/>
      <c r="K23" s="23" t="s">
        <v>34</v>
      </c>
      <c r="L23" s="3"/>
      <c r="M23" s="8"/>
      <c r="N23" s="8"/>
      <c r="O23" s="8" t="s">
        <v>124</v>
      </c>
      <c r="P23" s="3"/>
      <c r="Q23" s="3" t="s">
        <v>113</v>
      </c>
      <c r="R23" s="3"/>
    </row>
    <row r="24" spans="1:18">
      <c r="A24" s="14"/>
      <c r="B24" s="9"/>
      <c r="C24" s="10" t="str">
        <f t="shared" si="0"/>
        <v/>
      </c>
      <c r="D24" s="9"/>
      <c r="E24" s="9"/>
      <c r="F24" s="9"/>
      <c r="G24" s="3"/>
      <c r="H24" s="3"/>
      <c r="I24" s="8"/>
      <c r="J24" s="3"/>
      <c r="K24" s="25"/>
      <c r="L24" s="3"/>
      <c r="M24" s="8"/>
      <c r="N24" s="8"/>
      <c r="O24" s="8"/>
      <c r="P24" s="3"/>
      <c r="Q24" s="3"/>
      <c r="R24" s="3"/>
    </row>
    <row r="25" spans="1:18">
      <c r="A25" s="14"/>
      <c r="B25" s="11"/>
      <c r="C25" s="12"/>
      <c r="D25" s="11"/>
      <c r="E25" s="11"/>
      <c r="F25" s="11"/>
      <c r="G25" s="3"/>
      <c r="H25" s="3"/>
      <c r="I25" s="8"/>
      <c r="J25" s="3"/>
      <c r="K25" s="25"/>
      <c r="L25" s="3"/>
      <c r="M25" s="8"/>
      <c r="N25" s="8"/>
      <c r="O25" s="8"/>
      <c r="P25" s="3"/>
      <c r="Q25" s="3"/>
      <c r="R25" s="3"/>
    </row>
    <row r="26" spans="1:18">
      <c r="A26" s="14"/>
      <c r="B26" s="9"/>
      <c r="C26" s="10"/>
      <c r="D26" s="9"/>
      <c r="E26" s="9"/>
      <c r="F26" s="9"/>
      <c r="G26" s="3"/>
      <c r="H26" s="3"/>
      <c r="I26" s="8"/>
      <c r="J26" s="3"/>
      <c r="K26" s="25"/>
      <c r="L26" s="3"/>
      <c r="M26" s="8"/>
      <c r="N26" s="8"/>
      <c r="O26" s="8"/>
      <c r="P26" s="3"/>
      <c r="Q26" s="3"/>
      <c r="R26" s="3"/>
    </row>
    <row r="27" spans="1:18">
      <c r="A27" s="14"/>
      <c r="B27" s="150" t="str">
        <f>UPPER(H27)</f>
        <v>VOICE</v>
      </c>
      <c r="C27" s="141"/>
      <c r="D27" s="141"/>
      <c r="E27" s="141"/>
      <c r="F27" s="141"/>
      <c r="G27" s="18"/>
      <c r="H27" s="167" t="s">
        <v>157</v>
      </c>
      <c r="I27" s="141"/>
      <c r="J27" s="141"/>
      <c r="K27" s="141"/>
      <c r="L27" s="141"/>
      <c r="M27" s="18"/>
      <c r="N27" s="149" t="s">
        <v>777</v>
      </c>
      <c r="O27" s="141"/>
      <c r="P27" s="141"/>
      <c r="Q27" s="141"/>
      <c r="R27" s="141"/>
    </row>
    <row r="28" spans="1:18">
      <c r="A28" s="14"/>
      <c r="B28" s="9"/>
      <c r="C28" s="10" t="str">
        <f t="shared" ref="C28:C33" si="2">UPPER(I28)</f>
        <v>SCOTT</v>
      </c>
      <c r="D28" s="9"/>
      <c r="E28" s="9" t="str">
        <f t="shared" ref="E28:E34" si="3">UPPER(K28)</f>
        <v>ADIN RUDD</v>
      </c>
      <c r="F28" s="9"/>
      <c r="G28" s="3"/>
      <c r="H28" s="3"/>
      <c r="I28" s="8" t="s">
        <v>50</v>
      </c>
      <c r="J28" s="3"/>
      <c r="K28" s="22" t="s">
        <v>14</v>
      </c>
      <c r="L28" s="3"/>
      <c r="M28" s="8"/>
      <c r="N28" s="8"/>
      <c r="O28" s="8" t="s">
        <v>128</v>
      </c>
      <c r="P28" s="3"/>
      <c r="Q28" s="3" t="s">
        <v>79</v>
      </c>
      <c r="R28" s="3"/>
    </row>
    <row r="29" spans="1:18">
      <c r="A29" s="14"/>
      <c r="B29" s="9"/>
      <c r="C29" s="10" t="str">
        <f t="shared" si="2"/>
        <v/>
      </c>
      <c r="D29" s="9"/>
      <c r="E29" s="9" t="str">
        <f t="shared" si="3"/>
        <v/>
      </c>
      <c r="F29" s="9"/>
      <c r="G29" s="3"/>
      <c r="H29" s="3"/>
      <c r="I29" s="8"/>
      <c r="J29" s="3"/>
      <c r="K29" s="14"/>
      <c r="L29" s="3"/>
      <c r="M29" s="8"/>
      <c r="N29" s="8"/>
      <c r="O29" s="8"/>
      <c r="P29" s="3"/>
      <c r="Q29" s="3"/>
      <c r="R29" s="3"/>
    </row>
    <row r="30" spans="1:18">
      <c r="A30" s="14"/>
      <c r="B30" s="9"/>
      <c r="C30" s="10" t="str">
        <f t="shared" si="2"/>
        <v>OTHER VOICES</v>
      </c>
      <c r="D30" s="9"/>
      <c r="E30" s="9" t="str">
        <f t="shared" si="3"/>
        <v>GIANNI MATRAGRANO</v>
      </c>
      <c r="F30" s="9"/>
      <c r="G30" s="3"/>
      <c r="H30" s="3"/>
      <c r="I30" s="8" t="s">
        <v>165</v>
      </c>
      <c r="J30" s="3"/>
      <c r="K30" s="22" t="s">
        <v>32</v>
      </c>
      <c r="L30" s="3"/>
      <c r="M30" s="8"/>
      <c r="N30" s="8"/>
      <c r="O30" s="8" t="s">
        <v>782</v>
      </c>
      <c r="P30" s="3"/>
      <c r="Q30" s="3" t="s">
        <v>127</v>
      </c>
      <c r="R30" s="3"/>
    </row>
    <row r="31" spans="1:18">
      <c r="A31" s="14"/>
      <c r="B31" s="9"/>
      <c r="C31" s="10" t="str">
        <f t="shared" si="2"/>
        <v/>
      </c>
      <c r="D31" s="9"/>
      <c r="E31" s="9" t="str">
        <f t="shared" si="3"/>
        <v>MIKE SMITH</v>
      </c>
      <c r="F31" s="9"/>
      <c r="G31" s="3"/>
      <c r="H31" s="3"/>
      <c r="I31" s="8"/>
      <c r="J31" s="3"/>
      <c r="K31" s="22" t="s">
        <v>28</v>
      </c>
      <c r="L31" s="3"/>
      <c r="M31" s="8"/>
      <c r="N31" s="8"/>
      <c r="O31" s="8"/>
      <c r="P31" s="3"/>
      <c r="Q31" s="3" t="s">
        <v>130</v>
      </c>
      <c r="R31" s="3"/>
    </row>
    <row r="32" spans="1:18">
      <c r="A32" s="14"/>
      <c r="B32" s="9"/>
      <c r="C32" s="10" t="str">
        <f t="shared" si="2"/>
        <v/>
      </c>
      <c r="D32" s="9"/>
      <c r="E32" s="9" t="str">
        <f t="shared" si="3"/>
        <v>ROBB MOREIRA</v>
      </c>
      <c r="F32" s="9"/>
      <c r="G32" s="3"/>
      <c r="H32" s="3"/>
      <c r="I32" s="8"/>
      <c r="J32" s="3"/>
      <c r="K32" s="22" t="s">
        <v>6</v>
      </c>
      <c r="L32" s="3"/>
      <c r="M32" s="8"/>
      <c r="N32" s="8"/>
      <c r="O32" s="8"/>
      <c r="P32" s="3"/>
      <c r="Q32" s="3" t="s">
        <v>79</v>
      </c>
      <c r="R32" s="3"/>
    </row>
    <row r="33" spans="1:18">
      <c r="A33" s="14"/>
      <c r="B33" s="9"/>
      <c r="C33" s="10" t="str">
        <f t="shared" si="2"/>
        <v/>
      </c>
      <c r="D33" s="9"/>
      <c r="E33" s="9" t="str">
        <f t="shared" si="3"/>
        <v/>
      </c>
      <c r="F33" s="9"/>
      <c r="G33" s="3"/>
      <c r="H33" s="3"/>
      <c r="I33" s="8"/>
      <c r="J33" s="3"/>
      <c r="K33" s="2"/>
      <c r="L33" s="3"/>
      <c r="M33" s="8"/>
      <c r="N33" s="8"/>
      <c r="O33" s="8"/>
      <c r="P33" s="3"/>
      <c r="Q33" s="3"/>
      <c r="R33" s="3"/>
    </row>
    <row r="34" spans="1:18">
      <c r="A34" s="14"/>
      <c r="B34" s="11" t="str">
        <f t="shared" ref="B34:C34" si="4">UPPER(H34)</f>
        <v/>
      </c>
      <c r="C34" s="12" t="str">
        <f t="shared" si="4"/>
        <v/>
      </c>
      <c r="D34" s="11"/>
      <c r="E34" s="11" t="str">
        <f t="shared" si="3"/>
        <v/>
      </c>
      <c r="F34" s="11"/>
      <c r="G34" s="3"/>
      <c r="H34" s="3"/>
      <c r="I34" s="8"/>
      <c r="J34" s="3"/>
      <c r="K34" s="13"/>
      <c r="L34" s="3"/>
      <c r="M34" s="8"/>
      <c r="N34" s="8"/>
      <c r="O34" s="8"/>
      <c r="P34" s="3"/>
      <c r="Q34" s="3"/>
      <c r="R34" s="3"/>
    </row>
    <row r="35" spans="1:18">
      <c r="A35" s="14"/>
      <c r="B35" s="9"/>
      <c r="C35" s="10"/>
      <c r="D35" s="9"/>
      <c r="E35" s="9"/>
      <c r="F35" s="9"/>
      <c r="G35" s="3"/>
      <c r="H35" s="3"/>
      <c r="I35" s="8"/>
      <c r="J35" s="3"/>
      <c r="K35" s="3"/>
      <c r="L35" s="3"/>
      <c r="M35" s="8"/>
      <c r="N35" s="8"/>
      <c r="O35" s="8"/>
      <c r="P35" s="3"/>
      <c r="Q35" s="3"/>
      <c r="R35" s="3"/>
    </row>
    <row r="36" spans="1:18">
      <c r="A36" s="14"/>
      <c r="B36" s="9"/>
      <c r="C36" s="10" t="str">
        <f t="shared" ref="C36:C49" si="5">UPPER(I36)</f>
        <v>DIRECTOR</v>
      </c>
      <c r="D36" s="9"/>
      <c r="E36" s="9" t="str">
        <f t="shared" ref="E36:E49" si="6">UPPER(K36)</f>
        <v>JOOGONG MAENG</v>
      </c>
      <c r="F36" s="9"/>
      <c r="G36" s="3"/>
      <c r="H36" s="3"/>
      <c r="I36" s="8" t="s">
        <v>168</v>
      </c>
      <c r="J36" s="3"/>
      <c r="K36" s="3" t="s">
        <v>148</v>
      </c>
      <c r="L36" s="3"/>
      <c r="M36" s="8"/>
      <c r="N36" s="8"/>
      <c r="O36" s="8" t="s">
        <v>783</v>
      </c>
      <c r="P36" s="3"/>
      <c r="Q36" s="3" t="s">
        <v>769</v>
      </c>
      <c r="R36" s="3"/>
    </row>
    <row r="37" spans="1:18">
      <c r="A37" s="14"/>
      <c r="B37" s="9"/>
      <c r="C37" s="10" t="str">
        <f t="shared" si="5"/>
        <v/>
      </c>
      <c r="D37" s="9"/>
      <c r="E37" s="9" t="str">
        <f t="shared" si="6"/>
        <v/>
      </c>
      <c r="F37" s="9"/>
      <c r="G37" s="3"/>
      <c r="H37" s="3"/>
      <c r="I37" s="8"/>
      <c r="J37" s="3"/>
      <c r="K37" s="13"/>
      <c r="L37" s="3"/>
      <c r="M37" s="8"/>
      <c r="N37" s="8"/>
      <c r="O37" s="3"/>
      <c r="P37" s="3"/>
      <c r="Q37" s="3"/>
      <c r="R37" s="3"/>
    </row>
    <row r="38" spans="1:18">
      <c r="A38" s="14"/>
      <c r="B38" s="9"/>
      <c r="C38" s="10" t="str">
        <f t="shared" si="5"/>
        <v>CO-DIRECTOR</v>
      </c>
      <c r="D38" s="9"/>
      <c r="E38" s="9" t="str">
        <f t="shared" si="6"/>
        <v>TAEWOOK KOH</v>
      </c>
      <c r="F38" s="9"/>
      <c r="G38" s="3"/>
      <c r="H38" s="3"/>
      <c r="I38" s="8" t="s">
        <v>169</v>
      </c>
      <c r="J38" s="3"/>
      <c r="K38" s="13" t="s">
        <v>149</v>
      </c>
      <c r="L38" s="3"/>
      <c r="M38" s="8"/>
      <c r="N38" s="8"/>
      <c r="O38" s="8" t="s">
        <v>784</v>
      </c>
      <c r="P38" s="3"/>
      <c r="Q38" s="3" t="s">
        <v>770</v>
      </c>
      <c r="R38" s="3"/>
    </row>
    <row r="39" spans="1:18">
      <c r="A39" s="14"/>
      <c r="B39" s="9"/>
      <c r="C39" s="10" t="str">
        <f t="shared" si="5"/>
        <v/>
      </c>
      <c r="D39" s="9"/>
      <c r="E39" s="9" t="str">
        <f t="shared" si="6"/>
        <v/>
      </c>
      <c r="F39" s="9"/>
      <c r="G39" s="3"/>
      <c r="H39" s="3"/>
      <c r="I39" s="8"/>
      <c r="J39" s="3"/>
      <c r="K39" s="13"/>
      <c r="L39" s="3"/>
      <c r="M39" s="8"/>
      <c r="N39" s="8"/>
      <c r="O39" s="3"/>
      <c r="P39" s="3"/>
      <c r="Q39" s="3"/>
      <c r="R39" s="3"/>
    </row>
    <row r="40" spans="1:18">
      <c r="A40" s="14"/>
      <c r="B40" s="9"/>
      <c r="C40" s="10" t="str">
        <f t="shared" si="5"/>
        <v>ASSISTANT DIRECTOR</v>
      </c>
      <c r="D40" s="9"/>
      <c r="E40" s="9" t="str">
        <f t="shared" si="6"/>
        <v>JEEHYUN KIM</v>
      </c>
      <c r="F40" s="9"/>
      <c r="G40" s="3"/>
      <c r="H40" s="3"/>
      <c r="I40" s="8" t="s">
        <v>170</v>
      </c>
      <c r="J40" s="3"/>
      <c r="K40" s="13" t="s">
        <v>150</v>
      </c>
      <c r="L40" s="3"/>
      <c r="M40" s="8"/>
      <c r="N40" s="8"/>
      <c r="O40" s="8" t="s">
        <v>785</v>
      </c>
      <c r="P40" s="3"/>
      <c r="Q40" s="3" t="s">
        <v>771</v>
      </c>
      <c r="R40" s="3"/>
    </row>
    <row r="41" spans="1:18">
      <c r="A41" s="14"/>
      <c r="B41" s="9"/>
      <c r="C41" s="10" t="str">
        <f t="shared" si="5"/>
        <v/>
      </c>
      <c r="D41" s="9"/>
      <c r="E41" s="9" t="str">
        <f t="shared" si="6"/>
        <v/>
      </c>
      <c r="F41" s="9"/>
      <c r="G41" s="3"/>
      <c r="H41" s="3"/>
      <c r="I41" s="8"/>
      <c r="J41" s="3"/>
      <c r="K41" s="13"/>
      <c r="L41" s="3"/>
      <c r="M41" s="8"/>
      <c r="N41" s="8"/>
      <c r="O41" s="3"/>
      <c r="P41" s="3"/>
      <c r="Q41" s="3"/>
      <c r="R41" s="3"/>
    </row>
    <row r="42" spans="1:18">
      <c r="A42" s="14"/>
      <c r="B42" s="9"/>
      <c r="C42" s="10" t="str">
        <f t="shared" si="5"/>
        <v>STORY SUPERVISOR</v>
      </c>
      <c r="D42" s="9"/>
      <c r="E42" s="9" t="str">
        <f t="shared" si="6"/>
        <v>TAEWOOK KOH</v>
      </c>
      <c r="F42" s="9"/>
      <c r="G42" s="3"/>
      <c r="H42" s="3"/>
      <c r="I42" s="8" t="s">
        <v>171</v>
      </c>
      <c r="J42" s="3"/>
      <c r="K42" s="13" t="s">
        <v>149</v>
      </c>
      <c r="L42" s="3"/>
      <c r="M42" s="3"/>
      <c r="N42" s="3"/>
      <c r="O42" s="8" t="s">
        <v>786</v>
      </c>
      <c r="P42" s="3"/>
      <c r="Q42" s="3" t="s">
        <v>770</v>
      </c>
      <c r="R42" s="3"/>
    </row>
    <row r="43" spans="1:18">
      <c r="A43" s="14"/>
      <c r="B43" s="9"/>
      <c r="C43" s="10" t="str">
        <f t="shared" si="5"/>
        <v/>
      </c>
      <c r="D43" s="9"/>
      <c r="E43" s="9" t="str">
        <f t="shared" si="6"/>
        <v>JEEHYUN KIM</v>
      </c>
      <c r="F43" s="9"/>
      <c r="G43" s="3"/>
      <c r="H43" s="3"/>
      <c r="I43" s="8"/>
      <c r="J43" s="3"/>
      <c r="K43" s="13" t="s">
        <v>150</v>
      </c>
      <c r="L43" s="3"/>
      <c r="M43" s="8"/>
      <c r="N43" s="8"/>
      <c r="O43" s="3"/>
      <c r="P43" s="3"/>
      <c r="Q43" s="3" t="s">
        <v>771</v>
      </c>
      <c r="R43" s="3"/>
    </row>
    <row r="44" spans="1:18">
      <c r="A44" s="14"/>
      <c r="B44" s="9"/>
      <c r="C44" s="10" t="str">
        <f t="shared" si="5"/>
        <v/>
      </c>
      <c r="D44" s="9"/>
      <c r="E44" s="9" t="str">
        <f t="shared" si="6"/>
        <v>JIWON OH</v>
      </c>
      <c r="F44" s="9"/>
      <c r="G44" s="3"/>
      <c r="H44" s="3"/>
      <c r="I44" s="8"/>
      <c r="J44" s="3"/>
      <c r="K44" s="13" t="s">
        <v>151</v>
      </c>
      <c r="L44" s="3"/>
      <c r="M44" s="8"/>
      <c r="N44" s="8"/>
      <c r="O44" s="3"/>
      <c r="P44" s="3"/>
      <c r="Q44" s="3" t="s">
        <v>774</v>
      </c>
      <c r="R44" s="3"/>
    </row>
    <row r="45" spans="1:18">
      <c r="A45" s="14"/>
      <c r="B45" s="9"/>
      <c r="C45" s="10" t="str">
        <f t="shared" si="5"/>
        <v/>
      </c>
      <c r="D45" s="9"/>
      <c r="E45" s="9" t="str">
        <f t="shared" si="6"/>
        <v/>
      </c>
      <c r="F45" s="9"/>
      <c r="G45" s="3"/>
      <c r="H45" s="3"/>
      <c r="I45" s="8"/>
      <c r="J45" s="3"/>
      <c r="K45" s="13"/>
      <c r="L45" s="3"/>
      <c r="M45" s="8"/>
      <c r="N45" s="8"/>
      <c r="O45" s="3"/>
      <c r="P45" s="3"/>
      <c r="Q45" s="3"/>
      <c r="R45" s="3"/>
    </row>
    <row r="46" spans="1:18">
      <c r="A46" s="14"/>
      <c r="B46" s="9"/>
      <c r="C46" s="10" t="str">
        <f t="shared" si="5"/>
        <v>STORY ARTIST</v>
      </c>
      <c r="D46" s="9"/>
      <c r="E46" s="9" t="str">
        <f t="shared" si="6"/>
        <v>WON HWANG</v>
      </c>
      <c r="F46" s="9"/>
      <c r="G46" s="3"/>
      <c r="H46" s="3"/>
      <c r="I46" s="8" t="s">
        <v>172</v>
      </c>
      <c r="J46" s="3"/>
      <c r="K46" s="13" t="s">
        <v>173</v>
      </c>
      <c r="L46" s="3"/>
      <c r="M46" s="8"/>
      <c r="N46" s="8"/>
      <c r="O46" s="8" t="s">
        <v>787</v>
      </c>
      <c r="P46" s="3"/>
      <c r="Q46" s="3" t="s">
        <v>788</v>
      </c>
      <c r="R46" s="3"/>
    </row>
    <row r="47" spans="1:18">
      <c r="A47" s="14"/>
      <c r="B47" s="9"/>
      <c r="C47" s="10" t="str">
        <f t="shared" si="5"/>
        <v/>
      </c>
      <c r="D47" s="9"/>
      <c r="E47" s="9" t="str">
        <f t="shared" si="6"/>
        <v/>
      </c>
      <c r="F47" s="9"/>
      <c r="G47" s="3"/>
      <c r="H47" s="3"/>
      <c r="I47" s="8"/>
      <c r="J47" s="3"/>
      <c r="K47" s="13"/>
      <c r="L47" s="3"/>
      <c r="M47" s="3"/>
      <c r="N47" s="3"/>
      <c r="O47" s="8"/>
      <c r="P47" s="3"/>
      <c r="Q47" s="3"/>
      <c r="R47" s="3"/>
    </row>
    <row r="48" spans="1:18">
      <c r="A48" s="14"/>
      <c r="B48" s="9"/>
      <c r="C48" s="10" t="str">
        <f t="shared" si="5"/>
        <v>STORY EDITOR</v>
      </c>
      <c r="D48" s="9"/>
      <c r="E48" s="9" t="str">
        <f t="shared" si="6"/>
        <v>JAKE GOLDMAN</v>
      </c>
      <c r="F48" s="9"/>
      <c r="G48" s="3"/>
      <c r="H48" s="3"/>
      <c r="I48" s="8" t="s">
        <v>174</v>
      </c>
      <c r="J48" s="3"/>
      <c r="K48" s="13" t="s">
        <v>155</v>
      </c>
      <c r="L48" s="3"/>
      <c r="M48" s="3"/>
      <c r="N48" s="3"/>
      <c r="O48" s="8" t="s">
        <v>789</v>
      </c>
      <c r="P48" s="3"/>
      <c r="Q48" s="3" t="s">
        <v>155</v>
      </c>
      <c r="R48" s="3"/>
    </row>
    <row r="49" spans="1:18">
      <c r="A49" s="14"/>
      <c r="B49" s="9"/>
      <c r="C49" s="10" t="str">
        <f t="shared" si="5"/>
        <v>WRITTEN BY</v>
      </c>
      <c r="D49" s="9"/>
      <c r="E49" s="9" t="str">
        <f t="shared" si="6"/>
        <v>NICK WATSON</v>
      </c>
      <c r="F49" s="9"/>
      <c r="G49" s="3"/>
      <c r="H49" s="3"/>
      <c r="I49" s="8" t="s">
        <v>154</v>
      </c>
      <c r="J49" s="3"/>
      <c r="K49" s="2" t="s">
        <v>608</v>
      </c>
      <c r="L49" s="3"/>
      <c r="M49" s="3"/>
      <c r="N49" s="3"/>
      <c r="O49" s="8" t="s">
        <v>790</v>
      </c>
      <c r="P49" s="3"/>
      <c r="Q49" s="2" t="s">
        <v>608</v>
      </c>
      <c r="R49" s="3"/>
    </row>
    <row r="50" spans="1:18">
      <c r="A50" s="14"/>
      <c r="B50" s="9"/>
      <c r="C50" s="10"/>
      <c r="D50" s="9"/>
      <c r="E50" s="9"/>
      <c r="F50" s="9"/>
      <c r="G50" s="3"/>
      <c r="H50" s="3"/>
      <c r="I50" s="8"/>
      <c r="J50" s="3"/>
      <c r="K50" s="13"/>
      <c r="L50" s="3"/>
      <c r="M50" s="3"/>
      <c r="N50" s="3"/>
      <c r="O50" s="8"/>
      <c r="P50" s="3"/>
      <c r="Q50" s="3"/>
      <c r="R50" s="3"/>
    </row>
    <row r="51" spans="1:18">
      <c r="A51" s="14"/>
      <c r="B51" s="26"/>
      <c r="C51" s="26"/>
      <c r="D51" s="26"/>
      <c r="E51" s="26"/>
      <c r="F51" s="26"/>
      <c r="G51" s="3"/>
      <c r="H51" s="7"/>
      <c r="I51" s="8"/>
      <c r="J51" s="7"/>
      <c r="K51" s="7"/>
      <c r="L51" s="7"/>
      <c r="M51" s="3"/>
      <c r="N51" s="3"/>
      <c r="O51" s="8"/>
      <c r="P51" s="3"/>
      <c r="Q51" s="3"/>
      <c r="R51" s="3"/>
    </row>
    <row r="52" spans="1:18">
      <c r="A52" s="14"/>
      <c r="B52" s="6"/>
      <c r="C52" s="6"/>
      <c r="D52" s="6"/>
      <c r="E52" s="6"/>
      <c r="F52" s="6"/>
      <c r="G52" s="3"/>
      <c r="H52" s="7"/>
      <c r="I52" s="8"/>
      <c r="J52" s="7"/>
      <c r="K52" s="7"/>
      <c r="L52" s="7"/>
      <c r="M52" s="3"/>
      <c r="N52" s="3"/>
      <c r="O52" s="8"/>
      <c r="P52" s="3"/>
      <c r="Q52" s="3"/>
      <c r="R52" s="3"/>
    </row>
    <row r="53" spans="1:18">
      <c r="A53" s="14"/>
      <c r="B53" s="150" t="str">
        <f t="shared" ref="B53:B54" si="7">UPPER(H53)</f>
        <v>STORYBOARD</v>
      </c>
      <c r="C53" s="141"/>
      <c r="D53" s="141"/>
      <c r="E53" s="141"/>
      <c r="F53" s="141"/>
      <c r="G53" s="28"/>
      <c r="H53" s="167" t="s">
        <v>175</v>
      </c>
      <c r="I53" s="141"/>
      <c r="J53" s="141"/>
      <c r="K53" s="141"/>
      <c r="L53" s="141"/>
      <c r="M53" s="28"/>
      <c r="N53" s="149" t="s">
        <v>791</v>
      </c>
      <c r="O53" s="141"/>
      <c r="P53" s="141"/>
      <c r="Q53" s="141"/>
      <c r="R53" s="141"/>
    </row>
    <row r="54" spans="1:18">
      <c r="A54" s="14"/>
      <c r="B54" s="146" t="str">
        <f t="shared" si="7"/>
        <v>STUDIO 105</v>
      </c>
      <c r="C54" s="141"/>
      <c r="D54" s="141"/>
      <c r="E54" s="141"/>
      <c r="F54" s="141"/>
      <c r="G54" s="3"/>
      <c r="H54" s="149" t="s">
        <v>656</v>
      </c>
      <c r="I54" s="141"/>
      <c r="J54" s="141"/>
      <c r="K54" s="141"/>
      <c r="L54" s="141"/>
      <c r="M54" s="3"/>
      <c r="N54" s="149" t="s">
        <v>961</v>
      </c>
      <c r="O54" s="141"/>
      <c r="P54" s="141"/>
      <c r="Q54" s="141"/>
      <c r="R54" s="141"/>
    </row>
    <row r="55" spans="1:18">
      <c r="A55" s="14"/>
      <c r="B55" s="9"/>
      <c r="C55" s="10" t="str">
        <f t="shared" ref="C55:C56" si="8">UPPER(I55)</f>
        <v/>
      </c>
      <c r="D55" s="9"/>
      <c r="E55" s="9" t="str">
        <f t="shared" ref="E55:E56" si="9">UPPER(K55)</f>
        <v/>
      </c>
      <c r="F55" s="9"/>
      <c r="G55" s="3"/>
      <c r="H55" s="3"/>
      <c r="I55" s="36"/>
      <c r="J55" s="2"/>
      <c r="K55" s="2"/>
      <c r="L55" s="3"/>
      <c r="M55" s="3"/>
      <c r="N55" s="3"/>
      <c r="O55" s="36"/>
      <c r="P55" s="2"/>
      <c r="Q55" s="2"/>
      <c r="R55" s="3"/>
    </row>
    <row r="56" spans="1:18">
      <c r="A56" s="14"/>
      <c r="B56" s="9"/>
      <c r="C56" s="10" t="str">
        <f t="shared" si="8"/>
        <v>STORYBOARD DIRECTOR</v>
      </c>
      <c r="D56" s="9"/>
      <c r="E56" s="9" t="str">
        <f t="shared" si="9"/>
        <v>MIRYOUNG HWANG</v>
      </c>
      <c r="F56" s="9"/>
      <c r="G56" s="3"/>
      <c r="H56" s="3"/>
      <c r="I56" s="36" t="s">
        <v>177</v>
      </c>
      <c r="J56" s="2"/>
      <c r="K56" s="2" t="s">
        <v>657</v>
      </c>
      <c r="L56" s="3"/>
      <c r="M56" s="3"/>
      <c r="N56" s="3"/>
      <c r="O56" s="8" t="s">
        <v>793</v>
      </c>
      <c r="P56" s="2"/>
      <c r="Q56" s="2" t="s">
        <v>962</v>
      </c>
      <c r="R56" s="3"/>
    </row>
    <row r="57" spans="1:18">
      <c r="A57" s="14"/>
      <c r="B57" s="9"/>
      <c r="C57" s="10"/>
      <c r="D57" s="9"/>
      <c r="E57" s="9"/>
      <c r="F57" s="9"/>
      <c r="G57" s="3"/>
      <c r="H57" s="3"/>
      <c r="I57" s="36"/>
      <c r="J57" s="2"/>
      <c r="K57" s="13"/>
      <c r="L57" s="3"/>
      <c r="M57" s="3"/>
      <c r="N57" s="3"/>
      <c r="O57" s="8"/>
      <c r="P57" s="3"/>
      <c r="Q57" s="3"/>
      <c r="R57" s="3"/>
    </row>
    <row r="58" spans="1:18">
      <c r="A58" s="14"/>
      <c r="B58" s="11" t="str">
        <f t="shared" ref="B58:C58" si="10">UPPER(H58)</f>
        <v/>
      </c>
      <c r="C58" s="12" t="str">
        <f t="shared" si="10"/>
        <v/>
      </c>
      <c r="D58" s="11"/>
      <c r="E58" s="11" t="str">
        <f>UPPER(K58)</f>
        <v/>
      </c>
      <c r="F58" s="11"/>
      <c r="G58" s="3"/>
      <c r="H58" s="3"/>
      <c r="I58" s="8"/>
      <c r="J58" s="3"/>
      <c r="K58" s="13"/>
      <c r="L58" s="3"/>
      <c r="M58" s="3"/>
      <c r="N58" s="3"/>
      <c r="O58" s="8"/>
      <c r="P58" s="3"/>
      <c r="Q58" s="3"/>
      <c r="R58" s="3"/>
    </row>
    <row r="59" spans="1:18">
      <c r="A59" s="14"/>
      <c r="B59" s="9"/>
      <c r="C59" s="10"/>
      <c r="D59" s="9"/>
      <c r="E59" s="9"/>
      <c r="F59" s="9"/>
      <c r="G59" s="3"/>
      <c r="H59" s="3"/>
      <c r="I59" s="8"/>
      <c r="J59" s="3"/>
      <c r="K59" s="3"/>
      <c r="L59" s="3"/>
      <c r="M59" s="8"/>
      <c r="N59" s="8"/>
      <c r="O59" s="8"/>
      <c r="P59" s="3"/>
      <c r="Q59" s="3"/>
      <c r="R59" s="3"/>
    </row>
    <row r="60" spans="1:18">
      <c r="A60" s="14"/>
      <c r="B60" s="9"/>
      <c r="C60" s="10" t="str">
        <f t="shared" ref="C60:C67" si="11">UPPER(I60)</f>
        <v>PRODUCTION MANAGER</v>
      </c>
      <c r="D60" s="9"/>
      <c r="E60" s="9" t="str">
        <f t="shared" ref="E60:E67" si="12">UPPER(K60)</f>
        <v>SEMIN SHIN</v>
      </c>
      <c r="F60" s="9"/>
      <c r="G60" s="3"/>
      <c r="H60" s="3"/>
      <c r="I60" s="8" t="s">
        <v>152</v>
      </c>
      <c r="J60" s="3"/>
      <c r="K60" s="3" t="s">
        <v>153</v>
      </c>
      <c r="L60" s="3"/>
      <c r="M60" s="8"/>
      <c r="N60" s="8"/>
      <c r="O60" s="8" t="s">
        <v>775</v>
      </c>
      <c r="P60" s="3"/>
      <c r="Q60" s="3" t="s">
        <v>776</v>
      </c>
      <c r="R60" s="3"/>
    </row>
    <row r="61" spans="1:18">
      <c r="A61" s="14"/>
      <c r="B61" s="9"/>
      <c r="C61" s="10" t="str">
        <f t="shared" si="11"/>
        <v/>
      </c>
      <c r="D61" s="9"/>
      <c r="E61" s="9" t="str">
        <f t="shared" si="12"/>
        <v/>
      </c>
      <c r="F61" s="9"/>
      <c r="G61" s="3"/>
      <c r="H61" s="3"/>
      <c r="I61" s="8"/>
      <c r="J61" s="3"/>
      <c r="K61" s="3"/>
      <c r="L61" s="3"/>
      <c r="M61" s="8"/>
      <c r="N61" s="8"/>
      <c r="O61" s="8"/>
      <c r="P61" s="3"/>
      <c r="Q61" s="3"/>
      <c r="R61" s="3"/>
    </row>
    <row r="62" spans="1:18">
      <c r="A62" s="14"/>
      <c r="B62" s="9"/>
      <c r="C62" s="10" t="str">
        <f t="shared" si="11"/>
        <v>PRODUCTION COORDINATOR</v>
      </c>
      <c r="D62" s="9"/>
      <c r="E62" s="9" t="str">
        <f t="shared" si="12"/>
        <v>SEHUI JUNG</v>
      </c>
      <c r="F62" s="9"/>
      <c r="G62" s="3"/>
      <c r="H62" s="3"/>
      <c r="I62" s="8" t="s">
        <v>184</v>
      </c>
      <c r="J62" s="3"/>
      <c r="K62" s="3" t="s">
        <v>185</v>
      </c>
      <c r="L62" s="3"/>
      <c r="M62" s="3"/>
      <c r="N62" s="3"/>
      <c r="O62" s="8" t="s">
        <v>800</v>
      </c>
      <c r="P62" s="3"/>
      <c r="Q62" s="3" t="s">
        <v>801</v>
      </c>
      <c r="R62" s="3"/>
    </row>
    <row r="63" spans="1:18">
      <c r="A63" s="14"/>
      <c r="B63" s="9"/>
      <c r="C63" s="10" t="str">
        <f t="shared" si="11"/>
        <v/>
      </c>
      <c r="D63" s="9"/>
      <c r="E63" s="9" t="str">
        <f t="shared" si="12"/>
        <v>CHRISTINA YOONJUNG HAN</v>
      </c>
      <c r="F63" s="9"/>
      <c r="G63" s="3"/>
      <c r="H63" s="3"/>
      <c r="I63" s="8"/>
      <c r="J63" s="3"/>
      <c r="K63" s="3" t="s">
        <v>186</v>
      </c>
      <c r="L63" s="3"/>
      <c r="M63" s="8"/>
      <c r="N63" s="8"/>
      <c r="O63" s="3"/>
      <c r="P63" s="3"/>
      <c r="Q63" s="3" t="s">
        <v>802</v>
      </c>
      <c r="R63" s="3"/>
    </row>
    <row r="64" spans="1:18">
      <c r="A64" s="14"/>
      <c r="B64" s="9"/>
      <c r="C64" s="10" t="str">
        <f t="shared" si="11"/>
        <v/>
      </c>
      <c r="D64" s="9"/>
      <c r="E64" s="9" t="str">
        <f t="shared" si="12"/>
        <v>WOORI KO</v>
      </c>
      <c r="F64" s="9"/>
      <c r="G64" s="3"/>
      <c r="H64" s="3"/>
      <c r="I64" s="8"/>
      <c r="J64" s="3"/>
      <c r="K64" s="3" t="s">
        <v>187</v>
      </c>
      <c r="L64" s="3"/>
      <c r="M64" s="8"/>
      <c r="N64" s="8"/>
      <c r="O64" s="3"/>
      <c r="P64" s="3"/>
      <c r="Q64" s="3" t="s">
        <v>803</v>
      </c>
      <c r="R64" s="3"/>
    </row>
    <row r="65" spans="1:18">
      <c r="A65" s="14"/>
      <c r="B65" s="9"/>
      <c r="C65" s="10" t="str">
        <f t="shared" si="11"/>
        <v/>
      </c>
      <c r="D65" s="9"/>
      <c r="E65" s="9" t="str">
        <f t="shared" si="12"/>
        <v>EUNHA HWANG</v>
      </c>
      <c r="F65" s="9"/>
      <c r="G65" s="3"/>
      <c r="H65" s="3"/>
      <c r="I65" s="8"/>
      <c r="J65" s="3"/>
      <c r="K65" s="3" t="s">
        <v>188</v>
      </c>
      <c r="L65" s="3"/>
      <c r="M65" s="8"/>
      <c r="N65" s="8"/>
      <c r="O65" s="3"/>
      <c r="P65" s="3"/>
      <c r="Q65" s="3" t="s">
        <v>804</v>
      </c>
      <c r="R65" s="3"/>
    </row>
    <row r="66" spans="1:18">
      <c r="A66" s="14"/>
      <c r="B66" s="9"/>
      <c r="C66" s="10" t="str">
        <f t="shared" si="11"/>
        <v/>
      </c>
      <c r="D66" s="9"/>
      <c r="E66" s="9" t="str">
        <f t="shared" si="12"/>
        <v>YEONJAE KANG</v>
      </c>
      <c r="F66" s="9"/>
      <c r="G66" s="3"/>
      <c r="H66" s="3"/>
      <c r="I66" s="8"/>
      <c r="J66" s="3"/>
      <c r="K66" s="3" t="s">
        <v>189</v>
      </c>
      <c r="L66" s="3"/>
      <c r="M66" s="8"/>
      <c r="N66" s="8"/>
      <c r="O66" s="3"/>
      <c r="P66" s="3"/>
      <c r="Q66" s="3" t="s">
        <v>805</v>
      </c>
      <c r="R66" s="3"/>
    </row>
    <row r="67" spans="1:18">
      <c r="A67" s="14"/>
      <c r="B67" s="9"/>
      <c r="C67" s="10" t="str">
        <f t="shared" si="11"/>
        <v/>
      </c>
      <c r="D67" s="9"/>
      <c r="E67" s="9" t="str">
        <f t="shared" si="12"/>
        <v>SKYE YONJI LEE</v>
      </c>
      <c r="F67" s="9"/>
      <c r="G67" s="3"/>
      <c r="H67" s="3"/>
      <c r="I67" s="8"/>
      <c r="J67" s="3"/>
      <c r="K67" s="3" t="s">
        <v>190</v>
      </c>
      <c r="L67" s="3"/>
      <c r="M67" s="8"/>
      <c r="N67" s="8"/>
      <c r="O67" s="3"/>
      <c r="P67" s="3"/>
      <c r="Q67" s="3" t="s">
        <v>806</v>
      </c>
      <c r="R67" s="3"/>
    </row>
    <row r="68" spans="1:18">
      <c r="A68" s="14"/>
      <c r="B68" s="9"/>
      <c r="C68" s="10"/>
      <c r="D68" s="9"/>
      <c r="E68" s="9"/>
      <c r="F68" s="9"/>
      <c r="G68" s="3"/>
      <c r="H68" s="3"/>
      <c r="I68" s="8"/>
      <c r="J68" s="3"/>
      <c r="K68" s="3"/>
      <c r="L68" s="3"/>
      <c r="M68" s="8"/>
      <c r="N68" s="8"/>
      <c r="O68" s="8"/>
      <c r="P68" s="3"/>
      <c r="Q68" s="3"/>
      <c r="R68" s="3"/>
    </row>
    <row r="69" spans="1:18">
      <c r="A69" s="14"/>
      <c r="B69" s="11" t="str">
        <f t="shared" ref="B69:C69" si="13">UPPER(H69)</f>
        <v/>
      </c>
      <c r="C69" s="12" t="str">
        <f t="shared" si="13"/>
        <v/>
      </c>
      <c r="D69" s="11"/>
      <c r="E69" s="11" t="str">
        <f>UPPER(K69)</f>
        <v/>
      </c>
      <c r="F69" s="11"/>
      <c r="G69" s="3"/>
      <c r="H69" s="3"/>
      <c r="I69" s="8"/>
      <c r="J69" s="3"/>
      <c r="K69" s="13"/>
      <c r="L69" s="3"/>
      <c r="M69" s="8"/>
      <c r="N69" s="8"/>
      <c r="O69" s="8"/>
      <c r="P69" s="3"/>
      <c r="Q69" s="3"/>
      <c r="R69" s="3"/>
    </row>
    <row r="70" spans="1:18">
      <c r="A70" s="14"/>
      <c r="B70" s="146"/>
      <c r="C70" s="141"/>
      <c r="D70" s="141"/>
      <c r="E70" s="141"/>
      <c r="F70" s="141"/>
      <c r="G70" s="3"/>
      <c r="H70" s="149"/>
      <c r="I70" s="141"/>
      <c r="J70" s="141"/>
      <c r="K70" s="141"/>
      <c r="L70" s="141"/>
      <c r="M70" s="8"/>
      <c r="N70" s="8"/>
      <c r="O70" s="8"/>
      <c r="P70" s="3"/>
      <c r="Q70" s="3"/>
      <c r="R70" s="3"/>
    </row>
    <row r="71" spans="1:18">
      <c r="A71" s="14"/>
      <c r="B71" s="150" t="str">
        <f>UPPER(H71)</f>
        <v>ART</v>
      </c>
      <c r="C71" s="141"/>
      <c r="D71" s="141"/>
      <c r="E71" s="141"/>
      <c r="F71" s="141"/>
      <c r="G71" s="28"/>
      <c r="H71" s="167" t="s">
        <v>191</v>
      </c>
      <c r="I71" s="141"/>
      <c r="J71" s="141"/>
      <c r="K71" s="141"/>
      <c r="L71" s="141"/>
      <c r="M71" s="29"/>
      <c r="N71" s="149" t="s">
        <v>807</v>
      </c>
      <c r="O71" s="141"/>
      <c r="P71" s="141"/>
      <c r="Q71" s="141"/>
      <c r="R71" s="141"/>
    </row>
    <row r="72" spans="1:18">
      <c r="A72" s="14"/>
      <c r="B72" s="9"/>
      <c r="C72" s="10" t="str">
        <f t="shared" ref="C72:C75" si="14">UPPER(I72)</f>
        <v>CHARACTER DESIGN</v>
      </c>
      <c r="D72" s="9"/>
      <c r="E72" s="9" t="str">
        <f t="shared" ref="E72:E82" si="15">UPPER(K72)</f>
        <v>NANDABY KWON</v>
      </c>
      <c r="F72" s="9"/>
      <c r="G72" s="3"/>
      <c r="H72" s="3"/>
      <c r="I72" s="8" t="s">
        <v>192</v>
      </c>
      <c r="J72" s="3"/>
      <c r="K72" s="13" t="s">
        <v>193</v>
      </c>
      <c r="L72" s="3"/>
      <c r="M72" s="8"/>
      <c r="N72" s="3"/>
      <c r="O72" s="8" t="s">
        <v>808</v>
      </c>
      <c r="P72" s="3"/>
      <c r="Q72" s="3" t="s">
        <v>809</v>
      </c>
      <c r="R72" s="3"/>
    </row>
    <row r="73" spans="1:18">
      <c r="A73" s="14"/>
      <c r="B73" s="9"/>
      <c r="C73" s="10" t="str">
        <f t="shared" si="14"/>
        <v/>
      </c>
      <c r="D73" s="9"/>
      <c r="E73" s="9" t="str">
        <f t="shared" si="15"/>
        <v>MANJOONG LEE</v>
      </c>
      <c r="F73" s="9"/>
      <c r="G73" s="3"/>
      <c r="H73" s="3"/>
      <c r="I73" s="8"/>
      <c r="J73" s="3"/>
      <c r="K73" s="13" t="s">
        <v>194</v>
      </c>
      <c r="L73" s="3"/>
      <c r="M73" s="8"/>
      <c r="N73" s="3"/>
      <c r="O73" s="3"/>
      <c r="P73" s="3"/>
      <c r="Q73" s="3" t="s">
        <v>810</v>
      </c>
      <c r="R73" s="3"/>
    </row>
    <row r="74" spans="1:18">
      <c r="A74" s="14"/>
      <c r="B74" s="9"/>
      <c r="C74" s="10" t="str">
        <f t="shared" si="14"/>
        <v/>
      </c>
      <c r="D74" s="9"/>
      <c r="E74" s="9" t="str">
        <f t="shared" si="15"/>
        <v>HYUNSONG WE</v>
      </c>
      <c r="F74" s="9"/>
      <c r="G74" s="3"/>
      <c r="H74" s="3"/>
      <c r="I74" s="8"/>
      <c r="J74" s="3"/>
      <c r="K74" s="13" t="s">
        <v>195</v>
      </c>
      <c r="L74" s="3"/>
      <c r="M74" s="8"/>
      <c r="N74" s="3"/>
      <c r="O74" s="3"/>
      <c r="P74" s="3"/>
      <c r="Q74" s="3" t="s">
        <v>811</v>
      </c>
      <c r="R74" s="3"/>
    </row>
    <row r="75" spans="1:18">
      <c r="A75" s="14"/>
      <c r="B75" s="9"/>
      <c r="C75" s="10" t="str">
        <f t="shared" si="14"/>
        <v/>
      </c>
      <c r="D75" s="9"/>
      <c r="E75" s="9" t="str">
        <f t="shared" si="15"/>
        <v>HEEGYEONG JUNG</v>
      </c>
      <c r="F75" s="9"/>
      <c r="G75" s="3"/>
      <c r="H75" s="3"/>
      <c r="I75" s="8"/>
      <c r="J75" s="3"/>
      <c r="K75" s="13" t="s">
        <v>196</v>
      </c>
      <c r="L75" s="3"/>
      <c r="M75" s="8"/>
      <c r="N75" s="3"/>
      <c r="O75" s="3"/>
      <c r="P75" s="3"/>
      <c r="Q75" s="3" t="s">
        <v>812</v>
      </c>
      <c r="R75" s="3"/>
    </row>
    <row r="76" spans="1:18">
      <c r="A76" s="14"/>
      <c r="B76" s="9"/>
      <c r="C76" s="10"/>
      <c r="D76" s="9"/>
      <c r="E76" s="9" t="str">
        <f t="shared" si="15"/>
        <v>SUNGMIN JUNG</v>
      </c>
      <c r="F76" s="9"/>
      <c r="G76" s="3"/>
      <c r="H76" s="3"/>
      <c r="I76" s="8"/>
      <c r="J76" s="3"/>
      <c r="K76" s="3" t="s">
        <v>197</v>
      </c>
      <c r="L76" s="3"/>
      <c r="M76" s="8"/>
      <c r="N76" s="3"/>
      <c r="O76" s="3"/>
      <c r="P76" s="3"/>
      <c r="Q76" s="3" t="s">
        <v>813</v>
      </c>
      <c r="R76" s="3"/>
    </row>
    <row r="77" spans="1:18">
      <c r="A77" s="14"/>
      <c r="B77" s="9"/>
      <c r="C77" s="10" t="str">
        <f t="shared" ref="C77:C78" si="16">UPPER(I77)</f>
        <v/>
      </c>
      <c r="D77" s="9"/>
      <c r="E77" s="9" t="str">
        <f t="shared" si="15"/>
        <v/>
      </c>
      <c r="F77" s="9"/>
      <c r="G77" s="3"/>
      <c r="H77" s="3"/>
      <c r="I77" s="8"/>
      <c r="J77" s="3"/>
      <c r="K77" s="13"/>
      <c r="L77" s="3"/>
      <c r="M77" s="8"/>
      <c r="N77" s="3"/>
      <c r="O77" s="8"/>
      <c r="P77" s="3"/>
      <c r="Q77" s="3"/>
      <c r="R77" s="3"/>
    </row>
    <row r="78" spans="1:18">
      <c r="A78" s="14"/>
      <c r="B78" s="9"/>
      <c r="C78" s="10" t="str">
        <f t="shared" si="16"/>
        <v>SET DESIGN</v>
      </c>
      <c r="D78" s="9"/>
      <c r="E78" s="9" t="str">
        <f t="shared" si="15"/>
        <v>BOMI KIM</v>
      </c>
      <c r="F78" s="9"/>
      <c r="G78" s="3"/>
      <c r="H78" s="3"/>
      <c r="I78" s="8" t="s">
        <v>198</v>
      </c>
      <c r="J78" s="3"/>
      <c r="K78" s="13" t="s">
        <v>199</v>
      </c>
      <c r="L78" s="3"/>
      <c r="M78" s="8"/>
      <c r="N78" s="3"/>
      <c r="O78" s="8" t="s">
        <v>814</v>
      </c>
      <c r="P78" s="3"/>
      <c r="Q78" s="3" t="s">
        <v>815</v>
      </c>
      <c r="R78" s="3"/>
    </row>
    <row r="79" spans="1:18">
      <c r="A79" s="14"/>
      <c r="B79" s="9"/>
      <c r="C79" s="10"/>
      <c r="D79" s="9"/>
      <c r="E79" s="9" t="str">
        <f t="shared" si="15"/>
        <v>CHANGRAE BAEK</v>
      </c>
      <c r="F79" s="9"/>
      <c r="G79" s="3"/>
      <c r="H79" s="3"/>
      <c r="I79" s="8"/>
      <c r="J79" s="3"/>
      <c r="K79" s="3" t="s">
        <v>200</v>
      </c>
      <c r="L79" s="3"/>
      <c r="M79" s="8"/>
      <c r="N79" s="3"/>
      <c r="O79" s="3"/>
      <c r="P79" s="3"/>
      <c r="Q79" s="3" t="s">
        <v>816</v>
      </c>
      <c r="R79" s="3"/>
    </row>
    <row r="80" spans="1:18">
      <c r="A80" s="14"/>
      <c r="B80" s="9"/>
      <c r="C80" s="10"/>
      <c r="D80" s="9"/>
      <c r="E80" s="9" t="str">
        <f t="shared" si="15"/>
        <v>SUNYOUNG PARK</v>
      </c>
      <c r="F80" s="9"/>
      <c r="G80" s="3"/>
      <c r="H80" s="3"/>
      <c r="I80" s="8"/>
      <c r="J80" s="3"/>
      <c r="K80" s="3" t="s">
        <v>201</v>
      </c>
      <c r="L80" s="3"/>
      <c r="M80" s="8"/>
      <c r="N80" s="3"/>
      <c r="O80" s="3"/>
      <c r="P80" s="3"/>
      <c r="Q80" s="3" t="s">
        <v>817</v>
      </c>
      <c r="R80" s="3"/>
    </row>
    <row r="81" spans="1:18">
      <c r="A81" s="14"/>
      <c r="B81" s="9"/>
      <c r="C81" s="10"/>
      <c r="D81" s="9"/>
      <c r="E81" s="9" t="str">
        <f t="shared" si="15"/>
        <v/>
      </c>
      <c r="F81" s="9"/>
      <c r="G81" s="3"/>
      <c r="H81" s="3"/>
      <c r="I81" s="8"/>
      <c r="J81" s="3"/>
      <c r="K81" s="3"/>
      <c r="L81" s="3"/>
      <c r="M81" s="8"/>
      <c r="N81" s="8"/>
      <c r="O81" s="8"/>
      <c r="P81" s="3"/>
      <c r="Q81" s="3"/>
      <c r="R81" s="3"/>
    </row>
    <row r="82" spans="1:18">
      <c r="A82" s="14"/>
      <c r="B82" s="9"/>
      <c r="C82" s="10" t="str">
        <f>UPPER(I82)</f>
        <v/>
      </c>
      <c r="D82" s="9"/>
      <c r="E82" s="9" t="str">
        <f t="shared" si="15"/>
        <v/>
      </c>
      <c r="F82" s="9"/>
      <c r="G82" s="3"/>
      <c r="H82" s="3"/>
      <c r="I82" s="8"/>
      <c r="J82" s="3"/>
      <c r="K82" s="13"/>
      <c r="L82" s="3"/>
      <c r="M82" s="8"/>
      <c r="N82" s="8"/>
      <c r="O82" s="8"/>
      <c r="P82" s="3"/>
      <c r="Q82" s="3"/>
      <c r="R82" s="3"/>
    </row>
    <row r="83" spans="1:18">
      <c r="A83" s="14"/>
      <c r="B83" s="146" t="str">
        <f>UPPER(H83)</f>
        <v>THE MONK STUDIOS</v>
      </c>
      <c r="C83" s="141"/>
      <c r="D83" s="141"/>
      <c r="E83" s="141"/>
      <c r="F83" s="141"/>
      <c r="G83" s="3"/>
      <c r="H83" s="149" t="s">
        <v>202</v>
      </c>
      <c r="I83" s="141"/>
      <c r="J83" s="141"/>
      <c r="K83" s="141"/>
      <c r="L83" s="141"/>
      <c r="M83" s="8"/>
      <c r="N83" s="149" t="s">
        <v>202</v>
      </c>
      <c r="O83" s="141"/>
      <c r="P83" s="141"/>
      <c r="Q83" s="141"/>
      <c r="R83" s="141"/>
    </row>
    <row r="84" spans="1:18">
      <c r="A84" s="14"/>
      <c r="B84" s="9"/>
      <c r="C84" s="10"/>
      <c r="D84" s="9"/>
      <c r="E84" s="9"/>
      <c r="F84" s="9"/>
      <c r="G84" s="3"/>
      <c r="H84" s="3"/>
      <c r="I84" s="30"/>
      <c r="J84" s="3"/>
      <c r="K84" s="31"/>
      <c r="L84" s="3"/>
      <c r="M84" s="8"/>
      <c r="N84" s="3"/>
      <c r="O84" s="30"/>
      <c r="P84" s="3"/>
      <c r="Q84" s="31"/>
      <c r="R84" s="3"/>
    </row>
    <row r="85" spans="1:18">
      <c r="A85" s="14"/>
      <c r="B85" s="9"/>
      <c r="C85" s="10" t="str">
        <f t="shared" ref="C85:C88" si="17">UPPER(I85)</f>
        <v>CONCEPT ARTIST</v>
      </c>
      <c r="D85" s="9"/>
      <c r="E85" s="9" t="str">
        <f t="shared" ref="E85:E88" si="18">UPPER(K85)</f>
        <v>WANICHAYA PHRAEJUNYA</v>
      </c>
      <c r="F85" s="9"/>
      <c r="G85" s="3"/>
      <c r="H85" s="3"/>
      <c r="I85" s="32" t="s">
        <v>203</v>
      </c>
      <c r="J85" s="3"/>
      <c r="K85" s="31" t="s">
        <v>610</v>
      </c>
      <c r="L85" s="3"/>
      <c r="M85" s="8"/>
      <c r="N85" s="3"/>
      <c r="O85" s="32" t="s">
        <v>203</v>
      </c>
      <c r="P85" s="3"/>
      <c r="Q85" s="31" t="s">
        <v>610</v>
      </c>
      <c r="R85" s="3"/>
    </row>
    <row r="86" spans="1:18">
      <c r="A86" s="14"/>
      <c r="B86" s="9"/>
      <c r="C86" s="10" t="str">
        <f t="shared" si="17"/>
        <v/>
      </c>
      <c r="D86" s="9"/>
      <c r="E86" s="9" t="str">
        <f t="shared" si="18"/>
        <v>PAKORN THONGKWANJAI</v>
      </c>
      <c r="F86" s="9"/>
      <c r="G86" s="3"/>
      <c r="H86" s="3"/>
      <c r="I86" s="8"/>
      <c r="J86" s="3"/>
      <c r="K86" s="31" t="s">
        <v>205</v>
      </c>
      <c r="L86" s="3"/>
      <c r="M86" s="8"/>
      <c r="N86" s="3"/>
      <c r="O86" s="8"/>
      <c r="P86" s="3"/>
      <c r="Q86" s="31" t="s">
        <v>205</v>
      </c>
      <c r="R86" s="3"/>
    </row>
    <row r="87" spans="1:18">
      <c r="A87" s="14"/>
      <c r="B87" s="9"/>
      <c r="C87" s="10" t="str">
        <f t="shared" si="17"/>
        <v/>
      </c>
      <c r="D87" s="9"/>
      <c r="E87" s="9" t="str">
        <f t="shared" si="18"/>
        <v>SURACHART YAMKUNTONG</v>
      </c>
      <c r="F87" s="9"/>
      <c r="G87" s="3"/>
      <c r="H87" s="3"/>
      <c r="I87" s="8"/>
      <c r="J87" s="3"/>
      <c r="K87" s="31" t="s">
        <v>206</v>
      </c>
      <c r="L87" s="3"/>
      <c r="M87" s="8"/>
      <c r="N87" s="3"/>
      <c r="O87" s="8"/>
      <c r="P87" s="3"/>
      <c r="Q87" s="31" t="s">
        <v>206</v>
      </c>
      <c r="R87" s="3"/>
    </row>
    <row r="88" spans="1:18">
      <c r="A88" s="14"/>
      <c r="B88" s="9"/>
      <c r="C88" s="10" t="str">
        <f t="shared" si="17"/>
        <v/>
      </c>
      <c r="D88" s="9"/>
      <c r="E88" s="9" t="str">
        <f t="shared" si="18"/>
        <v>BURATOUCH THONGPHISITSOMBAT</v>
      </c>
      <c r="F88" s="9"/>
      <c r="G88" s="3"/>
      <c r="H88" s="3"/>
      <c r="I88" s="8"/>
      <c r="J88" s="3"/>
      <c r="K88" s="31" t="s">
        <v>207</v>
      </c>
      <c r="L88" s="3"/>
      <c r="M88" s="8"/>
      <c r="N88" s="3"/>
      <c r="O88" s="8"/>
      <c r="P88" s="3"/>
      <c r="Q88" s="31" t="s">
        <v>207</v>
      </c>
      <c r="R88" s="3"/>
    </row>
    <row r="89" spans="1:18">
      <c r="A89" s="14"/>
      <c r="B89" s="9"/>
      <c r="C89" s="10"/>
      <c r="D89" s="9"/>
      <c r="E89" s="9"/>
      <c r="F89" s="9"/>
      <c r="G89" s="3"/>
      <c r="H89" s="3"/>
      <c r="I89" s="8"/>
      <c r="J89" s="3"/>
      <c r="K89" s="31"/>
      <c r="L89" s="3"/>
      <c r="M89" s="8"/>
      <c r="N89" s="8"/>
      <c r="O89" s="8"/>
      <c r="P89" s="3"/>
      <c r="Q89" s="3"/>
      <c r="R89" s="3"/>
    </row>
    <row r="90" spans="1:18">
      <c r="A90" s="14"/>
      <c r="B90" s="26"/>
      <c r="C90" s="26"/>
      <c r="D90" s="26"/>
      <c r="E90" s="26"/>
      <c r="F90" s="26"/>
      <c r="G90" s="3"/>
      <c r="H90" s="5"/>
      <c r="I90" s="72"/>
      <c r="J90" s="5"/>
      <c r="K90" s="33"/>
      <c r="L90" s="5"/>
      <c r="M90" s="8"/>
      <c r="N90" s="8"/>
      <c r="O90" s="8"/>
      <c r="P90" s="3"/>
      <c r="Q90" s="3"/>
      <c r="R90" s="3"/>
    </row>
    <row r="91" spans="1:18">
      <c r="A91" s="14"/>
      <c r="B91" s="6"/>
      <c r="C91" s="6"/>
      <c r="D91" s="6"/>
      <c r="E91" s="6"/>
      <c r="F91" s="6"/>
      <c r="G91" s="3"/>
      <c r="H91" s="5"/>
      <c r="I91" s="72"/>
      <c r="J91" s="5"/>
      <c r="K91" s="33"/>
      <c r="L91" s="5"/>
      <c r="M91" s="8"/>
      <c r="N91" s="8"/>
      <c r="O91" s="8"/>
      <c r="P91" s="3"/>
      <c r="Q91" s="3"/>
      <c r="R91" s="3"/>
    </row>
    <row r="92" spans="1:18">
      <c r="A92" s="14"/>
      <c r="B92" s="150" t="str">
        <f>UPPER(H92)</f>
        <v xml:space="preserve">ASSET </v>
      </c>
      <c r="C92" s="141"/>
      <c r="D92" s="141"/>
      <c r="E92" s="141"/>
      <c r="F92" s="141"/>
      <c r="G92" s="28"/>
      <c r="H92" s="167" t="s">
        <v>208</v>
      </c>
      <c r="I92" s="141"/>
      <c r="J92" s="141"/>
      <c r="K92" s="141"/>
      <c r="L92" s="141"/>
      <c r="M92" s="29"/>
      <c r="N92" s="149" t="s">
        <v>818</v>
      </c>
      <c r="O92" s="141"/>
      <c r="P92" s="141"/>
      <c r="Q92" s="141"/>
      <c r="R92" s="141"/>
    </row>
    <row r="93" spans="1:18">
      <c r="A93" s="14"/>
      <c r="B93" s="9"/>
      <c r="C93" s="10" t="str">
        <f t="shared" ref="C93:C101" si="19">UPPER(I93)</f>
        <v>ASSET SUPERVISOR</v>
      </c>
      <c r="D93" s="9"/>
      <c r="E93" s="9" t="str">
        <f t="shared" ref="E93:E101" si="20">UPPER(K93)</f>
        <v>SANGWOO NAM</v>
      </c>
      <c r="F93" s="9"/>
      <c r="G93" s="3"/>
      <c r="H93" s="3"/>
      <c r="I93" s="8" t="s">
        <v>209</v>
      </c>
      <c r="J93" s="3"/>
      <c r="K93" s="3" t="s">
        <v>210</v>
      </c>
      <c r="L93" s="3"/>
      <c r="M93" s="8"/>
      <c r="N93" s="8"/>
      <c r="O93" s="8" t="s">
        <v>819</v>
      </c>
      <c r="P93" s="3"/>
      <c r="Q93" s="3" t="s">
        <v>820</v>
      </c>
      <c r="R93" s="3"/>
    </row>
    <row r="94" spans="1:18">
      <c r="A94" s="14"/>
      <c r="B94" s="9"/>
      <c r="C94" s="10" t="str">
        <f t="shared" si="19"/>
        <v/>
      </c>
      <c r="D94" s="9"/>
      <c r="E94" s="9" t="str">
        <f t="shared" si="20"/>
        <v/>
      </c>
      <c r="F94" s="9"/>
      <c r="G94" s="3"/>
      <c r="H94" s="3"/>
      <c r="I94" s="8"/>
      <c r="J94" s="3"/>
      <c r="K94" s="3"/>
      <c r="L94" s="3"/>
      <c r="M94" s="8"/>
      <c r="N94" s="8"/>
      <c r="O94" s="21"/>
      <c r="P94" s="3"/>
      <c r="Q94" s="3"/>
      <c r="R94" s="3"/>
    </row>
    <row r="95" spans="1:18">
      <c r="A95" s="14"/>
      <c r="B95" s="9"/>
      <c r="C95" s="10" t="str">
        <f t="shared" si="19"/>
        <v>MODELING SUPERVISOR</v>
      </c>
      <c r="D95" s="9"/>
      <c r="E95" s="9" t="str">
        <f t="shared" si="20"/>
        <v>TEAYOUNG KIM</v>
      </c>
      <c r="F95" s="9"/>
      <c r="G95" s="3"/>
      <c r="H95" s="3"/>
      <c r="I95" s="8" t="s">
        <v>211</v>
      </c>
      <c r="J95" s="3"/>
      <c r="K95" s="3" t="s">
        <v>212</v>
      </c>
      <c r="L95" s="3"/>
      <c r="M95" s="8"/>
      <c r="N95" s="8"/>
      <c r="O95" s="8" t="s">
        <v>821</v>
      </c>
      <c r="P95" s="3"/>
      <c r="Q95" s="3" t="s">
        <v>822</v>
      </c>
      <c r="R95" s="3"/>
    </row>
    <row r="96" spans="1:18">
      <c r="A96" s="14"/>
      <c r="B96" s="9"/>
      <c r="C96" s="10" t="str">
        <f t="shared" si="19"/>
        <v/>
      </c>
      <c r="D96" s="9"/>
      <c r="E96" s="9" t="str">
        <f t="shared" si="20"/>
        <v>JUNGYUN HA</v>
      </c>
      <c r="F96" s="9"/>
      <c r="G96" s="3"/>
      <c r="H96" s="3"/>
      <c r="I96" s="8"/>
      <c r="J96" s="3"/>
      <c r="K96" s="3" t="s">
        <v>213</v>
      </c>
      <c r="L96" s="3"/>
      <c r="M96" s="8"/>
      <c r="N96" s="8"/>
      <c r="O96" s="8"/>
      <c r="P96" s="3"/>
      <c r="Q96" s="3" t="s">
        <v>823</v>
      </c>
      <c r="R96" s="3"/>
    </row>
    <row r="97" spans="1:18">
      <c r="A97" s="14"/>
      <c r="B97" s="9"/>
      <c r="C97" s="10" t="str">
        <f t="shared" si="19"/>
        <v/>
      </c>
      <c r="D97" s="9"/>
      <c r="E97" s="9" t="str">
        <f t="shared" si="20"/>
        <v>KIPYO KIM</v>
      </c>
      <c r="F97" s="9"/>
      <c r="G97" s="3"/>
      <c r="H97" s="3"/>
      <c r="I97" s="8"/>
      <c r="J97" s="3"/>
      <c r="K97" s="3" t="s">
        <v>214</v>
      </c>
      <c r="L97" s="3"/>
      <c r="M97" s="8"/>
      <c r="N97" s="8"/>
      <c r="O97" s="8"/>
      <c r="P97" s="3"/>
      <c r="Q97" s="3" t="s">
        <v>824</v>
      </c>
      <c r="R97" s="3"/>
    </row>
    <row r="98" spans="1:18">
      <c r="A98" s="14"/>
      <c r="B98" s="9"/>
      <c r="C98" s="10" t="str">
        <f t="shared" si="19"/>
        <v/>
      </c>
      <c r="D98" s="9"/>
      <c r="E98" s="9" t="str">
        <f t="shared" si="20"/>
        <v/>
      </c>
      <c r="F98" s="9"/>
      <c r="G98" s="3"/>
      <c r="H98" s="3"/>
      <c r="I98" s="8"/>
      <c r="J98" s="3"/>
      <c r="K98" s="3"/>
      <c r="L98" s="3"/>
      <c r="M98" s="8"/>
      <c r="N98" s="8"/>
      <c r="O98" s="8"/>
      <c r="P98" s="3"/>
      <c r="Q98" s="3"/>
      <c r="R98" s="3"/>
    </row>
    <row r="99" spans="1:18">
      <c r="A99" s="14"/>
      <c r="B99" s="9"/>
      <c r="C99" s="10" t="str">
        <f t="shared" si="19"/>
        <v>LOOKDEV ARTIST</v>
      </c>
      <c r="D99" s="9"/>
      <c r="E99" s="9" t="str">
        <f t="shared" si="20"/>
        <v>YEONJU LEE</v>
      </c>
      <c r="F99" s="9"/>
      <c r="G99" s="3"/>
      <c r="H99" s="3"/>
      <c r="I99" s="8" t="s">
        <v>215</v>
      </c>
      <c r="J99" s="3"/>
      <c r="K99" s="3" t="s">
        <v>216</v>
      </c>
      <c r="L99" s="3"/>
      <c r="M99" s="8"/>
      <c r="N99" s="8"/>
      <c r="O99" s="8" t="s">
        <v>825</v>
      </c>
      <c r="P99" s="3"/>
      <c r="Q99" s="3" t="s">
        <v>826</v>
      </c>
      <c r="R99" s="3"/>
    </row>
    <row r="100" spans="1:18">
      <c r="A100" s="14"/>
      <c r="B100" s="9"/>
      <c r="C100" s="10" t="str">
        <f t="shared" si="19"/>
        <v/>
      </c>
      <c r="D100" s="9"/>
      <c r="E100" s="9" t="str">
        <f t="shared" si="20"/>
        <v/>
      </c>
      <c r="F100" s="9"/>
      <c r="G100" s="3"/>
      <c r="H100" s="3"/>
      <c r="I100" s="8"/>
      <c r="J100" s="3"/>
      <c r="K100" s="3"/>
      <c r="L100" s="3"/>
      <c r="M100" s="3"/>
      <c r="N100" s="3"/>
      <c r="O100" s="8"/>
      <c r="P100" s="3"/>
      <c r="Q100" s="3"/>
      <c r="R100" s="3"/>
    </row>
    <row r="101" spans="1:18">
      <c r="A101" s="14"/>
      <c r="B101" s="9"/>
      <c r="C101" s="10" t="str">
        <f t="shared" si="19"/>
        <v>RIGGING</v>
      </c>
      <c r="D101" s="9"/>
      <c r="E101" s="9" t="str">
        <f t="shared" si="20"/>
        <v>MINJU YOO</v>
      </c>
      <c r="F101" s="9"/>
      <c r="G101" s="3"/>
      <c r="H101" s="3"/>
      <c r="I101" s="8" t="s">
        <v>217</v>
      </c>
      <c r="J101" s="3"/>
      <c r="K101" s="3" t="s">
        <v>218</v>
      </c>
      <c r="L101" s="3"/>
      <c r="M101" s="8"/>
      <c r="N101" s="8"/>
      <c r="O101" s="8" t="s">
        <v>827</v>
      </c>
      <c r="P101" s="3"/>
      <c r="Q101" s="3" t="s">
        <v>828</v>
      </c>
      <c r="R101" s="3"/>
    </row>
    <row r="102" spans="1:18">
      <c r="A102" s="14"/>
      <c r="B102" s="9"/>
      <c r="C102" s="10"/>
      <c r="D102" s="9"/>
      <c r="E102" s="9"/>
      <c r="F102" s="9"/>
      <c r="G102" s="3"/>
      <c r="H102" s="3"/>
      <c r="I102" s="8"/>
      <c r="J102" s="3"/>
      <c r="K102" s="3"/>
      <c r="L102" s="3"/>
      <c r="M102" s="8"/>
      <c r="N102" s="8"/>
      <c r="O102" s="8"/>
      <c r="P102" s="3"/>
      <c r="Q102" s="3"/>
      <c r="R102" s="3"/>
    </row>
    <row r="103" spans="1:18">
      <c r="A103" s="14"/>
      <c r="B103" s="11"/>
      <c r="C103" s="12" t="str">
        <f>UPPER(I103)</f>
        <v/>
      </c>
      <c r="D103" s="11"/>
      <c r="E103" s="11" t="str">
        <f>UPPER(K103)</f>
        <v/>
      </c>
      <c r="F103" s="11"/>
      <c r="G103" s="3"/>
      <c r="H103" s="3"/>
      <c r="I103" s="2"/>
      <c r="J103" s="3"/>
      <c r="K103" s="3"/>
      <c r="L103" s="3"/>
      <c r="M103" s="8"/>
      <c r="N103" s="8"/>
      <c r="O103" s="8"/>
      <c r="P103" s="3"/>
      <c r="Q103" s="3"/>
      <c r="R103" s="3"/>
    </row>
    <row r="104" spans="1:18">
      <c r="A104" s="14"/>
      <c r="B104" s="9"/>
      <c r="C104" s="10"/>
      <c r="D104" s="9"/>
      <c r="E104" s="9"/>
      <c r="F104" s="9"/>
      <c r="G104" s="3"/>
      <c r="H104" s="3"/>
      <c r="I104" s="2"/>
      <c r="J104" s="3"/>
      <c r="K104" s="3"/>
      <c r="L104" s="3"/>
      <c r="M104" s="8"/>
      <c r="N104" s="8"/>
      <c r="O104" s="8"/>
      <c r="P104" s="3"/>
      <c r="Q104" s="3"/>
      <c r="R104" s="3"/>
    </row>
    <row r="105" spans="1:18">
      <c r="A105" s="14"/>
      <c r="B105" s="150" t="str">
        <f t="shared" ref="B105:B106" si="21">UPPER(H105)</f>
        <v xml:space="preserve">ASSET </v>
      </c>
      <c r="C105" s="141"/>
      <c r="D105" s="141"/>
      <c r="E105" s="141"/>
      <c r="F105" s="141"/>
      <c r="G105" s="28"/>
      <c r="H105" s="167" t="s">
        <v>208</v>
      </c>
      <c r="I105" s="141"/>
      <c r="J105" s="141"/>
      <c r="K105" s="141"/>
      <c r="L105" s="141"/>
      <c r="M105" s="8"/>
      <c r="N105" s="149" t="s">
        <v>818</v>
      </c>
      <c r="O105" s="141"/>
      <c r="P105" s="141"/>
      <c r="Q105" s="141"/>
      <c r="R105" s="141"/>
    </row>
    <row r="106" spans="1:18">
      <c r="A106" s="14"/>
      <c r="B106" s="146" t="str">
        <f t="shared" si="21"/>
        <v>THE MONK STUDIOS</v>
      </c>
      <c r="C106" s="141"/>
      <c r="D106" s="141"/>
      <c r="E106" s="141"/>
      <c r="F106" s="141"/>
      <c r="G106" s="3"/>
      <c r="H106" s="149" t="s">
        <v>202</v>
      </c>
      <c r="I106" s="141"/>
      <c r="J106" s="141"/>
      <c r="K106" s="141"/>
      <c r="L106" s="141"/>
      <c r="M106" s="8"/>
      <c r="N106" s="149" t="s">
        <v>202</v>
      </c>
      <c r="O106" s="141"/>
      <c r="P106" s="141"/>
      <c r="Q106" s="141"/>
      <c r="R106" s="141"/>
    </row>
    <row r="107" spans="1:18">
      <c r="A107" s="14"/>
      <c r="B107" s="9"/>
      <c r="C107" s="10"/>
      <c r="D107" s="9"/>
      <c r="E107" s="9"/>
      <c r="F107" s="9"/>
      <c r="G107" s="3"/>
      <c r="H107" s="3"/>
      <c r="I107" s="8"/>
      <c r="J107" s="2"/>
      <c r="K107" s="34"/>
      <c r="L107" s="2"/>
      <c r="N107" s="3"/>
      <c r="O107" s="8"/>
      <c r="P107" s="2"/>
      <c r="Q107" s="34"/>
      <c r="R107" s="2"/>
    </row>
    <row r="108" spans="1:18">
      <c r="A108" s="14"/>
      <c r="B108" s="9"/>
      <c r="C108" s="10" t="str">
        <f t="shared" ref="C108:C125" si="22">UPPER(I108)</f>
        <v>ASSET SUPERVISOR</v>
      </c>
      <c r="D108" s="9"/>
      <c r="E108" s="9" t="str">
        <f t="shared" ref="E108:E128" si="23">UPPER(K108)</f>
        <v>ATTAPORN KANJANASAHAS</v>
      </c>
      <c r="F108" s="9"/>
      <c r="G108" s="3"/>
      <c r="H108" s="3"/>
      <c r="I108" s="8" t="s">
        <v>209</v>
      </c>
      <c r="J108" s="2"/>
      <c r="K108" s="34" t="s">
        <v>219</v>
      </c>
      <c r="L108" s="2"/>
      <c r="N108" s="3"/>
      <c r="O108" s="8" t="s">
        <v>209</v>
      </c>
      <c r="P108" s="2"/>
      <c r="Q108" s="34" t="s">
        <v>219</v>
      </c>
      <c r="R108" s="2"/>
    </row>
    <row r="109" spans="1:18">
      <c r="A109" s="14"/>
      <c r="B109" s="9"/>
      <c r="C109" s="10" t="str">
        <f t="shared" si="22"/>
        <v/>
      </c>
      <c r="D109" s="9"/>
      <c r="E109" s="9" t="str">
        <f t="shared" si="23"/>
        <v/>
      </c>
      <c r="F109" s="9"/>
      <c r="G109" s="3"/>
      <c r="H109" s="3"/>
      <c r="I109" s="2"/>
      <c r="J109" s="2"/>
      <c r="K109" s="35"/>
      <c r="L109" s="2"/>
      <c r="N109" s="3"/>
      <c r="O109" s="2"/>
      <c r="P109" s="2"/>
      <c r="Q109" s="35"/>
      <c r="R109" s="2"/>
    </row>
    <row r="110" spans="1:18">
      <c r="A110" s="14"/>
      <c r="B110" s="9"/>
      <c r="C110" s="10" t="str">
        <f t="shared" si="22"/>
        <v>MODEL SUPERVISOR</v>
      </c>
      <c r="D110" s="9"/>
      <c r="E110" s="9" t="str">
        <f t="shared" si="23"/>
        <v>THANITTHA PROMPATIMA</v>
      </c>
      <c r="F110" s="9"/>
      <c r="G110" s="3"/>
      <c r="H110" s="3"/>
      <c r="I110" s="36" t="s">
        <v>220</v>
      </c>
      <c r="J110" s="3"/>
      <c r="K110" s="37" t="s">
        <v>221</v>
      </c>
      <c r="L110" s="3"/>
      <c r="M110" s="8"/>
      <c r="N110" s="3"/>
      <c r="O110" s="36" t="s">
        <v>220</v>
      </c>
      <c r="P110" s="3"/>
      <c r="Q110" s="37" t="s">
        <v>221</v>
      </c>
      <c r="R110" s="3"/>
    </row>
    <row r="111" spans="1:18">
      <c r="A111" s="14"/>
      <c r="B111" s="9"/>
      <c r="C111" s="10" t="str">
        <f t="shared" si="22"/>
        <v/>
      </c>
      <c r="D111" s="9"/>
      <c r="E111" s="9" t="str">
        <f t="shared" si="23"/>
        <v/>
      </c>
      <c r="F111" s="9"/>
      <c r="G111" s="3"/>
      <c r="H111" s="3"/>
      <c r="I111" s="36"/>
      <c r="J111" s="3"/>
      <c r="K111" s="37"/>
      <c r="L111" s="3"/>
      <c r="M111" s="8"/>
      <c r="N111" s="3"/>
      <c r="O111" s="36"/>
      <c r="P111" s="3"/>
      <c r="Q111" s="37"/>
      <c r="R111" s="3"/>
    </row>
    <row r="112" spans="1:18">
      <c r="A112" s="14"/>
      <c r="B112" s="9"/>
      <c r="C112" s="10" t="str">
        <f t="shared" si="22"/>
        <v>MODELER LEADER</v>
      </c>
      <c r="D112" s="9"/>
      <c r="E112" s="9" t="str">
        <f t="shared" si="23"/>
        <v>YANNAKRON WONGPHUN</v>
      </c>
      <c r="F112" s="9"/>
      <c r="G112" s="3"/>
      <c r="H112" s="3"/>
      <c r="I112" s="36" t="s">
        <v>222</v>
      </c>
      <c r="J112" s="3"/>
      <c r="K112" s="37" t="s">
        <v>223</v>
      </c>
      <c r="L112" s="3"/>
      <c r="M112" s="8"/>
      <c r="N112" s="3"/>
      <c r="O112" s="36" t="s">
        <v>222</v>
      </c>
      <c r="P112" s="3"/>
      <c r="Q112" s="37" t="s">
        <v>223</v>
      </c>
      <c r="R112" s="3"/>
    </row>
    <row r="113" spans="1:18">
      <c r="A113" s="14"/>
      <c r="B113" s="9"/>
      <c r="C113" s="10" t="str">
        <f t="shared" si="22"/>
        <v/>
      </c>
      <c r="D113" s="9"/>
      <c r="E113" s="9" t="str">
        <f t="shared" si="23"/>
        <v>CHANATITH TAWANMAI</v>
      </c>
      <c r="F113" s="9"/>
      <c r="G113" s="3"/>
      <c r="H113" s="3"/>
      <c r="I113" s="36"/>
      <c r="J113" s="3"/>
      <c r="K113" s="37" t="s">
        <v>224</v>
      </c>
      <c r="L113" s="3"/>
      <c r="M113" s="8"/>
      <c r="N113" s="3"/>
      <c r="O113" s="36"/>
      <c r="P113" s="3"/>
      <c r="Q113" s="37" t="s">
        <v>224</v>
      </c>
      <c r="R113" s="3"/>
    </row>
    <row r="114" spans="1:18">
      <c r="A114" s="14"/>
      <c r="B114" s="9"/>
      <c r="C114" s="10" t="str">
        <f t="shared" si="22"/>
        <v/>
      </c>
      <c r="D114" s="9"/>
      <c r="E114" s="9" t="str">
        <f t="shared" si="23"/>
        <v/>
      </c>
      <c r="F114" s="9"/>
      <c r="G114" s="3"/>
      <c r="H114" s="3"/>
      <c r="I114" s="36"/>
      <c r="J114" s="3"/>
      <c r="K114" s="37"/>
      <c r="L114" s="3"/>
      <c r="M114" s="8"/>
      <c r="N114" s="3"/>
      <c r="O114" s="36"/>
      <c r="P114" s="3"/>
      <c r="Q114" s="37"/>
      <c r="R114" s="3"/>
    </row>
    <row r="115" spans="1:18">
      <c r="A115" s="14"/>
      <c r="B115" s="9"/>
      <c r="C115" s="10" t="str">
        <f t="shared" si="22"/>
        <v>MODELER</v>
      </c>
      <c r="D115" s="9"/>
      <c r="E115" s="9" t="str">
        <f t="shared" si="23"/>
        <v>JIRAWAT PANGCHOMPOO</v>
      </c>
      <c r="F115" s="9"/>
      <c r="G115" s="3"/>
      <c r="H115" s="3"/>
      <c r="I115" s="36" t="s">
        <v>225</v>
      </c>
      <c r="J115" s="3"/>
      <c r="K115" s="37" t="s">
        <v>226</v>
      </c>
      <c r="L115" s="3"/>
      <c r="M115" s="8"/>
      <c r="N115" s="3"/>
      <c r="O115" s="36" t="s">
        <v>225</v>
      </c>
      <c r="P115" s="3"/>
      <c r="Q115" s="37" t="s">
        <v>226</v>
      </c>
      <c r="R115" s="3"/>
    </row>
    <row r="116" spans="1:18">
      <c r="A116" s="14"/>
      <c r="B116" s="9"/>
      <c r="C116" s="10" t="str">
        <f t="shared" si="22"/>
        <v/>
      </c>
      <c r="D116" s="9"/>
      <c r="E116" s="9" t="str">
        <f t="shared" si="23"/>
        <v>TEERAWAT PHO-OB</v>
      </c>
      <c r="F116" s="9"/>
      <c r="G116" s="3"/>
      <c r="H116" s="3"/>
      <c r="I116" s="8"/>
      <c r="J116" s="3"/>
      <c r="K116" s="37" t="s">
        <v>227</v>
      </c>
      <c r="L116" s="3"/>
      <c r="M116" s="8"/>
      <c r="N116" s="3"/>
      <c r="O116" s="8"/>
      <c r="P116" s="3"/>
      <c r="Q116" s="37" t="s">
        <v>227</v>
      </c>
      <c r="R116" s="3"/>
    </row>
    <row r="117" spans="1:18">
      <c r="A117" s="14"/>
      <c r="B117" s="9"/>
      <c r="C117" s="10" t="str">
        <f t="shared" si="22"/>
        <v/>
      </c>
      <c r="D117" s="9"/>
      <c r="E117" s="9" t="str">
        <f t="shared" si="23"/>
        <v>SUPACHOCK NUAMTHONG</v>
      </c>
      <c r="F117" s="9"/>
      <c r="G117" s="3"/>
      <c r="H117" s="3"/>
      <c r="I117" s="8"/>
      <c r="J117" s="3"/>
      <c r="K117" s="37" t="s">
        <v>228</v>
      </c>
      <c r="L117" s="3"/>
      <c r="M117" s="8"/>
      <c r="N117" s="3"/>
      <c r="O117" s="8"/>
      <c r="P117" s="3"/>
      <c r="Q117" s="37" t="s">
        <v>228</v>
      </c>
      <c r="R117" s="3"/>
    </row>
    <row r="118" spans="1:18">
      <c r="A118" s="14"/>
      <c r="B118" s="9"/>
      <c r="C118" s="10" t="str">
        <f t="shared" si="22"/>
        <v/>
      </c>
      <c r="D118" s="9"/>
      <c r="E118" s="9" t="str">
        <f t="shared" si="23"/>
        <v>VIPHADA KARNJANAWARIT</v>
      </c>
      <c r="F118" s="9"/>
      <c r="G118" s="3"/>
      <c r="H118" s="3"/>
      <c r="I118" s="8"/>
      <c r="J118" s="3"/>
      <c r="K118" s="37" t="s">
        <v>229</v>
      </c>
      <c r="L118" s="3"/>
      <c r="M118" s="8"/>
      <c r="N118" s="3"/>
      <c r="O118" s="8"/>
      <c r="P118" s="3"/>
      <c r="Q118" s="37" t="s">
        <v>229</v>
      </c>
      <c r="R118" s="3"/>
    </row>
    <row r="119" spans="1:18">
      <c r="A119" s="14"/>
      <c r="B119" s="9"/>
      <c r="C119" s="10" t="str">
        <f t="shared" si="22"/>
        <v/>
      </c>
      <c r="D119" s="9"/>
      <c r="E119" s="9" t="str">
        <f t="shared" si="23"/>
        <v>TEERAKA KONGPAISAND</v>
      </c>
      <c r="F119" s="9"/>
      <c r="G119" s="3"/>
      <c r="H119" s="3"/>
      <c r="I119" s="8"/>
      <c r="J119" s="3"/>
      <c r="K119" s="37" t="s">
        <v>230</v>
      </c>
      <c r="L119" s="3"/>
      <c r="M119" s="8"/>
      <c r="N119" s="3"/>
      <c r="O119" s="8"/>
      <c r="P119" s="3"/>
      <c r="Q119" s="37" t="s">
        <v>230</v>
      </c>
      <c r="R119" s="3"/>
    </row>
    <row r="120" spans="1:18">
      <c r="A120" s="14"/>
      <c r="B120" s="9"/>
      <c r="C120" s="10" t="str">
        <f t="shared" si="22"/>
        <v/>
      </c>
      <c r="D120" s="9"/>
      <c r="E120" s="9" t="str">
        <f t="shared" si="23"/>
        <v>NATCHA NUNTANAJAROENKUL</v>
      </c>
      <c r="F120" s="9"/>
      <c r="G120" s="3"/>
      <c r="H120" s="3"/>
      <c r="I120" s="8"/>
      <c r="J120" s="3"/>
      <c r="K120" s="37" t="s">
        <v>231</v>
      </c>
      <c r="L120" s="3"/>
      <c r="M120" s="8"/>
      <c r="N120" s="3"/>
      <c r="O120" s="8"/>
      <c r="P120" s="3"/>
      <c r="Q120" s="37" t="s">
        <v>231</v>
      </c>
      <c r="R120" s="3"/>
    </row>
    <row r="121" spans="1:18">
      <c r="A121" s="14"/>
      <c r="B121" s="9"/>
      <c r="C121" s="10" t="str">
        <f t="shared" si="22"/>
        <v/>
      </c>
      <c r="D121" s="9"/>
      <c r="E121" s="9" t="str">
        <f t="shared" si="23"/>
        <v>PANUWAT VIVATTANAWONGSIRI</v>
      </c>
      <c r="F121" s="9"/>
      <c r="G121" s="3"/>
      <c r="H121" s="3"/>
      <c r="I121" s="8"/>
      <c r="J121" s="3"/>
      <c r="K121" s="37" t="s">
        <v>232</v>
      </c>
      <c r="L121" s="3"/>
      <c r="M121" s="8"/>
      <c r="N121" s="3"/>
      <c r="O121" s="8"/>
      <c r="P121" s="3"/>
      <c r="Q121" s="37" t="s">
        <v>232</v>
      </c>
      <c r="R121" s="3"/>
    </row>
    <row r="122" spans="1:18">
      <c r="A122" s="14"/>
      <c r="B122" s="9"/>
      <c r="C122" s="10" t="str">
        <f t="shared" si="22"/>
        <v/>
      </c>
      <c r="D122" s="9"/>
      <c r="E122" s="9" t="str">
        <f t="shared" si="23"/>
        <v>KOTCHAWAN PRADITUKRIT</v>
      </c>
      <c r="F122" s="9"/>
      <c r="G122" s="3"/>
      <c r="H122" s="3"/>
      <c r="I122" s="8"/>
      <c r="J122" s="3"/>
      <c r="K122" s="37" t="s">
        <v>233</v>
      </c>
      <c r="L122" s="3"/>
      <c r="M122" s="8"/>
      <c r="N122" s="3"/>
      <c r="O122" s="8"/>
      <c r="P122" s="3"/>
      <c r="Q122" s="37" t="s">
        <v>233</v>
      </c>
      <c r="R122" s="3"/>
    </row>
    <row r="123" spans="1:18">
      <c r="A123" s="14"/>
      <c r="B123" s="9"/>
      <c r="C123" s="10" t="str">
        <f t="shared" si="22"/>
        <v/>
      </c>
      <c r="D123" s="9"/>
      <c r="E123" s="9" t="str">
        <f t="shared" si="23"/>
        <v>SUPAPAK SUKWAN</v>
      </c>
      <c r="F123" s="9"/>
      <c r="G123" s="3"/>
      <c r="H123" s="3"/>
      <c r="I123" s="8"/>
      <c r="J123" s="3"/>
      <c r="K123" s="37" t="s">
        <v>234</v>
      </c>
      <c r="L123" s="3"/>
      <c r="M123" s="8"/>
      <c r="N123" s="3"/>
      <c r="O123" s="8"/>
      <c r="P123" s="3"/>
      <c r="Q123" s="37" t="s">
        <v>234</v>
      </c>
      <c r="R123" s="3"/>
    </row>
    <row r="124" spans="1:18">
      <c r="A124" s="14"/>
      <c r="B124" s="9"/>
      <c r="C124" s="10" t="str">
        <f t="shared" si="22"/>
        <v/>
      </c>
      <c r="D124" s="9"/>
      <c r="E124" s="9" t="str">
        <f t="shared" si="23"/>
        <v>ANURAK WASAENDEE</v>
      </c>
      <c r="F124" s="9"/>
      <c r="G124" s="3"/>
      <c r="H124" s="3"/>
      <c r="I124" s="8"/>
      <c r="J124" s="3"/>
      <c r="K124" s="37" t="s">
        <v>235</v>
      </c>
      <c r="L124" s="3"/>
      <c r="M124" s="8"/>
      <c r="N124" s="3"/>
      <c r="O124" s="8"/>
      <c r="P124" s="3"/>
      <c r="Q124" s="37" t="s">
        <v>235</v>
      </c>
      <c r="R124" s="3"/>
    </row>
    <row r="125" spans="1:18">
      <c r="A125" s="14"/>
      <c r="B125" s="9"/>
      <c r="C125" s="10" t="str">
        <f t="shared" si="22"/>
        <v/>
      </c>
      <c r="D125" s="9"/>
      <c r="E125" s="9" t="str">
        <f t="shared" si="23"/>
        <v>JAKKRIT THANAPHATTHANAKUL</v>
      </c>
      <c r="F125" s="9"/>
      <c r="G125" s="3"/>
      <c r="H125" s="3"/>
      <c r="I125" s="8"/>
      <c r="J125" s="3"/>
      <c r="K125" s="37" t="s">
        <v>236</v>
      </c>
      <c r="L125" s="3"/>
      <c r="M125" s="8"/>
      <c r="N125" s="3"/>
      <c r="O125" s="8"/>
      <c r="P125" s="3"/>
      <c r="Q125" s="37" t="s">
        <v>236</v>
      </c>
      <c r="R125" s="3"/>
    </row>
    <row r="126" spans="1:18">
      <c r="A126" s="14"/>
      <c r="B126" s="9"/>
      <c r="C126" s="10"/>
      <c r="D126" s="9"/>
      <c r="E126" s="9" t="str">
        <f t="shared" si="23"/>
        <v>TANAWAT YORIYA</v>
      </c>
      <c r="F126" s="9"/>
      <c r="G126" s="3"/>
      <c r="H126" s="3"/>
      <c r="I126" s="8"/>
      <c r="J126" s="3"/>
      <c r="K126" s="31" t="s">
        <v>237</v>
      </c>
      <c r="L126" s="3"/>
      <c r="M126" s="8"/>
      <c r="N126" s="3"/>
      <c r="O126" s="8"/>
      <c r="P126" s="3"/>
      <c r="Q126" s="31" t="s">
        <v>237</v>
      </c>
      <c r="R126" s="3"/>
    </row>
    <row r="127" spans="1:18">
      <c r="A127" s="14"/>
      <c r="B127" s="9"/>
      <c r="C127" s="10"/>
      <c r="D127" s="9"/>
      <c r="E127" s="9" t="str">
        <f t="shared" si="23"/>
        <v>WITSANUKORN CHALIAOTHAM</v>
      </c>
      <c r="F127" s="9"/>
      <c r="G127" s="3"/>
      <c r="H127" s="3"/>
      <c r="I127" s="8"/>
      <c r="J127" s="3"/>
      <c r="K127" s="31" t="s">
        <v>238</v>
      </c>
      <c r="L127" s="3"/>
      <c r="M127" s="8"/>
      <c r="N127" s="3"/>
      <c r="O127" s="8"/>
      <c r="P127" s="3"/>
      <c r="Q127" s="31" t="s">
        <v>238</v>
      </c>
      <c r="R127" s="3"/>
    </row>
    <row r="128" spans="1:18">
      <c r="A128" s="14"/>
      <c r="B128" s="9"/>
      <c r="C128" s="10"/>
      <c r="D128" s="9"/>
      <c r="E128" s="9" t="str">
        <f t="shared" si="23"/>
        <v>CHANBHASAKORN MINGSOMPAN</v>
      </c>
      <c r="F128" s="9"/>
      <c r="G128" s="3"/>
      <c r="H128" s="3"/>
      <c r="I128" s="8"/>
      <c r="J128" s="3"/>
      <c r="K128" s="31" t="s">
        <v>239</v>
      </c>
      <c r="L128" s="3"/>
      <c r="M128" s="8"/>
      <c r="N128" s="3"/>
      <c r="O128" s="8"/>
      <c r="P128" s="3"/>
      <c r="Q128" s="31" t="s">
        <v>239</v>
      </c>
      <c r="R128" s="3"/>
    </row>
    <row r="129" spans="1:18">
      <c r="A129" s="14"/>
      <c r="B129" s="9"/>
      <c r="C129" s="10"/>
      <c r="D129" s="9"/>
      <c r="E129" s="9"/>
      <c r="F129" s="9"/>
      <c r="G129" s="3"/>
      <c r="H129" s="3"/>
      <c r="I129" s="8"/>
      <c r="J129" s="3"/>
      <c r="K129" s="31"/>
      <c r="L129" s="3"/>
      <c r="M129" s="8"/>
      <c r="N129" s="8"/>
      <c r="O129" s="8"/>
      <c r="P129" s="3"/>
      <c r="Q129" s="3"/>
      <c r="R129" s="3"/>
    </row>
    <row r="130" spans="1:18">
      <c r="A130" s="14"/>
      <c r="B130" s="11"/>
      <c r="C130" s="12"/>
      <c r="D130" s="11"/>
      <c r="E130" s="11"/>
      <c r="F130" s="11"/>
      <c r="G130" s="3"/>
      <c r="H130" s="3"/>
      <c r="I130" s="8"/>
      <c r="J130" s="3"/>
      <c r="K130" s="31"/>
      <c r="L130" s="3"/>
      <c r="M130" s="8"/>
      <c r="N130" s="8"/>
      <c r="O130" s="8"/>
      <c r="P130" s="3"/>
      <c r="Q130" s="3"/>
      <c r="R130" s="3"/>
    </row>
    <row r="131" spans="1:18">
      <c r="A131" s="14"/>
      <c r="B131" s="9"/>
      <c r="C131" s="10"/>
      <c r="D131" s="9"/>
      <c r="E131" s="9"/>
      <c r="F131" s="9"/>
      <c r="G131" s="3"/>
      <c r="H131" s="3"/>
      <c r="I131" s="8"/>
      <c r="J131" s="3"/>
      <c r="K131" s="31"/>
      <c r="L131" s="3"/>
      <c r="M131" s="8"/>
      <c r="N131" s="8"/>
      <c r="O131" s="8"/>
      <c r="P131" s="3"/>
      <c r="Q131" s="3"/>
      <c r="R131" s="3"/>
    </row>
    <row r="132" spans="1:18">
      <c r="A132" s="14"/>
      <c r="B132" s="150" t="str">
        <f t="shared" ref="B132:B133" si="24">UPPER(H132)</f>
        <v xml:space="preserve">ASSET </v>
      </c>
      <c r="C132" s="141"/>
      <c r="D132" s="141"/>
      <c r="E132" s="141"/>
      <c r="F132" s="141"/>
      <c r="G132" s="28"/>
      <c r="H132" s="167" t="s">
        <v>208</v>
      </c>
      <c r="I132" s="141"/>
      <c r="J132" s="141"/>
      <c r="K132" s="141"/>
      <c r="L132" s="141"/>
      <c r="M132" s="8"/>
      <c r="N132" s="149" t="s">
        <v>818</v>
      </c>
      <c r="O132" s="141"/>
      <c r="P132" s="141"/>
      <c r="Q132" s="141"/>
      <c r="R132" s="141"/>
    </row>
    <row r="133" spans="1:18">
      <c r="A133" s="14"/>
      <c r="B133" s="146" t="str">
        <f t="shared" si="24"/>
        <v>THE MONK STUDIOS</v>
      </c>
      <c r="C133" s="141"/>
      <c r="D133" s="141"/>
      <c r="E133" s="141"/>
      <c r="F133" s="141"/>
      <c r="G133" s="3"/>
      <c r="H133" s="149" t="s">
        <v>202</v>
      </c>
      <c r="I133" s="141"/>
      <c r="J133" s="141"/>
      <c r="K133" s="141"/>
      <c r="L133" s="141"/>
      <c r="M133" s="8"/>
      <c r="N133" s="149" t="s">
        <v>202</v>
      </c>
      <c r="O133" s="141"/>
      <c r="P133" s="141"/>
      <c r="Q133" s="141"/>
      <c r="R133" s="141"/>
    </row>
    <row r="134" spans="1:18">
      <c r="A134" s="14"/>
      <c r="B134" s="38"/>
      <c r="C134" s="38"/>
      <c r="D134" s="38"/>
      <c r="E134" s="38"/>
      <c r="F134" s="38"/>
      <c r="G134" s="3"/>
      <c r="H134" s="5"/>
      <c r="I134" s="5"/>
      <c r="J134" s="5"/>
      <c r="K134" s="5"/>
      <c r="L134" s="5"/>
      <c r="M134" s="3"/>
      <c r="N134" s="5"/>
      <c r="O134" s="5"/>
      <c r="P134" s="5"/>
      <c r="Q134" s="5"/>
      <c r="R134" s="5"/>
    </row>
    <row r="135" spans="1:18">
      <c r="A135" s="14"/>
      <c r="B135" s="9"/>
      <c r="C135" s="10" t="str">
        <f t="shared" ref="C135:C148" si="25">UPPER(I135)</f>
        <v>TEXTURE SUPERVISOR</v>
      </c>
      <c r="D135" s="9"/>
      <c r="E135" s="9" t="str">
        <f t="shared" ref="E135:E150" si="26">UPPER(K135)</f>
        <v>REWAT SIKHEMNGAM</v>
      </c>
      <c r="F135" s="9"/>
      <c r="G135" s="3"/>
      <c r="H135" s="3"/>
      <c r="I135" s="36" t="s">
        <v>240</v>
      </c>
      <c r="J135" s="3"/>
      <c r="K135" s="22" t="s">
        <v>241</v>
      </c>
      <c r="L135" s="3"/>
      <c r="M135" s="8"/>
      <c r="N135" s="3"/>
      <c r="O135" s="36" t="s">
        <v>240</v>
      </c>
      <c r="P135" s="3"/>
      <c r="Q135" s="22" t="s">
        <v>241</v>
      </c>
      <c r="R135" s="3"/>
    </row>
    <row r="136" spans="1:18">
      <c r="A136" s="14"/>
      <c r="B136" s="9"/>
      <c r="C136" s="10" t="str">
        <f t="shared" si="25"/>
        <v/>
      </c>
      <c r="D136" s="9"/>
      <c r="E136" s="9" t="str">
        <f t="shared" si="26"/>
        <v/>
      </c>
      <c r="F136" s="9"/>
      <c r="G136" s="3"/>
      <c r="H136" s="3"/>
      <c r="I136" s="36"/>
      <c r="J136" s="3"/>
      <c r="K136" s="22"/>
      <c r="L136" s="3"/>
      <c r="M136" s="8"/>
      <c r="N136" s="3"/>
      <c r="O136" s="36"/>
      <c r="P136" s="3"/>
      <c r="Q136" s="22"/>
      <c r="R136" s="3"/>
    </row>
    <row r="137" spans="1:18">
      <c r="A137" s="14"/>
      <c r="B137" s="9"/>
      <c r="C137" s="10" t="str">
        <f t="shared" si="25"/>
        <v>TEXTURE LEAD</v>
      </c>
      <c r="D137" s="9"/>
      <c r="E137" s="9" t="str">
        <f t="shared" si="26"/>
        <v>DUANGRUETHAI WONGPHAKHAM</v>
      </c>
      <c r="F137" s="9"/>
      <c r="G137" s="3"/>
      <c r="H137" s="3"/>
      <c r="I137" s="36" t="s">
        <v>242</v>
      </c>
      <c r="J137" s="3"/>
      <c r="K137" s="22" t="s">
        <v>243</v>
      </c>
      <c r="L137" s="3"/>
      <c r="M137" s="8"/>
      <c r="N137" s="3"/>
      <c r="O137" s="36" t="s">
        <v>242</v>
      </c>
      <c r="P137" s="3"/>
      <c r="Q137" s="22" t="s">
        <v>243</v>
      </c>
      <c r="R137" s="3"/>
    </row>
    <row r="138" spans="1:18">
      <c r="A138" s="14"/>
      <c r="B138" s="9"/>
      <c r="C138" s="10" t="str">
        <f t="shared" si="25"/>
        <v/>
      </c>
      <c r="D138" s="9"/>
      <c r="E138" s="9" t="str">
        <f t="shared" si="26"/>
        <v/>
      </c>
      <c r="F138" s="9"/>
      <c r="G138" s="3"/>
      <c r="H138" s="3"/>
      <c r="I138" s="36"/>
      <c r="J138" s="3"/>
      <c r="K138" s="22"/>
      <c r="L138" s="3"/>
      <c r="M138" s="8"/>
      <c r="N138" s="3"/>
      <c r="O138" s="36"/>
      <c r="P138" s="3"/>
      <c r="Q138" s="22"/>
      <c r="R138" s="3"/>
    </row>
    <row r="139" spans="1:18">
      <c r="A139" s="14"/>
      <c r="B139" s="9"/>
      <c r="C139" s="10" t="str">
        <f t="shared" si="25"/>
        <v>TEXTURE ARTIST</v>
      </c>
      <c r="D139" s="9"/>
      <c r="E139" s="9" t="str">
        <f t="shared" si="26"/>
        <v>SURANG PASAMLEE</v>
      </c>
      <c r="F139" s="9"/>
      <c r="G139" s="3"/>
      <c r="H139" s="3"/>
      <c r="I139" s="36" t="s">
        <v>244</v>
      </c>
      <c r="J139" s="3"/>
      <c r="K139" s="22" t="s">
        <v>245</v>
      </c>
      <c r="L139" s="3"/>
      <c r="M139" s="8"/>
      <c r="N139" s="3"/>
      <c r="O139" s="36" t="s">
        <v>244</v>
      </c>
      <c r="P139" s="3"/>
      <c r="Q139" s="22" t="s">
        <v>245</v>
      </c>
      <c r="R139" s="3"/>
    </row>
    <row r="140" spans="1:18">
      <c r="A140" s="14"/>
      <c r="B140" s="9"/>
      <c r="C140" s="10" t="str">
        <f t="shared" si="25"/>
        <v/>
      </c>
      <c r="D140" s="9"/>
      <c r="E140" s="9" t="str">
        <f t="shared" si="26"/>
        <v>RUJIKAN PHENPAIJIT</v>
      </c>
      <c r="F140" s="9"/>
      <c r="G140" s="3"/>
      <c r="H140" s="3"/>
      <c r="I140" s="8"/>
      <c r="J140" s="3"/>
      <c r="K140" s="22" t="s">
        <v>246</v>
      </c>
      <c r="L140" s="3"/>
      <c r="M140" s="8"/>
      <c r="N140" s="3"/>
      <c r="O140" s="8"/>
      <c r="P140" s="3"/>
      <c r="Q140" s="22" t="s">
        <v>246</v>
      </c>
      <c r="R140" s="3"/>
    </row>
    <row r="141" spans="1:18">
      <c r="A141" s="14"/>
      <c r="B141" s="9"/>
      <c r="C141" s="10" t="str">
        <f t="shared" si="25"/>
        <v/>
      </c>
      <c r="D141" s="9"/>
      <c r="E141" s="9" t="str">
        <f t="shared" si="26"/>
        <v>POONNAWAT SANTIYOTHIN</v>
      </c>
      <c r="F141" s="9"/>
      <c r="G141" s="3"/>
      <c r="H141" s="3"/>
      <c r="I141" s="8"/>
      <c r="J141" s="3"/>
      <c r="K141" s="22" t="s">
        <v>247</v>
      </c>
      <c r="L141" s="3"/>
      <c r="M141" s="8"/>
      <c r="N141" s="3"/>
      <c r="O141" s="8"/>
      <c r="P141" s="3"/>
      <c r="Q141" s="22" t="s">
        <v>247</v>
      </c>
      <c r="R141" s="3"/>
    </row>
    <row r="142" spans="1:18">
      <c r="A142" s="14"/>
      <c r="B142" s="9"/>
      <c r="C142" s="10" t="str">
        <f t="shared" si="25"/>
        <v/>
      </c>
      <c r="D142" s="9"/>
      <c r="E142" s="9" t="str">
        <f t="shared" si="26"/>
        <v>NUTCHAYA PUENGPREEDA</v>
      </c>
      <c r="F142" s="9"/>
      <c r="G142" s="3"/>
      <c r="H142" s="3"/>
      <c r="I142" s="8"/>
      <c r="J142" s="3"/>
      <c r="K142" s="22" t="s">
        <v>248</v>
      </c>
      <c r="L142" s="3"/>
      <c r="M142" s="8"/>
      <c r="N142" s="3"/>
      <c r="O142" s="8"/>
      <c r="P142" s="3"/>
      <c r="Q142" s="22" t="s">
        <v>248</v>
      </c>
      <c r="R142" s="3"/>
    </row>
    <row r="143" spans="1:18">
      <c r="A143" s="14"/>
      <c r="B143" s="9"/>
      <c r="C143" s="10" t="str">
        <f t="shared" si="25"/>
        <v/>
      </c>
      <c r="D143" s="9"/>
      <c r="E143" s="9" t="str">
        <f t="shared" si="26"/>
        <v>KANLAYANEE SUWANNABUT</v>
      </c>
      <c r="F143" s="9"/>
      <c r="G143" s="3"/>
      <c r="H143" s="3"/>
      <c r="I143" s="8"/>
      <c r="J143" s="3"/>
      <c r="K143" s="22" t="s">
        <v>249</v>
      </c>
      <c r="L143" s="3"/>
      <c r="M143" s="8"/>
      <c r="N143" s="3"/>
      <c r="O143" s="8"/>
      <c r="P143" s="3"/>
      <c r="Q143" s="22" t="s">
        <v>249</v>
      </c>
      <c r="R143" s="3"/>
    </row>
    <row r="144" spans="1:18">
      <c r="A144" s="14"/>
      <c r="B144" s="9"/>
      <c r="C144" s="10" t="str">
        <f t="shared" si="25"/>
        <v/>
      </c>
      <c r="D144" s="9"/>
      <c r="E144" s="9" t="str">
        <f t="shared" si="26"/>
        <v>THANAWAT SAWATCHITANG</v>
      </c>
      <c r="F144" s="9"/>
      <c r="G144" s="3"/>
      <c r="H144" s="3"/>
      <c r="I144" s="8"/>
      <c r="J144" s="3"/>
      <c r="K144" s="22" t="s">
        <v>250</v>
      </c>
      <c r="L144" s="3"/>
      <c r="M144" s="8"/>
      <c r="N144" s="3"/>
      <c r="O144" s="8"/>
      <c r="P144" s="3"/>
      <c r="Q144" s="22" t="s">
        <v>250</v>
      </c>
      <c r="R144" s="3"/>
    </row>
    <row r="145" spans="1:18">
      <c r="A145" s="14"/>
      <c r="B145" s="9"/>
      <c r="C145" s="10" t="str">
        <f t="shared" si="25"/>
        <v/>
      </c>
      <c r="D145" s="9"/>
      <c r="E145" s="9" t="str">
        <f t="shared" si="26"/>
        <v>NATYADA WANGKAHAT</v>
      </c>
      <c r="F145" s="9"/>
      <c r="G145" s="3"/>
      <c r="H145" s="3"/>
      <c r="I145" s="8"/>
      <c r="J145" s="3"/>
      <c r="K145" s="22" t="s">
        <v>251</v>
      </c>
      <c r="L145" s="3"/>
      <c r="M145" s="8"/>
      <c r="N145" s="3"/>
      <c r="O145" s="8"/>
      <c r="P145" s="3"/>
      <c r="Q145" s="22" t="s">
        <v>251</v>
      </c>
      <c r="R145" s="3"/>
    </row>
    <row r="146" spans="1:18">
      <c r="A146" s="14"/>
      <c r="B146" s="9"/>
      <c r="C146" s="10" t="str">
        <f t="shared" si="25"/>
        <v/>
      </c>
      <c r="D146" s="9"/>
      <c r="E146" s="9" t="str">
        <f t="shared" si="26"/>
        <v>KWANLARB POTJANASUNTORN</v>
      </c>
      <c r="F146" s="9"/>
      <c r="G146" s="3"/>
      <c r="H146" s="3"/>
      <c r="I146" s="8"/>
      <c r="J146" s="3"/>
      <c r="K146" s="22" t="s">
        <v>252</v>
      </c>
      <c r="L146" s="3"/>
      <c r="M146" s="8"/>
      <c r="N146" s="3"/>
      <c r="O146" s="8"/>
      <c r="P146" s="3"/>
      <c r="Q146" s="22" t="s">
        <v>252</v>
      </c>
      <c r="R146" s="3"/>
    </row>
    <row r="147" spans="1:18">
      <c r="A147" s="14"/>
      <c r="B147" s="9"/>
      <c r="C147" s="10" t="str">
        <f t="shared" si="25"/>
        <v/>
      </c>
      <c r="D147" s="9"/>
      <c r="E147" s="9" t="str">
        <f t="shared" si="26"/>
        <v>KLAORAVEE PANPENG</v>
      </c>
      <c r="F147" s="9"/>
      <c r="G147" s="3"/>
      <c r="H147" s="3"/>
      <c r="I147" s="8"/>
      <c r="J147" s="3"/>
      <c r="K147" s="22" t="s">
        <v>253</v>
      </c>
      <c r="L147" s="3"/>
      <c r="M147" s="8"/>
      <c r="N147" s="3"/>
      <c r="O147" s="8"/>
      <c r="P147" s="3"/>
      <c r="Q147" s="22" t="s">
        <v>253</v>
      </c>
      <c r="R147" s="3"/>
    </row>
    <row r="148" spans="1:18">
      <c r="A148" s="14"/>
      <c r="B148" s="9"/>
      <c r="C148" s="10" t="str">
        <f t="shared" si="25"/>
        <v/>
      </c>
      <c r="D148" s="9"/>
      <c r="E148" s="9" t="str">
        <f t="shared" si="26"/>
        <v>NATPAPON TITICHOATRATTNA</v>
      </c>
      <c r="F148" s="9"/>
      <c r="G148" s="3"/>
      <c r="H148" s="3"/>
      <c r="I148" s="8"/>
      <c r="J148" s="3"/>
      <c r="K148" s="22" t="s">
        <v>254</v>
      </c>
      <c r="L148" s="3"/>
      <c r="M148" s="8"/>
      <c r="N148" s="3"/>
      <c r="O148" s="8"/>
      <c r="P148" s="3"/>
      <c r="Q148" s="22" t="s">
        <v>254</v>
      </c>
      <c r="R148" s="3"/>
    </row>
    <row r="149" spans="1:18">
      <c r="A149" s="14"/>
      <c r="B149" s="9"/>
      <c r="C149" s="10"/>
      <c r="D149" s="9"/>
      <c r="E149" s="9" t="str">
        <f t="shared" si="26"/>
        <v>SARUTA SANTIPRAP</v>
      </c>
      <c r="F149" s="9"/>
      <c r="G149" s="3"/>
      <c r="H149" s="3"/>
      <c r="I149" s="8"/>
      <c r="J149" s="3"/>
      <c r="K149" s="22" t="s">
        <v>611</v>
      </c>
      <c r="L149" s="3"/>
      <c r="M149" s="8"/>
      <c r="N149" s="3"/>
      <c r="O149" s="8"/>
      <c r="P149" s="3"/>
      <c r="Q149" s="22" t="s">
        <v>611</v>
      </c>
      <c r="R149" s="3"/>
    </row>
    <row r="150" spans="1:18">
      <c r="A150" s="14"/>
      <c r="B150" s="9"/>
      <c r="C150" s="10"/>
      <c r="D150" s="9"/>
      <c r="E150" s="9" t="str">
        <f t="shared" si="26"/>
        <v>PHATTARANAN CHAROENKIAT</v>
      </c>
      <c r="F150" s="9"/>
      <c r="G150" s="3"/>
      <c r="H150" s="3"/>
      <c r="I150" s="8"/>
      <c r="J150" s="3"/>
      <c r="K150" s="22" t="s">
        <v>612</v>
      </c>
      <c r="L150" s="3"/>
      <c r="M150" s="8"/>
      <c r="N150" s="3"/>
      <c r="O150" s="8"/>
      <c r="P150" s="3"/>
      <c r="Q150" s="22" t="s">
        <v>612</v>
      </c>
      <c r="R150" s="3"/>
    </row>
    <row r="151" spans="1:18">
      <c r="A151" s="14"/>
      <c r="B151" s="9"/>
      <c r="C151" s="10"/>
      <c r="D151" s="9"/>
      <c r="E151" s="9"/>
      <c r="F151" s="9"/>
      <c r="G151" s="3"/>
      <c r="H151" s="3"/>
      <c r="I151" s="8"/>
      <c r="J151" s="3"/>
      <c r="K151" s="22"/>
      <c r="L151" s="3"/>
      <c r="M151" s="8"/>
      <c r="N151" s="8"/>
      <c r="O151" s="8"/>
      <c r="P151" s="3"/>
      <c r="Q151" s="3"/>
      <c r="R151" s="3"/>
    </row>
    <row r="152" spans="1:18">
      <c r="A152" s="14"/>
      <c r="B152" s="11"/>
      <c r="C152" s="12"/>
      <c r="D152" s="11"/>
      <c r="E152" s="11"/>
      <c r="F152" s="11"/>
      <c r="G152" s="3"/>
      <c r="H152" s="3"/>
      <c r="I152" s="8"/>
      <c r="J152" s="3"/>
      <c r="K152" s="22"/>
      <c r="L152" s="3"/>
      <c r="M152" s="8"/>
      <c r="N152" s="8"/>
      <c r="O152" s="8"/>
      <c r="P152" s="3"/>
      <c r="Q152" s="3"/>
      <c r="R152" s="3"/>
    </row>
    <row r="153" spans="1:18">
      <c r="A153" s="14"/>
      <c r="B153" s="9"/>
      <c r="C153" s="10"/>
      <c r="D153" s="9"/>
      <c r="E153" s="9"/>
      <c r="F153" s="9"/>
      <c r="G153" s="3"/>
      <c r="H153" s="3"/>
      <c r="I153" s="8"/>
      <c r="J153" s="3"/>
      <c r="K153" s="22"/>
      <c r="L153" s="3"/>
      <c r="M153" s="8"/>
      <c r="N153" s="8"/>
      <c r="O153" s="8"/>
      <c r="P153" s="3"/>
      <c r="Q153" s="3"/>
      <c r="R153" s="3"/>
    </row>
    <row r="154" spans="1:18">
      <c r="A154" s="14"/>
      <c r="B154" s="150" t="str">
        <f t="shared" ref="B154:B155" si="27">UPPER(H154)</f>
        <v xml:space="preserve">ASSET </v>
      </c>
      <c r="C154" s="141"/>
      <c r="D154" s="141"/>
      <c r="E154" s="141"/>
      <c r="F154" s="141"/>
      <c r="G154" s="28"/>
      <c r="H154" s="167" t="s">
        <v>208</v>
      </c>
      <c r="I154" s="141"/>
      <c r="J154" s="141"/>
      <c r="K154" s="141"/>
      <c r="L154" s="141"/>
      <c r="M154" s="8"/>
      <c r="N154" s="149" t="s">
        <v>818</v>
      </c>
      <c r="O154" s="141"/>
      <c r="P154" s="141"/>
      <c r="Q154" s="141"/>
      <c r="R154" s="141"/>
    </row>
    <row r="155" spans="1:18">
      <c r="A155" s="14"/>
      <c r="B155" s="146" t="str">
        <f t="shared" si="27"/>
        <v>THE MONK STUDIOS</v>
      </c>
      <c r="C155" s="141"/>
      <c r="D155" s="141"/>
      <c r="E155" s="141"/>
      <c r="F155" s="141"/>
      <c r="G155" s="3"/>
      <c r="H155" s="149" t="s">
        <v>202</v>
      </c>
      <c r="I155" s="141"/>
      <c r="J155" s="141"/>
      <c r="K155" s="141"/>
      <c r="L155" s="141"/>
      <c r="M155" s="8"/>
      <c r="N155" s="149" t="s">
        <v>202</v>
      </c>
      <c r="O155" s="141"/>
      <c r="P155" s="141"/>
      <c r="Q155" s="141"/>
      <c r="R155" s="141"/>
    </row>
    <row r="156" spans="1:18">
      <c r="A156" s="14"/>
      <c r="B156" s="9"/>
      <c r="C156" s="10"/>
      <c r="D156" s="9"/>
      <c r="E156" s="9"/>
      <c r="F156" s="9"/>
      <c r="G156" s="3"/>
      <c r="H156" s="3"/>
      <c r="I156" s="36"/>
      <c r="J156" s="3"/>
      <c r="K156" s="22"/>
      <c r="L156" s="3"/>
      <c r="M156" s="8"/>
      <c r="N156" s="3"/>
      <c r="O156" s="36"/>
      <c r="P156" s="3"/>
      <c r="Q156" s="22"/>
      <c r="R156" s="3"/>
    </row>
    <row r="157" spans="1:18">
      <c r="A157" s="14"/>
      <c r="B157" s="9"/>
      <c r="C157" s="10" t="str">
        <f t="shared" ref="C157:C169" si="28">UPPER(I157)</f>
        <v>RIG SUPERVISOR</v>
      </c>
      <c r="D157" s="9"/>
      <c r="E157" s="9" t="str">
        <f t="shared" ref="E157:E170" si="29">UPPER(K157)</f>
        <v>SORAWIT LIMKERTPOL</v>
      </c>
      <c r="F157" s="9"/>
      <c r="G157" s="3"/>
      <c r="H157" s="3"/>
      <c r="I157" s="36" t="s">
        <v>255</v>
      </c>
      <c r="J157" s="3"/>
      <c r="K157" s="31" t="s">
        <v>256</v>
      </c>
      <c r="L157" s="3"/>
      <c r="M157" s="8"/>
      <c r="N157" s="3"/>
      <c r="O157" s="36" t="s">
        <v>255</v>
      </c>
      <c r="P157" s="3"/>
      <c r="Q157" s="31" t="s">
        <v>256</v>
      </c>
      <c r="R157" s="3"/>
    </row>
    <row r="158" spans="1:18">
      <c r="A158" s="14"/>
      <c r="B158" s="9"/>
      <c r="C158" s="10" t="str">
        <f t="shared" si="28"/>
        <v/>
      </c>
      <c r="D158" s="9"/>
      <c r="E158" s="9" t="str">
        <f t="shared" si="29"/>
        <v/>
      </c>
      <c r="F158" s="9"/>
      <c r="G158" s="3"/>
      <c r="H158" s="3"/>
      <c r="I158" s="36"/>
      <c r="J158" s="3"/>
      <c r="K158" s="31"/>
      <c r="L158" s="3"/>
      <c r="M158" s="8"/>
      <c r="N158" s="3"/>
      <c r="O158" s="36"/>
      <c r="P158" s="3"/>
      <c r="Q158" s="31"/>
      <c r="R158" s="3"/>
    </row>
    <row r="159" spans="1:18">
      <c r="A159" s="14"/>
      <c r="B159" s="9"/>
      <c r="C159" s="10" t="str">
        <f t="shared" si="28"/>
        <v>RIG LEAD</v>
      </c>
      <c r="D159" s="9"/>
      <c r="E159" s="9" t="str">
        <f t="shared" si="29"/>
        <v>RATHTY PONGWORAPINIT</v>
      </c>
      <c r="F159" s="9"/>
      <c r="G159" s="3"/>
      <c r="H159" s="3"/>
      <c r="I159" s="36" t="s">
        <v>257</v>
      </c>
      <c r="J159" s="3"/>
      <c r="K159" s="31" t="s">
        <v>258</v>
      </c>
      <c r="L159" s="3"/>
      <c r="M159" s="8"/>
      <c r="N159" s="3"/>
      <c r="O159" s="36" t="s">
        <v>257</v>
      </c>
      <c r="P159" s="3"/>
      <c r="Q159" s="31" t="s">
        <v>258</v>
      </c>
      <c r="R159" s="3"/>
    </row>
    <row r="160" spans="1:18">
      <c r="A160" s="14"/>
      <c r="B160" s="9"/>
      <c r="C160" s="10" t="str">
        <f t="shared" si="28"/>
        <v/>
      </c>
      <c r="D160" s="9"/>
      <c r="E160" s="9" t="str">
        <f t="shared" si="29"/>
        <v>CHONNIKAN SONSAMRIT</v>
      </c>
      <c r="F160" s="9"/>
      <c r="G160" s="3"/>
      <c r="H160" s="3"/>
      <c r="I160" s="36"/>
      <c r="J160" s="3"/>
      <c r="K160" s="31" t="s">
        <v>259</v>
      </c>
      <c r="L160" s="3"/>
      <c r="M160" s="8"/>
      <c r="N160" s="3"/>
      <c r="O160" s="36"/>
      <c r="P160" s="3"/>
      <c r="Q160" s="31" t="s">
        <v>259</v>
      </c>
      <c r="R160" s="3"/>
    </row>
    <row r="161" spans="1:18">
      <c r="A161" s="14"/>
      <c r="B161" s="9"/>
      <c r="C161" s="10" t="str">
        <f t="shared" si="28"/>
        <v/>
      </c>
      <c r="D161" s="9"/>
      <c r="E161" s="9" t="str">
        <f t="shared" si="29"/>
        <v/>
      </c>
      <c r="F161" s="9"/>
      <c r="G161" s="3"/>
      <c r="H161" s="3"/>
      <c r="I161" s="36"/>
      <c r="J161" s="3"/>
      <c r="K161" s="31"/>
      <c r="L161" s="3"/>
      <c r="M161" s="8"/>
      <c r="N161" s="3"/>
      <c r="O161" s="36"/>
      <c r="P161" s="3"/>
      <c r="Q161" s="31"/>
      <c r="R161" s="3"/>
    </row>
    <row r="162" spans="1:18">
      <c r="A162" s="14"/>
      <c r="B162" s="9"/>
      <c r="C162" s="10" t="str">
        <f t="shared" si="28"/>
        <v>RIG ARTIST</v>
      </c>
      <c r="D162" s="9"/>
      <c r="E162" s="9" t="str">
        <f t="shared" si="29"/>
        <v>ALI RAZA</v>
      </c>
      <c r="F162" s="9"/>
      <c r="G162" s="3"/>
      <c r="H162" s="3"/>
      <c r="I162" s="36" t="s">
        <v>260</v>
      </c>
      <c r="J162" s="3"/>
      <c r="K162" s="31" t="s">
        <v>261</v>
      </c>
      <c r="L162" s="3"/>
      <c r="M162" s="8"/>
      <c r="N162" s="3"/>
      <c r="O162" s="36" t="s">
        <v>260</v>
      </c>
      <c r="P162" s="3"/>
      <c r="Q162" s="31" t="s">
        <v>261</v>
      </c>
      <c r="R162" s="3"/>
    </row>
    <row r="163" spans="1:18">
      <c r="A163" s="14"/>
      <c r="B163" s="9"/>
      <c r="C163" s="10" t="str">
        <f t="shared" si="28"/>
        <v/>
      </c>
      <c r="D163" s="9"/>
      <c r="E163" s="9" t="str">
        <f t="shared" si="29"/>
        <v>BHUMINAT CHATURAMETHANONT</v>
      </c>
      <c r="F163" s="9"/>
      <c r="G163" s="3"/>
      <c r="H163" s="3"/>
      <c r="I163" s="8"/>
      <c r="J163" s="3"/>
      <c r="K163" s="31" t="s">
        <v>262</v>
      </c>
      <c r="L163" s="3"/>
      <c r="M163" s="8"/>
      <c r="N163" s="3"/>
      <c r="O163" s="8"/>
      <c r="P163" s="3"/>
      <c r="Q163" s="31" t="s">
        <v>262</v>
      </c>
      <c r="R163" s="3"/>
    </row>
    <row r="164" spans="1:18">
      <c r="A164" s="14"/>
      <c r="B164" s="9"/>
      <c r="C164" s="10" t="str">
        <f t="shared" si="28"/>
        <v/>
      </c>
      <c r="D164" s="9"/>
      <c r="E164" s="9" t="str">
        <f t="shared" si="29"/>
        <v>KRITTAPAD DEJJEENMUANG</v>
      </c>
      <c r="F164" s="9"/>
      <c r="G164" s="3"/>
      <c r="H164" s="3"/>
      <c r="I164" s="8"/>
      <c r="J164" s="3"/>
      <c r="K164" s="31" t="s">
        <v>263</v>
      </c>
      <c r="L164" s="3"/>
      <c r="M164" s="8"/>
      <c r="N164" s="3"/>
      <c r="O164" s="8"/>
      <c r="P164" s="3"/>
      <c r="Q164" s="31" t="s">
        <v>263</v>
      </c>
      <c r="R164" s="3"/>
    </row>
    <row r="165" spans="1:18">
      <c r="A165" s="14"/>
      <c r="B165" s="9"/>
      <c r="C165" s="10" t="str">
        <f t="shared" si="28"/>
        <v/>
      </c>
      <c r="D165" s="9"/>
      <c r="E165" s="9" t="str">
        <f t="shared" si="29"/>
        <v>ANAWIN SARNMOUNG</v>
      </c>
      <c r="F165" s="9"/>
      <c r="G165" s="3"/>
      <c r="H165" s="3"/>
      <c r="I165" s="8"/>
      <c r="J165" s="3"/>
      <c r="K165" s="31" t="s">
        <v>264</v>
      </c>
      <c r="L165" s="3"/>
      <c r="M165" s="8"/>
      <c r="N165" s="3"/>
      <c r="O165" s="8"/>
      <c r="P165" s="3"/>
      <c r="Q165" s="31" t="s">
        <v>264</v>
      </c>
      <c r="R165" s="3"/>
    </row>
    <row r="166" spans="1:18">
      <c r="A166" s="14"/>
      <c r="B166" s="9"/>
      <c r="C166" s="10" t="str">
        <f t="shared" si="28"/>
        <v/>
      </c>
      <c r="D166" s="9"/>
      <c r="E166" s="9" t="str">
        <f t="shared" si="29"/>
        <v>CHANYA KANICHAPONG</v>
      </c>
      <c r="F166" s="9"/>
      <c r="G166" s="3"/>
      <c r="H166" s="3"/>
      <c r="I166" s="8"/>
      <c r="J166" s="3"/>
      <c r="K166" s="31" t="s">
        <v>265</v>
      </c>
      <c r="L166" s="3"/>
      <c r="M166" s="8"/>
      <c r="N166" s="3"/>
      <c r="O166" s="8"/>
      <c r="P166" s="3"/>
      <c r="Q166" s="31" t="s">
        <v>265</v>
      </c>
      <c r="R166" s="3"/>
    </row>
    <row r="167" spans="1:18">
      <c r="A167" s="14"/>
      <c r="B167" s="9"/>
      <c r="C167" s="10" t="str">
        <f t="shared" si="28"/>
        <v/>
      </c>
      <c r="D167" s="9"/>
      <c r="E167" s="9" t="str">
        <f t="shared" si="29"/>
        <v>JIRAYUT JAIKLA</v>
      </c>
      <c r="F167" s="9"/>
      <c r="G167" s="3"/>
      <c r="H167" s="3"/>
      <c r="I167" s="8"/>
      <c r="J167" s="3"/>
      <c r="K167" s="31" t="s">
        <v>266</v>
      </c>
      <c r="L167" s="3"/>
      <c r="M167" s="8"/>
      <c r="N167" s="3"/>
      <c r="O167" s="8"/>
      <c r="P167" s="3"/>
      <c r="Q167" s="31" t="s">
        <v>266</v>
      </c>
      <c r="R167" s="3"/>
    </row>
    <row r="168" spans="1:18">
      <c r="A168" s="14"/>
      <c r="B168" s="9"/>
      <c r="C168" s="10" t="str">
        <f t="shared" si="28"/>
        <v/>
      </c>
      <c r="D168" s="9"/>
      <c r="E168" s="9" t="str">
        <f t="shared" si="29"/>
        <v>NANTAPAK PRUANGKARN</v>
      </c>
      <c r="F168" s="9"/>
      <c r="G168" s="3"/>
      <c r="H168" s="3"/>
      <c r="I168" s="8"/>
      <c r="J168" s="3"/>
      <c r="K168" s="31" t="s">
        <v>267</v>
      </c>
      <c r="L168" s="3"/>
      <c r="M168" s="8"/>
      <c r="N168" s="3"/>
      <c r="O168" s="8"/>
      <c r="P168" s="3"/>
      <c r="Q168" s="31" t="s">
        <v>267</v>
      </c>
      <c r="R168" s="3"/>
    </row>
    <row r="169" spans="1:18">
      <c r="A169" s="14"/>
      <c r="B169" s="9"/>
      <c r="C169" s="10" t="str">
        <f t="shared" si="28"/>
        <v/>
      </c>
      <c r="D169" s="9"/>
      <c r="E169" s="9" t="str">
        <f t="shared" si="29"/>
        <v>PANCHANOK CHOMCHUEN</v>
      </c>
      <c r="F169" s="9"/>
      <c r="G169" s="3"/>
      <c r="H169" s="3"/>
      <c r="I169" s="8"/>
      <c r="J169" s="3"/>
      <c r="K169" s="31" t="s">
        <v>268</v>
      </c>
      <c r="L169" s="3"/>
      <c r="M169" s="8"/>
      <c r="N169" s="3"/>
      <c r="O169" s="8"/>
      <c r="P169" s="3"/>
      <c r="Q169" s="31" t="s">
        <v>268</v>
      </c>
      <c r="R169" s="3"/>
    </row>
    <row r="170" spans="1:18">
      <c r="A170" s="14"/>
      <c r="B170" s="9"/>
      <c r="C170" s="10"/>
      <c r="D170" s="9"/>
      <c r="E170" s="9" t="str">
        <f t="shared" si="29"/>
        <v>TAWEEWAT TAWEEPASAS</v>
      </c>
      <c r="F170" s="9"/>
      <c r="G170" s="3"/>
      <c r="H170" s="3"/>
      <c r="I170" s="8"/>
      <c r="J170" s="3"/>
      <c r="K170" s="31" t="s">
        <v>269</v>
      </c>
      <c r="L170" s="3"/>
      <c r="M170" s="8"/>
      <c r="N170" s="3"/>
      <c r="O170" s="8"/>
      <c r="P170" s="3"/>
      <c r="Q170" s="31" t="s">
        <v>269</v>
      </c>
      <c r="R170" s="3"/>
    </row>
    <row r="171" spans="1:18">
      <c r="A171" s="14"/>
      <c r="B171" s="9"/>
      <c r="C171" s="10"/>
      <c r="D171" s="9"/>
      <c r="E171" s="9"/>
      <c r="F171" s="9"/>
      <c r="G171" s="3"/>
      <c r="H171" s="3"/>
      <c r="I171" s="36"/>
      <c r="J171" s="3"/>
      <c r="K171" s="31"/>
      <c r="L171" s="3"/>
      <c r="M171" s="8"/>
      <c r="N171" s="8"/>
      <c r="O171" s="8"/>
      <c r="P171" s="3"/>
      <c r="Q171" s="3"/>
      <c r="R171" s="3"/>
    </row>
    <row r="172" spans="1:18">
      <c r="A172" s="14"/>
      <c r="B172" s="11"/>
      <c r="C172" s="12"/>
      <c r="D172" s="11"/>
      <c r="E172" s="11"/>
      <c r="F172" s="11"/>
      <c r="G172" s="3"/>
      <c r="H172" s="3"/>
      <c r="I172" s="36"/>
      <c r="J172" s="3"/>
      <c r="K172" s="31"/>
      <c r="L172" s="3"/>
      <c r="M172" s="8"/>
      <c r="N172" s="8"/>
      <c r="O172" s="8"/>
      <c r="P172" s="3"/>
      <c r="Q172" s="3"/>
      <c r="R172" s="3"/>
    </row>
    <row r="173" spans="1:18">
      <c r="A173" s="14"/>
      <c r="B173" s="9"/>
      <c r="C173" s="10"/>
      <c r="D173" s="9"/>
      <c r="E173" s="9"/>
      <c r="F173" s="9"/>
      <c r="G173" s="3"/>
      <c r="H173" s="3"/>
      <c r="I173" s="36"/>
      <c r="J173" s="3"/>
      <c r="K173" s="31"/>
      <c r="L173" s="3"/>
      <c r="M173" s="8"/>
      <c r="N173" s="8"/>
      <c r="O173" s="8"/>
      <c r="P173" s="3"/>
      <c r="Q173" s="3"/>
      <c r="R173" s="3"/>
    </row>
    <row r="174" spans="1:18">
      <c r="A174" s="14"/>
      <c r="B174" s="150" t="str">
        <f t="shared" ref="B174:B175" si="30">UPPER(H174)</f>
        <v xml:space="preserve">ASSET </v>
      </c>
      <c r="C174" s="141"/>
      <c r="D174" s="141"/>
      <c r="E174" s="141"/>
      <c r="F174" s="141"/>
      <c r="G174" s="28"/>
      <c r="H174" s="167" t="s">
        <v>208</v>
      </c>
      <c r="I174" s="141"/>
      <c r="J174" s="141"/>
      <c r="K174" s="141"/>
      <c r="L174" s="141"/>
      <c r="M174" s="8"/>
      <c r="N174" s="149" t="s">
        <v>818</v>
      </c>
      <c r="O174" s="141"/>
      <c r="P174" s="141"/>
      <c r="Q174" s="141"/>
      <c r="R174" s="141"/>
    </row>
    <row r="175" spans="1:18">
      <c r="A175" s="14"/>
      <c r="B175" s="146" t="str">
        <f t="shared" si="30"/>
        <v>THE MONK STUDIOS</v>
      </c>
      <c r="C175" s="141"/>
      <c r="D175" s="141"/>
      <c r="E175" s="141"/>
      <c r="F175" s="141"/>
      <c r="G175" s="3"/>
      <c r="H175" s="149" t="s">
        <v>202</v>
      </c>
      <c r="I175" s="141"/>
      <c r="J175" s="141"/>
      <c r="K175" s="141"/>
      <c r="L175" s="141"/>
      <c r="M175" s="8"/>
      <c r="N175" s="149" t="s">
        <v>202</v>
      </c>
      <c r="O175" s="141"/>
      <c r="P175" s="141"/>
      <c r="Q175" s="141"/>
      <c r="R175" s="141"/>
    </row>
    <row r="176" spans="1:18">
      <c r="A176" s="14"/>
      <c r="B176" s="9"/>
      <c r="C176" s="10"/>
      <c r="D176" s="9"/>
      <c r="E176" s="9"/>
      <c r="F176" s="9"/>
      <c r="G176" s="3"/>
      <c r="H176" s="3"/>
      <c r="I176" s="36"/>
      <c r="J176" s="3"/>
      <c r="K176" s="31"/>
      <c r="L176" s="3"/>
      <c r="M176" s="8"/>
      <c r="N176" s="3"/>
      <c r="O176" s="36"/>
      <c r="P176" s="3"/>
      <c r="Q176" s="31"/>
      <c r="R176" s="3"/>
    </row>
    <row r="177" spans="1:18">
      <c r="A177" s="14"/>
      <c r="B177" s="9"/>
      <c r="C177" s="10" t="str">
        <f>UPPER(I177)</f>
        <v>GROOMING SUPERVISOR</v>
      </c>
      <c r="D177" s="9"/>
      <c r="E177" s="9" t="str">
        <f>UPPER(K177)</f>
        <v>PHURINUT TANGCHAROEN</v>
      </c>
      <c r="F177" s="9"/>
      <c r="G177" s="3"/>
      <c r="H177" s="3"/>
      <c r="I177" s="36" t="s">
        <v>270</v>
      </c>
      <c r="J177" s="3"/>
      <c r="K177" s="31" t="s">
        <v>271</v>
      </c>
      <c r="L177" s="3"/>
      <c r="M177" s="8"/>
      <c r="N177" s="3"/>
      <c r="O177" s="36" t="s">
        <v>270</v>
      </c>
      <c r="P177" s="3"/>
      <c r="Q177" s="31" t="s">
        <v>271</v>
      </c>
      <c r="R177" s="3"/>
    </row>
    <row r="178" spans="1:18">
      <c r="A178" s="14"/>
      <c r="B178" s="9"/>
      <c r="C178" s="10"/>
      <c r="D178" s="9"/>
      <c r="E178" s="9"/>
      <c r="F178" s="9"/>
      <c r="G178" s="3"/>
      <c r="H178" s="3"/>
      <c r="I178" s="36"/>
      <c r="J178" s="3"/>
      <c r="K178" s="31"/>
      <c r="L178" s="3"/>
      <c r="M178" s="8"/>
      <c r="N178" s="3"/>
      <c r="O178" s="36"/>
      <c r="P178" s="3"/>
      <c r="Q178" s="31"/>
      <c r="R178" s="3"/>
    </row>
    <row r="179" spans="1:18">
      <c r="A179" s="14"/>
      <c r="B179" s="9"/>
      <c r="C179" s="10" t="str">
        <f t="shared" ref="C179:C182" si="31">UPPER(I179)</f>
        <v>GROOMING ARTIST</v>
      </c>
      <c r="D179" s="9"/>
      <c r="E179" s="9" t="str">
        <f t="shared" ref="E179:E183" si="32">UPPER(K179)</f>
        <v>BUDSARAPORN WAICHUENCHORM</v>
      </c>
      <c r="F179" s="9"/>
      <c r="G179" s="3"/>
      <c r="H179" s="3"/>
      <c r="I179" s="36" t="s">
        <v>272</v>
      </c>
      <c r="J179" s="3"/>
      <c r="K179" s="31" t="s">
        <v>273</v>
      </c>
      <c r="L179" s="3"/>
      <c r="M179" s="8"/>
      <c r="N179" s="3"/>
      <c r="O179" s="36" t="s">
        <v>272</v>
      </c>
      <c r="P179" s="3"/>
      <c r="Q179" s="31" t="s">
        <v>273</v>
      </c>
      <c r="R179" s="3"/>
    </row>
    <row r="180" spans="1:18">
      <c r="A180" s="14"/>
      <c r="B180" s="9"/>
      <c r="C180" s="10" t="str">
        <f t="shared" si="31"/>
        <v/>
      </c>
      <c r="D180" s="9"/>
      <c r="E180" s="9" t="str">
        <f t="shared" si="32"/>
        <v>PRAEWPAN SAEPUNG</v>
      </c>
      <c r="F180" s="9"/>
      <c r="G180" s="3"/>
      <c r="H180" s="3"/>
      <c r="I180" s="8"/>
      <c r="J180" s="3"/>
      <c r="K180" s="39" t="s">
        <v>274</v>
      </c>
      <c r="L180" s="3"/>
      <c r="M180" s="8"/>
      <c r="N180" s="3"/>
      <c r="O180" s="8"/>
      <c r="P180" s="3"/>
      <c r="Q180" s="39" t="s">
        <v>274</v>
      </c>
      <c r="R180" s="3"/>
    </row>
    <row r="181" spans="1:18">
      <c r="A181" s="14"/>
      <c r="B181" s="9"/>
      <c r="C181" s="10" t="str">
        <f t="shared" si="31"/>
        <v/>
      </c>
      <c r="D181" s="9"/>
      <c r="E181" s="9" t="str">
        <f t="shared" si="32"/>
        <v>VANLIPHA KAEWKHAO</v>
      </c>
      <c r="F181" s="9"/>
      <c r="G181" s="3"/>
      <c r="H181" s="3"/>
      <c r="I181" s="8"/>
      <c r="J181" s="3"/>
      <c r="K181" s="31" t="s">
        <v>275</v>
      </c>
      <c r="L181" s="3"/>
      <c r="M181" s="8"/>
      <c r="N181" s="3"/>
      <c r="O181" s="8"/>
      <c r="P181" s="3"/>
      <c r="Q181" s="31" t="s">
        <v>275</v>
      </c>
      <c r="R181" s="3"/>
    </row>
    <row r="182" spans="1:18">
      <c r="A182" s="14"/>
      <c r="B182" s="9"/>
      <c r="C182" s="10" t="str">
        <f t="shared" si="31"/>
        <v/>
      </c>
      <c r="D182" s="9"/>
      <c r="E182" s="9" t="str">
        <f t="shared" si="32"/>
        <v>PATIPARN KAWINCHAN</v>
      </c>
      <c r="F182" s="9"/>
      <c r="G182" s="3"/>
      <c r="H182" s="3"/>
      <c r="I182" s="8"/>
      <c r="J182" s="3"/>
      <c r="K182" s="31" t="s">
        <v>276</v>
      </c>
      <c r="L182" s="3"/>
      <c r="M182" s="8"/>
      <c r="N182" s="3"/>
      <c r="O182" s="8"/>
      <c r="P182" s="3"/>
      <c r="Q182" s="31" t="s">
        <v>276</v>
      </c>
      <c r="R182" s="3"/>
    </row>
    <row r="183" spans="1:18">
      <c r="A183" s="14"/>
      <c r="B183" s="9"/>
      <c r="C183" s="10"/>
      <c r="D183" s="9"/>
      <c r="E183" s="9" t="str">
        <f t="shared" si="32"/>
        <v>YOTIN TONGBANTURNG</v>
      </c>
      <c r="F183" s="9"/>
      <c r="G183" s="3"/>
      <c r="H183" s="3"/>
      <c r="I183" s="8"/>
      <c r="J183" s="3"/>
      <c r="K183" s="31" t="s">
        <v>277</v>
      </c>
      <c r="L183" s="3"/>
      <c r="M183" s="8"/>
      <c r="N183" s="3"/>
      <c r="O183" s="8"/>
      <c r="P183" s="3"/>
      <c r="Q183" s="31" t="s">
        <v>277</v>
      </c>
      <c r="R183" s="3"/>
    </row>
    <row r="184" spans="1:18">
      <c r="A184" s="14"/>
      <c r="B184" s="9"/>
      <c r="C184" s="10"/>
      <c r="D184" s="9"/>
      <c r="E184" s="9"/>
      <c r="F184" s="9"/>
      <c r="G184" s="3"/>
      <c r="H184" s="3"/>
      <c r="I184" s="8"/>
      <c r="J184" s="3"/>
      <c r="K184" s="31"/>
      <c r="L184" s="3"/>
      <c r="M184" s="8"/>
      <c r="N184" s="8"/>
      <c r="O184" s="8"/>
      <c r="P184" s="3"/>
      <c r="Q184" s="3"/>
      <c r="R184" s="3"/>
    </row>
    <row r="185" spans="1:18">
      <c r="A185" s="14"/>
      <c r="B185" s="11"/>
      <c r="C185" s="12"/>
      <c r="D185" s="11"/>
      <c r="E185" s="11"/>
      <c r="F185" s="11"/>
      <c r="G185" s="3"/>
      <c r="H185" s="3"/>
      <c r="I185" s="8"/>
      <c r="J185" s="3"/>
      <c r="K185" s="31"/>
      <c r="L185" s="3"/>
      <c r="M185" s="8"/>
      <c r="N185" s="8"/>
      <c r="O185" s="8"/>
      <c r="P185" s="3"/>
      <c r="Q185" s="3"/>
      <c r="R185" s="3"/>
    </row>
    <row r="186" spans="1:18">
      <c r="A186" s="14"/>
      <c r="B186" s="9"/>
      <c r="C186" s="10"/>
      <c r="D186" s="9"/>
      <c r="E186" s="9"/>
      <c r="F186" s="9"/>
      <c r="G186" s="3"/>
      <c r="H186" s="3"/>
      <c r="I186" s="8"/>
      <c r="J186" s="3"/>
      <c r="K186" s="31"/>
      <c r="L186" s="3"/>
      <c r="M186" s="8"/>
      <c r="N186" s="8"/>
      <c r="O186" s="8"/>
      <c r="P186" s="3"/>
      <c r="Q186" s="3"/>
      <c r="R186" s="3"/>
    </row>
    <row r="187" spans="1:18">
      <c r="A187" s="14"/>
      <c r="B187" s="150" t="str">
        <f>UPPER(H187)</f>
        <v>LAYOUT</v>
      </c>
      <c r="C187" s="141"/>
      <c r="D187" s="141"/>
      <c r="E187" s="141"/>
      <c r="F187" s="141"/>
      <c r="G187" s="28"/>
      <c r="H187" s="167" t="s">
        <v>278</v>
      </c>
      <c r="I187" s="141"/>
      <c r="J187" s="141"/>
      <c r="K187" s="141"/>
      <c r="L187" s="141"/>
      <c r="M187" s="29"/>
      <c r="N187" s="149" t="s">
        <v>829</v>
      </c>
      <c r="O187" s="141"/>
      <c r="P187" s="141"/>
      <c r="Q187" s="141"/>
      <c r="R187" s="141"/>
    </row>
    <row r="188" spans="1:18">
      <c r="A188" s="14"/>
      <c r="B188" s="9"/>
      <c r="C188" s="10" t="str">
        <f>UPPER(I188)</f>
        <v>LAYOUT DIRECTOR</v>
      </c>
      <c r="D188" s="9"/>
      <c r="E188" s="9" t="str">
        <f>UPPER(K188)</f>
        <v>KYUNGMIN KIM</v>
      </c>
      <c r="F188" s="9"/>
      <c r="G188" s="3"/>
      <c r="H188" s="3"/>
      <c r="I188" s="8" t="s">
        <v>279</v>
      </c>
      <c r="J188" s="3"/>
      <c r="K188" s="3" t="s">
        <v>280</v>
      </c>
      <c r="L188" s="3"/>
      <c r="M188" s="8"/>
      <c r="N188" s="8"/>
      <c r="O188" s="21" t="s">
        <v>830</v>
      </c>
      <c r="P188" s="3"/>
      <c r="Q188" s="3" t="s">
        <v>831</v>
      </c>
      <c r="R188" s="3"/>
    </row>
    <row r="189" spans="1:18">
      <c r="A189" s="14"/>
      <c r="B189" s="9"/>
      <c r="C189" s="10"/>
      <c r="D189" s="9"/>
      <c r="E189" s="9"/>
      <c r="F189" s="9"/>
      <c r="G189" s="3"/>
      <c r="H189" s="3"/>
      <c r="I189" s="8"/>
      <c r="J189" s="3"/>
      <c r="K189" s="31"/>
      <c r="L189" s="3"/>
      <c r="M189" s="8"/>
      <c r="N189" s="8"/>
      <c r="O189" s="8"/>
      <c r="P189" s="3"/>
      <c r="Q189" s="3"/>
      <c r="R189" s="3"/>
    </row>
    <row r="190" spans="1:18">
      <c r="A190" s="14"/>
      <c r="B190" s="9"/>
      <c r="C190" s="10"/>
      <c r="D190" s="9"/>
      <c r="E190" s="9"/>
      <c r="F190" s="9"/>
      <c r="G190" s="3"/>
      <c r="H190" s="3"/>
      <c r="I190" s="8"/>
      <c r="J190" s="3"/>
      <c r="K190" s="31"/>
      <c r="L190" s="3"/>
      <c r="M190" s="8"/>
      <c r="N190" s="8"/>
      <c r="O190" s="8"/>
      <c r="P190" s="3"/>
      <c r="Q190" s="3"/>
      <c r="R190" s="3"/>
    </row>
    <row r="191" spans="1:18">
      <c r="A191" s="14"/>
      <c r="B191" s="146" t="str">
        <f>UPPER(H191)</f>
        <v>THE MONK STUDIOS</v>
      </c>
      <c r="C191" s="141"/>
      <c r="D191" s="141"/>
      <c r="E191" s="141"/>
      <c r="F191" s="141"/>
      <c r="G191" s="3"/>
      <c r="H191" s="149" t="s">
        <v>202</v>
      </c>
      <c r="I191" s="141"/>
      <c r="J191" s="141"/>
      <c r="K191" s="141"/>
      <c r="L191" s="141"/>
      <c r="M191" s="8"/>
      <c r="N191" s="149" t="s">
        <v>202</v>
      </c>
      <c r="O191" s="141"/>
      <c r="P191" s="141"/>
      <c r="Q191" s="141"/>
      <c r="R191" s="141"/>
    </row>
    <row r="192" spans="1:18">
      <c r="A192" s="14"/>
      <c r="B192" s="9"/>
      <c r="C192" s="10" t="str">
        <f>UPPER(I192)</f>
        <v>LAYOUT SUPERVISOR</v>
      </c>
      <c r="D192" s="9"/>
      <c r="E192" s="9" t="str">
        <f>UPPER(K192)</f>
        <v>NITAT	WIMANJUNT</v>
      </c>
      <c r="F192" s="9"/>
      <c r="G192" s="3"/>
      <c r="H192" s="3"/>
      <c r="I192" s="36" t="s">
        <v>281</v>
      </c>
      <c r="J192" s="3"/>
      <c r="K192" s="31" t="s">
        <v>282</v>
      </c>
      <c r="L192" s="3"/>
      <c r="M192" s="8"/>
      <c r="N192" s="3"/>
      <c r="O192" s="36" t="s">
        <v>281</v>
      </c>
      <c r="P192" s="3"/>
      <c r="Q192" s="31" t="s">
        <v>282</v>
      </c>
      <c r="R192" s="3"/>
    </row>
    <row r="193" spans="1:18">
      <c r="A193" s="14"/>
      <c r="B193" s="9"/>
      <c r="C193" s="10"/>
      <c r="D193" s="9"/>
      <c r="E193" s="9"/>
      <c r="F193" s="9"/>
      <c r="G193" s="3"/>
      <c r="H193" s="3"/>
      <c r="I193" s="36"/>
      <c r="J193" s="3"/>
      <c r="K193" s="31"/>
      <c r="L193" s="3"/>
      <c r="M193" s="8"/>
      <c r="N193" s="3"/>
      <c r="O193" s="36"/>
      <c r="P193" s="3"/>
      <c r="Q193" s="31"/>
      <c r="R193" s="3"/>
    </row>
    <row r="194" spans="1:18">
      <c r="A194" s="14"/>
      <c r="B194" s="9"/>
      <c r="C194" s="10" t="str">
        <f t="shared" ref="C194:C199" si="33">UPPER(I194)</f>
        <v>LAYOUT ARTIST</v>
      </c>
      <c r="D194" s="9"/>
      <c r="E194" s="9" t="str">
        <f t="shared" ref="E194:E199" si="34">UPPER(K194)</f>
        <v>PIYAPHON	SRIPHONGNGAM</v>
      </c>
      <c r="F194" s="9"/>
      <c r="G194" s="3"/>
      <c r="H194" s="3"/>
      <c r="I194" s="36" t="s">
        <v>283</v>
      </c>
      <c r="J194" s="3"/>
      <c r="K194" s="31" t="s">
        <v>284</v>
      </c>
      <c r="L194" s="3"/>
      <c r="M194" s="8"/>
      <c r="N194" s="3"/>
      <c r="O194" s="36" t="s">
        <v>283</v>
      </c>
      <c r="P194" s="3"/>
      <c r="Q194" s="31" t="s">
        <v>284</v>
      </c>
      <c r="R194" s="3"/>
    </row>
    <row r="195" spans="1:18">
      <c r="A195" s="14"/>
      <c r="B195" s="9"/>
      <c r="C195" s="10" t="str">
        <f t="shared" si="33"/>
        <v/>
      </c>
      <c r="D195" s="9"/>
      <c r="E195" s="9" t="str">
        <f t="shared" si="34"/>
        <v>PANYA	NATEKOBKUA</v>
      </c>
      <c r="F195" s="9"/>
      <c r="G195" s="3"/>
      <c r="H195" s="3"/>
      <c r="I195" s="8"/>
      <c r="J195" s="3"/>
      <c r="K195" s="31" t="s">
        <v>285</v>
      </c>
      <c r="L195" s="3"/>
      <c r="M195" s="8"/>
      <c r="N195" s="3"/>
      <c r="O195" s="8"/>
      <c r="P195" s="3"/>
      <c r="Q195" s="31" t="s">
        <v>285</v>
      </c>
      <c r="R195" s="3"/>
    </row>
    <row r="196" spans="1:18">
      <c r="A196" s="14"/>
      <c r="B196" s="9"/>
      <c r="C196" s="10" t="str">
        <f t="shared" si="33"/>
        <v/>
      </c>
      <c r="D196" s="9"/>
      <c r="E196" s="9" t="str">
        <f t="shared" si="34"/>
        <v>CHONLATHORN	PHUSRI</v>
      </c>
      <c r="F196" s="9"/>
      <c r="G196" s="3"/>
      <c r="H196" s="3"/>
      <c r="I196" s="8"/>
      <c r="J196" s="3"/>
      <c r="K196" s="31" t="s">
        <v>286</v>
      </c>
      <c r="L196" s="3"/>
      <c r="M196" s="8"/>
      <c r="N196" s="3"/>
      <c r="O196" s="8"/>
      <c r="P196" s="3"/>
      <c r="Q196" s="31" t="s">
        <v>286</v>
      </c>
      <c r="R196" s="3"/>
    </row>
    <row r="197" spans="1:18">
      <c r="A197" s="14"/>
      <c r="B197" s="9"/>
      <c r="C197" s="10" t="str">
        <f t="shared" si="33"/>
        <v/>
      </c>
      <c r="D197" s="9"/>
      <c r="E197" s="9" t="str">
        <f t="shared" si="34"/>
        <v>NOPPARAT	WANGSIN</v>
      </c>
      <c r="F197" s="9"/>
      <c r="G197" s="3"/>
      <c r="H197" s="3"/>
      <c r="I197" s="8"/>
      <c r="J197" s="3"/>
      <c r="K197" s="31" t="s">
        <v>287</v>
      </c>
      <c r="L197" s="3"/>
      <c r="M197" s="8"/>
      <c r="N197" s="3"/>
      <c r="O197" s="8"/>
      <c r="P197" s="3"/>
      <c r="Q197" s="31" t="s">
        <v>287</v>
      </c>
      <c r="R197" s="3"/>
    </row>
    <row r="198" spans="1:18">
      <c r="A198" s="14"/>
      <c r="B198" s="9"/>
      <c r="C198" s="10" t="str">
        <f t="shared" si="33"/>
        <v/>
      </c>
      <c r="D198" s="9"/>
      <c r="E198" s="9" t="str">
        <f t="shared" si="34"/>
        <v>KANYANEE	DUANGNAPA</v>
      </c>
      <c r="F198" s="9"/>
      <c r="G198" s="3"/>
      <c r="H198" s="3"/>
      <c r="I198" s="8"/>
      <c r="J198" s="3"/>
      <c r="K198" s="31" t="s">
        <v>288</v>
      </c>
      <c r="L198" s="3"/>
      <c r="M198" s="8"/>
      <c r="N198" s="3"/>
      <c r="O198" s="8"/>
      <c r="P198" s="3"/>
      <c r="Q198" s="31" t="s">
        <v>288</v>
      </c>
      <c r="R198" s="3"/>
    </row>
    <row r="199" spans="1:18">
      <c r="A199" s="14"/>
      <c r="B199" s="9"/>
      <c r="C199" s="10" t="str">
        <f t="shared" si="33"/>
        <v/>
      </c>
      <c r="D199" s="9"/>
      <c r="E199" s="9" t="str">
        <f t="shared" si="34"/>
        <v>PHIRAPHON	PAKAPHONGPHAN</v>
      </c>
      <c r="F199" s="9"/>
      <c r="G199" s="3"/>
      <c r="H199" s="3"/>
      <c r="I199" s="8"/>
      <c r="J199" s="3"/>
      <c r="K199" s="31" t="s">
        <v>289</v>
      </c>
      <c r="L199" s="3"/>
      <c r="M199" s="8"/>
      <c r="N199" s="3"/>
      <c r="O199" s="8"/>
      <c r="P199" s="3"/>
      <c r="Q199" s="31" t="s">
        <v>289</v>
      </c>
      <c r="R199" s="3"/>
    </row>
    <row r="200" spans="1:18">
      <c r="A200" s="14"/>
      <c r="B200" s="9"/>
      <c r="C200" s="10"/>
      <c r="D200" s="9"/>
      <c r="E200" s="9"/>
      <c r="F200" s="9"/>
      <c r="G200" s="3"/>
      <c r="H200" s="3"/>
      <c r="I200" s="8"/>
      <c r="J200" s="3"/>
      <c r="K200" s="31"/>
      <c r="L200" s="3"/>
      <c r="M200" s="8"/>
      <c r="N200" s="8"/>
      <c r="O200" s="8"/>
      <c r="P200" s="3"/>
      <c r="Q200" s="3"/>
      <c r="R200" s="3"/>
    </row>
    <row r="201" spans="1:18">
      <c r="A201" s="14"/>
      <c r="B201" s="11"/>
      <c r="C201" s="12" t="str">
        <f>UPPER(I201)</f>
        <v/>
      </c>
      <c r="D201" s="11"/>
      <c r="E201" s="11" t="str">
        <f>UPPER(K201)</f>
        <v/>
      </c>
      <c r="F201" s="11"/>
      <c r="G201" s="3"/>
      <c r="H201" s="3"/>
      <c r="I201" s="8"/>
      <c r="J201" s="3"/>
      <c r="K201" s="13"/>
      <c r="L201" s="3"/>
      <c r="M201" s="8"/>
      <c r="N201" s="8"/>
      <c r="O201" s="8"/>
      <c r="P201" s="3"/>
      <c r="Q201" s="3"/>
      <c r="R201" s="3"/>
    </row>
    <row r="202" spans="1:18">
      <c r="A202" s="14"/>
      <c r="B202" s="6"/>
      <c r="C202" s="6"/>
      <c r="D202" s="6"/>
      <c r="E202" s="6"/>
      <c r="F202" s="6"/>
      <c r="G202" s="3"/>
      <c r="H202" s="7"/>
      <c r="I202" s="8"/>
      <c r="J202" s="7"/>
      <c r="K202" s="13"/>
      <c r="L202" s="7"/>
      <c r="M202" s="8"/>
      <c r="N202" s="8"/>
      <c r="O202" s="8"/>
      <c r="P202" s="3"/>
      <c r="Q202" s="3"/>
      <c r="R202" s="3"/>
    </row>
    <row r="203" spans="1:18">
      <c r="A203" s="14"/>
      <c r="B203" s="150" t="str">
        <f>UPPER(H203)</f>
        <v>ANIMATION</v>
      </c>
      <c r="C203" s="141"/>
      <c r="D203" s="141"/>
      <c r="E203" s="141"/>
      <c r="F203" s="141"/>
      <c r="G203" s="28"/>
      <c r="H203" s="167" t="s">
        <v>290</v>
      </c>
      <c r="I203" s="141"/>
      <c r="J203" s="141"/>
      <c r="K203" s="141"/>
      <c r="L203" s="141"/>
      <c r="M203" s="8"/>
      <c r="N203" s="149" t="s">
        <v>832</v>
      </c>
      <c r="O203" s="141"/>
      <c r="P203" s="141"/>
      <c r="Q203" s="141"/>
      <c r="R203" s="141"/>
    </row>
    <row r="204" spans="1:18">
      <c r="A204" s="14"/>
      <c r="B204" s="9"/>
      <c r="C204" s="10" t="str">
        <f>UPPER(I204)</f>
        <v>ANIMATION DIRECTOR</v>
      </c>
      <c r="D204" s="9"/>
      <c r="E204" s="9" t="str">
        <f>UPPER(K204)</f>
        <v>MINCHEOL CHOI</v>
      </c>
      <c r="F204" s="9"/>
      <c r="G204" s="3"/>
      <c r="H204" s="3"/>
      <c r="I204" s="8" t="s">
        <v>291</v>
      </c>
      <c r="J204" s="3"/>
      <c r="K204" s="3" t="s">
        <v>613</v>
      </c>
      <c r="L204" s="3"/>
      <c r="M204" s="8"/>
      <c r="N204" s="3"/>
      <c r="O204" s="8" t="s">
        <v>833</v>
      </c>
      <c r="P204" s="3"/>
      <c r="Q204" s="3" t="s">
        <v>954</v>
      </c>
      <c r="R204" s="3"/>
    </row>
    <row r="205" spans="1:18">
      <c r="A205" s="14"/>
      <c r="B205" s="9"/>
      <c r="C205" s="10"/>
      <c r="D205" s="9"/>
      <c r="E205" s="9"/>
      <c r="F205" s="9"/>
      <c r="G205" s="3"/>
      <c r="H205" s="3"/>
      <c r="I205" s="8"/>
      <c r="J205" s="3"/>
      <c r="K205" s="3"/>
      <c r="L205" s="3"/>
      <c r="M205" s="8"/>
      <c r="N205" s="8"/>
      <c r="O205" s="8"/>
      <c r="P205" s="3"/>
      <c r="Q205" s="3"/>
      <c r="R205" s="3"/>
    </row>
    <row r="206" spans="1:18">
      <c r="A206" s="14"/>
      <c r="B206" s="9"/>
      <c r="C206" s="10" t="str">
        <f>UPPER(I206)</f>
        <v>ANIMATION SUPERVISOR</v>
      </c>
      <c r="D206" s="9"/>
      <c r="E206" s="9" t="str">
        <f t="shared" ref="E206:E215" si="35">UPPER(K206)</f>
        <v>EUGENE KIM</v>
      </c>
      <c r="F206" s="9"/>
      <c r="G206" s="3"/>
      <c r="H206" s="3"/>
      <c r="I206" s="8" t="s">
        <v>293</v>
      </c>
      <c r="J206" s="3"/>
      <c r="K206" s="13" t="s">
        <v>294</v>
      </c>
      <c r="L206" s="3"/>
      <c r="M206" s="8"/>
      <c r="N206" s="8"/>
      <c r="O206" s="8" t="s">
        <v>835</v>
      </c>
      <c r="P206" s="3"/>
      <c r="Q206" s="3" t="s">
        <v>836</v>
      </c>
      <c r="R206" s="3"/>
    </row>
    <row r="207" spans="1:18">
      <c r="A207" s="14"/>
      <c r="B207" s="9"/>
      <c r="C207" s="10"/>
      <c r="D207" s="9"/>
      <c r="E207" s="9" t="str">
        <f t="shared" si="35"/>
        <v>BORAM NOH</v>
      </c>
      <c r="F207" s="9"/>
      <c r="G207" s="3"/>
      <c r="H207" s="3"/>
      <c r="I207" s="8"/>
      <c r="J207" s="3"/>
      <c r="K207" s="13" t="s">
        <v>295</v>
      </c>
      <c r="L207" s="3"/>
      <c r="M207" s="8"/>
      <c r="N207" s="8"/>
      <c r="O207" s="8"/>
      <c r="P207" s="3"/>
      <c r="Q207" s="3" t="s">
        <v>837</v>
      </c>
      <c r="R207" s="3"/>
    </row>
    <row r="208" spans="1:18">
      <c r="A208" s="14"/>
      <c r="B208" s="9"/>
      <c r="C208" s="10" t="str">
        <f t="shared" ref="C208:C215" si="36">UPPER(I208)</f>
        <v/>
      </c>
      <c r="D208" s="9"/>
      <c r="E208" s="9" t="str">
        <f t="shared" si="35"/>
        <v/>
      </c>
      <c r="F208" s="9"/>
      <c r="G208" s="3"/>
      <c r="H208" s="3"/>
      <c r="I208" s="8"/>
      <c r="J208" s="3"/>
      <c r="K208" s="3"/>
      <c r="L208" s="3"/>
      <c r="M208" s="8"/>
      <c r="N208" s="8"/>
      <c r="O208" s="8"/>
      <c r="P208" s="3"/>
      <c r="Q208" s="3"/>
      <c r="R208" s="3"/>
    </row>
    <row r="209" spans="1:18">
      <c r="A209" s="14"/>
      <c r="B209" s="9"/>
      <c r="C209" s="10" t="str">
        <f t="shared" si="36"/>
        <v>ANIMATOR</v>
      </c>
      <c r="D209" s="9"/>
      <c r="E209" s="9" t="str">
        <f t="shared" si="35"/>
        <v>KYOUNGSIK BAE</v>
      </c>
      <c r="F209" s="9"/>
      <c r="G209" s="3"/>
      <c r="H209" s="3"/>
      <c r="I209" s="8" t="s">
        <v>296</v>
      </c>
      <c r="J209" s="3"/>
      <c r="K209" s="13" t="s">
        <v>297</v>
      </c>
      <c r="L209" s="3"/>
      <c r="M209" s="8"/>
      <c r="N209" s="8"/>
      <c r="O209" s="8" t="s">
        <v>838</v>
      </c>
      <c r="P209" s="3"/>
      <c r="Q209" s="3" t="s">
        <v>839</v>
      </c>
      <c r="R209" s="3"/>
    </row>
    <row r="210" spans="1:18">
      <c r="A210" s="14"/>
      <c r="B210" s="9"/>
      <c r="C210" s="10" t="str">
        <f t="shared" si="36"/>
        <v/>
      </c>
      <c r="D210" s="9"/>
      <c r="E210" s="9" t="str">
        <f t="shared" si="35"/>
        <v>HYEONSOOK KO</v>
      </c>
      <c r="F210" s="9"/>
      <c r="G210" s="3"/>
      <c r="H210" s="3"/>
      <c r="I210" s="8"/>
      <c r="J210" s="3"/>
      <c r="K210" s="2" t="s">
        <v>298</v>
      </c>
      <c r="L210" s="3"/>
      <c r="M210" s="8"/>
      <c r="N210" s="8"/>
      <c r="O210" s="8"/>
      <c r="P210" s="3"/>
      <c r="Q210" s="3" t="s">
        <v>840</v>
      </c>
      <c r="R210" s="3"/>
    </row>
    <row r="211" spans="1:18">
      <c r="A211" s="14"/>
      <c r="B211" s="9"/>
      <c r="C211" s="10" t="str">
        <f t="shared" si="36"/>
        <v/>
      </c>
      <c r="D211" s="9"/>
      <c r="E211" s="9" t="str">
        <f t="shared" si="35"/>
        <v>JIHYE KIM</v>
      </c>
      <c r="F211" s="9"/>
      <c r="G211" s="3"/>
      <c r="H211" s="3"/>
      <c r="I211" s="8"/>
      <c r="J211" s="3"/>
      <c r="K211" s="2" t="s">
        <v>299</v>
      </c>
      <c r="L211" s="3"/>
      <c r="M211" s="8"/>
      <c r="N211" s="8"/>
      <c r="O211" s="3"/>
      <c r="P211" s="3"/>
      <c r="Q211" s="3" t="s">
        <v>841</v>
      </c>
      <c r="R211" s="3"/>
    </row>
    <row r="212" spans="1:18">
      <c r="A212" s="14"/>
      <c r="B212" s="9"/>
      <c r="C212" s="10" t="str">
        <f t="shared" si="36"/>
        <v/>
      </c>
      <c r="D212" s="9"/>
      <c r="E212" s="9" t="str">
        <f t="shared" si="35"/>
        <v>DOYOUNG KIM</v>
      </c>
      <c r="F212" s="9"/>
      <c r="G212" s="3"/>
      <c r="H212" s="3"/>
      <c r="I212" s="8"/>
      <c r="J212" s="3"/>
      <c r="K212" s="2" t="s">
        <v>300</v>
      </c>
      <c r="L212" s="3"/>
      <c r="M212" s="8"/>
      <c r="N212" s="8"/>
      <c r="O212" s="3"/>
      <c r="P212" s="3"/>
      <c r="Q212" s="3" t="s">
        <v>842</v>
      </c>
      <c r="R212" s="3"/>
    </row>
    <row r="213" spans="1:18">
      <c r="A213" s="14"/>
      <c r="B213" s="9"/>
      <c r="C213" s="10" t="str">
        <f t="shared" si="36"/>
        <v/>
      </c>
      <c r="D213" s="9"/>
      <c r="E213" s="9" t="str">
        <f t="shared" si="35"/>
        <v>YUNHEE KIM</v>
      </c>
      <c r="F213" s="9"/>
      <c r="G213" s="3"/>
      <c r="H213" s="3"/>
      <c r="I213" s="8"/>
      <c r="J213" s="3"/>
      <c r="K213" s="2" t="s">
        <v>301</v>
      </c>
      <c r="L213" s="3"/>
      <c r="M213" s="8"/>
      <c r="N213" s="8"/>
      <c r="O213" s="21"/>
      <c r="P213" s="3"/>
      <c r="Q213" s="3" t="s">
        <v>843</v>
      </c>
      <c r="R213" s="3"/>
    </row>
    <row r="214" spans="1:18">
      <c r="A214" s="14"/>
      <c r="B214" s="9"/>
      <c r="C214" s="10" t="str">
        <f t="shared" si="36"/>
        <v/>
      </c>
      <c r="D214" s="9"/>
      <c r="E214" s="9" t="str">
        <f t="shared" si="35"/>
        <v>SUNGJUN HONG</v>
      </c>
      <c r="F214" s="9"/>
      <c r="G214" s="3"/>
      <c r="H214" s="3"/>
      <c r="I214" s="8"/>
      <c r="J214" s="3"/>
      <c r="K214" s="2" t="s">
        <v>652</v>
      </c>
      <c r="L214" s="3"/>
      <c r="M214" s="8"/>
      <c r="N214" s="8"/>
      <c r="O214" s="21"/>
      <c r="P214" s="3"/>
      <c r="Q214" s="3" t="s">
        <v>959</v>
      </c>
      <c r="R214" s="3"/>
    </row>
    <row r="215" spans="1:18">
      <c r="A215" s="14"/>
      <c r="B215" s="9"/>
      <c r="C215" s="10" t="str">
        <f t="shared" si="36"/>
        <v/>
      </c>
      <c r="D215" s="9"/>
      <c r="E215" s="9" t="str">
        <f t="shared" si="35"/>
        <v>JINHO PARK</v>
      </c>
      <c r="F215" s="9"/>
      <c r="G215" s="3"/>
      <c r="H215" s="3"/>
      <c r="I215" s="8"/>
      <c r="J215" s="3"/>
      <c r="K215" s="2" t="s">
        <v>302</v>
      </c>
      <c r="L215" s="3"/>
      <c r="M215" s="8"/>
      <c r="N215" s="8"/>
      <c r="O215" s="8"/>
      <c r="P215" s="3"/>
      <c r="Q215" s="3" t="s">
        <v>844</v>
      </c>
      <c r="R215" s="3"/>
    </row>
    <row r="216" spans="1:18">
      <c r="A216" s="14"/>
      <c r="B216" s="9"/>
      <c r="C216" s="10"/>
      <c r="D216" s="9"/>
      <c r="E216" s="9"/>
      <c r="F216" s="9"/>
      <c r="G216" s="3"/>
      <c r="H216" s="3"/>
      <c r="I216" s="8"/>
      <c r="J216" s="3"/>
      <c r="K216" s="13"/>
      <c r="L216" s="3"/>
      <c r="M216" s="8"/>
      <c r="N216" s="8"/>
      <c r="O216" s="8"/>
      <c r="P216" s="3"/>
      <c r="Q216" s="3"/>
      <c r="R216" s="3"/>
    </row>
    <row r="217" spans="1:18">
      <c r="A217" s="14"/>
      <c r="B217" s="11"/>
      <c r="C217" s="12"/>
      <c r="D217" s="11"/>
      <c r="E217" s="11"/>
      <c r="F217" s="11"/>
      <c r="G217" s="3"/>
      <c r="H217" s="3"/>
      <c r="I217" s="8"/>
      <c r="J217" s="3"/>
      <c r="K217" s="13"/>
      <c r="L217" s="3"/>
      <c r="M217" s="8"/>
      <c r="N217" s="8"/>
      <c r="O217" s="8"/>
      <c r="P217" s="3"/>
      <c r="Q217" s="3"/>
      <c r="R217" s="3"/>
    </row>
    <row r="218" spans="1:18">
      <c r="A218" s="14"/>
      <c r="B218" s="6"/>
      <c r="C218" s="6"/>
      <c r="D218" s="6"/>
      <c r="E218" s="6"/>
      <c r="F218" s="6"/>
      <c r="G218" s="3"/>
      <c r="H218" s="7"/>
      <c r="I218" s="8"/>
      <c r="J218" s="7"/>
      <c r="K218" s="13"/>
      <c r="L218" s="7"/>
      <c r="M218" s="8"/>
      <c r="N218" s="8"/>
      <c r="O218" s="8"/>
      <c r="P218" s="3"/>
      <c r="Q218" s="3"/>
      <c r="R218" s="3"/>
    </row>
    <row r="219" spans="1:18">
      <c r="A219" s="14"/>
      <c r="B219" s="150" t="str">
        <f t="shared" ref="B219:B220" si="37">UPPER(H219)</f>
        <v>ANIMATION</v>
      </c>
      <c r="C219" s="141"/>
      <c r="D219" s="141"/>
      <c r="E219" s="141"/>
      <c r="F219" s="141"/>
      <c r="G219" s="28"/>
      <c r="H219" s="167" t="s">
        <v>290</v>
      </c>
      <c r="I219" s="141"/>
      <c r="J219" s="141"/>
      <c r="K219" s="141"/>
      <c r="L219" s="141"/>
      <c r="M219" s="29"/>
      <c r="N219" s="149" t="s">
        <v>832</v>
      </c>
      <c r="O219" s="141"/>
      <c r="P219" s="141"/>
      <c r="Q219" s="141"/>
      <c r="R219" s="141"/>
    </row>
    <row r="220" spans="1:18">
      <c r="A220" s="14"/>
      <c r="B220" s="146" t="str">
        <f t="shared" si="37"/>
        <v>THE MONK STUDIOS</v>
      </c>
      <c r="C220" s="141"/>
      <c r="D220" s="141"/>
      <c r="E220" s="141"/>
      <c r="F220" s="141"/>
      <c r="G220" s="3"/>
      <c r="H220" s="149" t="s">
        <v>202</v>
      </c>
      <c r="I220" s="141"/>
      <c r="J220" s="141"/>
      <c r="K220" s="141"/>
      <c r="L220" s="141"/>
      <c r="M220" s="8"/>
      <c r="N220" s="149" t="s">
        <v>202</v>
      </c>
      <c r="O220" s="141"/>
      <c r="P220" s="141"/>
      <c r="Q220" s="141"/>
      <c r="R220" s="141"/>
    </row>
    <row r="221" spans="1:18">
      <c r="A221" s="14"/>
      <c r="B221" s="9"/>
      <c r="C221" s="10" t="str">
        <f t="shared" ref="C221:C227" si="38">UPPER(I221)</f>
        <v>ANIMATION DIRECTOR</v>
      </c>
      <c r="D221" s="9"/>
      <c r="E221" s="9" t="str">
        <f t="shared" ref="E221:E239" si="39">UPPER(K221)</f>
        <v>SUPAPORN KLONGPHAJONKIT</v>
      </c>
      <c r="F221" s="9"/>
      <c r="G221" s="3"/>
      <c r="H221" s="3"/>
      <c r="I221" s="36" t="s">
        <v>291</v>
      </c>
      <c r="J221" s="3"/>
      <c r="K221" s="31" t="s">
        <v>303</v>
      </c>
      <c r="L221" s="3"/>
      <c r="M221" s="8"/>
      <c r="N221" s="3"/>
      <c r="O221" s="36" t="s">
        <v>291</v>
      </c>
      <c r="P221" s="3"/>
      <c r="Q221" s="31" t="s">
        <v>303</v>
      </c>
      <c r="R221" s="3"/>
    </row>
    <row r="222" spans="1:18">
      <c r="A222" s="14"/>
      <c r="B222" s="9"/>
      <c r="C222" s="10" t="str">
        <f t="shared" si="38"/>
        <v/>
      </c>
      <c r="D222" s="9"/>
      <c r="E222" s="9" t="str">
        <f t="shared" si="39"/>
        <v/>
      </c>
      <c r="F222" s="9"/>
      <c r="G222" s="3"/>
      <c r="H222" s="3"/>
      <c r="I222" s="36"/>
      <c r="J222" s="3"/>
      <c r="K222" s="31"/>
      <c r="L222" s="3"/>
      <c r="M222" s="8"/>
      <c r="N222" s="3"/>
      <c r="O222" s="36"/>
      <c r="P222" s="3"/>
      <c r="Q222" s="31"/>
      <c r="R222" s="3"/>
    </row>
    <row r="223" spans="1:18">
      <c r="A223" s="14"/>
      <c r="B223" s="9"/>
      <c r="C223" s="10" t="str">
        <f t="shared" si="38"/>
        <v>ANIMATION SUPERVISOR</v>
      </c>
      <c r="D223" s="9"/>
      <c r="E223" s="9" t="str">
        <f t="shared" si="39"/>
        <v>SASIN POLITANONT</v>
      </c>
      <c r="F223" s="9"/>
      <c r="G223" s="3"/>
      <c r="H223" s="3"/>
      <c r="I223" s="36" t="s">
        <v>293</v>
      </c>
      <c r="J223" s="3"/>
      <c r="K223" s="31" t="s">
        <v>615</v>
      </c>
      <c r="L223" s="3"/>
      <c r="M223" s="8"/>
      <c r="N223" s="3"/>
      <c r="O223" s="36" t="s">
        <v>293</v>
      </c>
      <c r="P223" s="3"/>
      <c r="Q223" s="31" t="s">
        <v>615</v>
      </c>
      <c r="R223" s="3"/>
    </row>
    <row r="224" spans="1:18">
      <c r="A224" s="14"/>
      <c r="B224" s="9"/>
      <c r="C224" s="10" t="str">
        <f t="shared" si="38"/>
        <v/>
      </c>
      <c r="D224" s="9"/>
      <c r="E224" s="9" t="str">
        <f t="shared" si="39"/>
        <v>PHAKAMAS PHASUK</v>
      </c>
      <c r="F224" s="9"/>
      <c r="G224" s="3"/>
      <c r="H224" s="3"/>
      <c r="I224" s="36"/>
      <c r="J224" s="3"/>
      <c r="K224" s="31" t="s">
        <v>614</v>
      </c>
      <c r="L224" s="3"/>
      <c r="M224" s="8"/>
      <c r="N224" s="3"/>
      <c r="O224" s="36"/>
      <c r="P224" s="3"/>
      <c r="Q224" s="31" t="s">
        <v>614</v>
      </c>
      <c r="R224" s="3"/>
    </row>
    <row r="225" spans="1:18">
      <c r="A225" s="14"/>
      <c r="B225" s="9"/>
      <c r="C225" s="10" t="str">
        <f t="shared" si="38"/>
        <v/>
      </c>
      <c r="D225" s="9"/>
      <c r="E225" s="9" t="str">
        <f t="shared" si="39"/>
        <v/>
      </c>
      <c r="F225" s="9"/>
      <c r="G225" s="3"/>
      <c r="H225" s="3"/>
      <c r="I225" s="36"/>
      <c r="J225" s="3"/>
      <c r="K225" s="31"/>
      <c r="L225" s="3"/>
      <c r="M225" s="8"/>
      <c r="N225" s="3"/>
      <c r="O225" s="36"/>
      <c r="P225" s="3"/>
      <c r="Q225" s="31"/>
      <c r="R225" s="3"/>
    </row>
    <row r="226" spans="1:18">
      <c r="A226" s="14"/>
      <c r="B226" s="9"/>
      <c r="C226" s="10" t="str">
        <f t="shared" si="38"/>
        <v>ANIMATOR</v>
      </c>
      <c r="D226" s="9"/>
      <c r="E226" s="9" t="str">
        <f t="shared" si="39"/>
        <v>KANGSADARN THONG-ARAM</v>
      </c>
      <c r="F226" s="9"/>
      <c r="G226" s="3"/>
      <c r="H226" s="3"/>
      <c r="I226" s="36" t="s">
        <v>296</v>
      </c>
      <c r="J226" s="3"/>
      <c r="K226" s="31" t="s">
        <v>658</v>
      </c>
      <c r="L226" s="3"/>
      <c r="M226" s="8"/>
      <c r="N226" s="3"/>
      <c r="O226" s="36" t="s">
        <v>296</v>
      </c>
      <c r="P226" s="3"/>
      <c r="Q226" s="31" t="s">
        <v>658</v>
      </c>
      <c r="R226" s="3"/>
    </row>
    <row r="227" spans="1:18">
      <c r="A227" s="14"/>
      <c r="B227" s="9"/>
      <c r="C227" s="10" t="str">
        <f t="shared" si="38"/>
        <v/>
      </c>
      <c r="D227" s="9"/>
      <c r="E227" s="9" t="str">
        <f t="shared" si="39"/>
        <v>CHAIYAPAT KIATTHAVEEPHONG</v>
      </c>
      <c r="F227" s="9"/>
      <c r="G227" s="3"/>
      <c r="H227" s="3"/>
      <c r="I227" s="8"/>
      <c r="J227" s="3"/>
      <c r="K227" s="31" t="s">
        <v>616</v>
      </c>
      <c r="L227" s="3"/>
      <c r="M227" s="8"/>
      <c r="N227" s="3"/>
      <c r="O227" s="8"/>
      <c r="P227" s="3"/>
      <c r="Q227" s="31" t="s">
        <v>616</v>
      </c>
      <c r="R227" s="3"/>
    </row>
    <row r="228" spans="1:18">
      <c r="A228" s="14"/>
      <c r="B228" s="9"/>
      <c r="C228" s="10"/>
      <c r="D228" s="9"/>
      <c r="E228" s="9" t="str">
        <f t="shared" si="39"/>
        <v>CHAOWARAT SANG-OAN</v>
      </c>
      <c r="F228" s="9"/>
      <c r="G228" s="3"/>
      <c r="H228" s="3"/>
      <c r="I228" s="8"/>
      <c r="J228" s="3"/>
      <c r="K228" s="31" t="s">
        <v>617</v>
      </c>
      <c r="L228" s="3"/>
      <c r="M228" s="8"/>
      <c r="N228" s="3"/>
      <c r="O228" s="8"/>
      <c r="P228" s="3"/>
      <c r="Q228" s="31" t="s">
        <v>617</v>
      </c>
      <c r="R228" s="3"/>
    </row>
    <row r="229" spans="1:18">
      <c r="A229" s="14"/>
      <c r="B229" s="9"/>
      <c r="C229" s="10"/>
      <c r="D229" s="9"/>
      <c r="E229" s="9" t="str">
        <f t="shared" si="39"/>
        <v>DUANGPORN WONGKAEW</v>
      </c>
      <c r="F229" s="9"/>
      <c r="G229" s="3"/>
      <c r="H229" s="3"/>
      <c r="I229" s="8"/>
      <c r="J229" s="3"/>
      <c r="K229" s="31" t="s">
        <v>618</v>
      </c>
      <c r="L229" s="3"/>
      <c r="M229" s="8"/>
      <c r="N229" s="3"/>
      <c r="O229" s="8"/>
      <c r="P229" s="3"/>
      <c r="Q229" s="31" t="s">
        <v>618</v>
      </c>
      <c r="R229" s="3"/>
    </row>
    <row r="230" spans="1:18">
      <c r="A230" s="14"/>
      <c r="B230" s="9"/>
      <c r="C230" s="10"/>
      <c r="D230" s="9"/>
      <c r="E230" s="9" t="str">
        <f t="shared" si="39"/>
        <v>KITTICHAI BOETBO</v>
      </c>
      <c r="F230" s="9"/>
      <c r="G230" s="3"/>
      <c r="H230" s="3"/>
      <c r="I230" s="8"/>
      <c r="J230" s="3"/>
      <c r="K230" s="31" t="s">
        <v>619</v>
      </c>
      <c r="L230" s="3"/>
      <c r="M230" s="8"/>
      <c r="N230" s="3"/>
      <c r="O230" s="8"/>
      <c r="P230" s="3"/>
      <c r="Q230" s="31" t="s">
        <v>619</v>
      </c>
      <c r="R230" s="3"/>
    </row>
    <row r="231" spans="1:18">
      <c r="A231" s="14"/>
      <c r="B231" s="9"/>
      <c r="C231" s="10"/>
      <c r="D231" s="9"/>
      <c r="E231" s="9" t="str">
        <f t="shared" si="39"/>
        <v>SURACHED SIRIPRASERT</v>
      </c>
      <c r="F231" s="9"/>
      <c r="G231" s="3"/>
      <c r="H231" s="3"/>
      <c r="I231" s="8"/>
      <c r="J231" s="3"/>
      <c r="K231" s="31" t="s">
        <v>620</v>
      </c>
      <c r="L231" s="3"/>
      <c r="M231" s="8"/>
      <c r="N231" s="3"/>
      <c r="O231" s="8"/>
      <c r="P231" s="3"/>
      <c r="Q231" s="31" t="s">
        <v>620</v>
      </c>
      <c r="R231" s="3"/>
    </row>
    <row r="232" spans="1:18">
      <c r="A232" s="14"/>
      <c r="B232" s="9"/>
      <c r="C232" s="10"/>
      <c r="D232" s="9"/>
      <c r="E232" s="9" t="str">
        <f t="shared" si="39"/>
        <v>PAILIN INTRAREANGSORN</v>
      </c>
      <c r="F232" s="9"/>
      <c r="G232" s="3"/>
      <c r="H232" s="3"/>
      <c r="I232" s="8"/>
      <c r="J232" s="3"/>
      <c r="K232" s="31" t="s">
        <v>659</v>
      </c>
      <c r="L232" s="3"/>
      <c r="M232" s="8"/>
      <c r="N232" s="3"/>
      <c r="O232" s="8"/>
      <c r="P232" s="3"/>
      <c r="Q232" s="31" t="s">
        <v>659</v>
      </c>
      <c r="R232" s="3"/>
    </row>
    <row r="233" spans="1:18">
      <c r="A233" s="14"/>
      <c r="B233" s="9"/>
      <c r="C233" s="10"/>
      <c r="D233" s="9"/>
      <c r="E233" s="9" t="str">
        <f t="shared" si="39"/>
        <v>PAKARACHON RODKLUM</v>
      </c>
      <c r="F233" s="9"/>
      <c r="G233" s="3"/>
      <c r="H233" s="3"/>
      <c r="I233" s="8"/>
      <c r="J233" s="3"/>
      <c r="K233" s="31" t="s">
        <v>622</v>
      </c>
      <c r="L233" s="3"/>
      <c r="M233" s="8"/>
      <c r="N233" s="3"/>
      <c r="O233" s="8"/>
      <c r="P233" s="3"/>
      <c r="Q233" s="31" t="s">
        <v>622</v>
      </c>
      <c r="R233" s="3"/>
    </row>
    <row r="234" spans="1:18">
      <c r="A234" s="14"/>
      <c r="B234" s="9"/>
      <c r="C234" s="10"/>
      <c r="D234" s="9"/>
      <c r="E234" s="9" t="str">
        <f t="shared" si="39"/>
        <v>PANUPONG TIPMONTA</v>
      </c>
      <c r="F234" s="9"/>
      <c r="G234" s="3"/>
      <c r="H234" s="3"/>
      <c r="I234" s="8"/>
      <c r="J234" s="3"/>
      <c r="K234" s="31" t="s">
        <v>623</v>
      </c>
      <c r="L234" s="3"/>
      <c r="M234" s="8"/>
      <c r="N234" s="3"/>
      <c r="O234" s="8"/>
      <c r="P234" s="3"/>
      <c r="Q234" s="31" t="s">
        <v>623</v>
      </c>
      <c r="R234" s="3"/>
    </row>
    <row r="235" spans="1:18">
      <c r="A235" s="14"/>
      <c r="B235" s="9"/>
      <c r="C235" s="10"/>
      <c r="D235" s="9"/>
      <c r="E235" s="9" t="str">
        <f t="shared" si="39"/>
        <v>PARANPAT NGAMTHARANAKIT</v>
      </c>
      <c r="F235" s="9"/>
      <c r="G235" s="3"/>
      <c r="H235" s="3"/>
      <c r="I235" s="8"/>
      <c r="J235" s="3"/>
      <c r="K235" s="31" t="s">
        <v>625</v>
      </c>
      <c r="L235" s="3"/>
      <c r="M235" s="8"/>
      <c r="N235" s="3"/>
      <c r="O235" s="8"/>
      <c r="P235" s="3"/>
      <c r="Q235" s="31" t="s">
        <v>625</v>
      </c>
      <c r="R235" s="3"/>
    </row>
    <row r="236" spans="1:18">
      <c r="A236" s="14"/>
      <c r="B236" s="9"/>
      <c r="C236" s="10"/>
      <c r="D236" s="9"/>
      <c r="E236" s="9" t="str">
        <f t="shared" si="39"/>
        <v>PIMLADA SATIANPAKIRANAKORN</v>
      </c>
      <c r="F236" s="9"/>
      <c r="G236" s="3"/>
      <c r="H236" s="3"/>
      <c r="I236" s="8"/>
      <c r="J236" s="3"/>
      <c r="K236" s="31" t="s">
        <v>627</v>
      </c>
      <c r="L236" s="3"/>
      <c r="M236" s="8"/>
      <c r="N236" s="3"/>
      <c r="O236" s="8"/>
      <c r="P236" s="3"/>
      <c r="Q236" s="31" t="s">
        <v>627</v>
      </c>
      <c r="R236" s="3"/>
    </row>
    <row r="237" spans="1:18">
      <c r="A237" s="14"/>
      <c r="B237" s="9"/>
      <c r="C237" s="10"/>
      <c r="D237" s="9"/>
      <c r="E237" s="9" t="str">
        <f t="shared" si="39"/>
        <v>JUTHAMAS POOCHAPUNTH</v>
      </c>
      <c r="F237" s="9"/>
      <c r="G237" s="3"/>
      <c r="H237" s="3"/>
      <c r="I237" s="8"/>
      <c r="J237" s="3"/>
      <c r="K237" s="31" t="s">
        <v>628</v>
      </c>
      <c r="L237" s="3"/>
      <c r="M237" s="8"/>
      <c r="N237" s="3"/>
      <c r="O237" s="8"/>
      <c r="P237" s="3"/>
      <c r="Q237" s="31" t="s">
        <v>628</v>
      </c>
      <c r="R237" s="3"/>
    </row>
    <row r="238" spans="1:18">
      <c r="A238" s="14"/>
      <c r="B238" s="9"/>
      <c r="C238" s="10"/>
      <c r="D238" s="9"/>
      <c r="E238" s="9" t="str">
        <f t="shared" si="39"/>
        <v xml:space="preserve">SITTICHOK PENGRUANG </v>
      </c>
      <c r="F238" s="9"/>
      <c r="G238" s="3"/>
      <c r="H238" s="3"/>
      <c r="I238" s="8"/>
      <c r="J238" s="3"/>
      <c r="K238" s="31" t="s">
        <v>660</v>
      </c>
      <c r="L238" s="3"/>
      <c r="M238" s="8"/>
      <c r="N238" s="3"/>
      <c r="O238" s="8"/>
      <c r="P238" s="3"/>
      <c r="Q238" s="31" t="s">
        <v>660</v>
      </c>
      <c r="R238" s="3"/>
    </row>
    <row r="239" spans="1:18">
      <c r="A239" s="14"/>
      <c r="B239" s="9"/>
      <c r="C239" s="10"/>
      <c r="D239" s="9"/>
      <c r="E239" s="9" t="str">
        <f t="shared" si="39"/>
        <v>WORAPON PONCHAICHAROENKIT</v>
      </c>
      <c r="F239" s="9"/>
      <c r="G239" s="3"/>
      <c r="H239" s="3"/>
      <c r="I239" s="8"/>
      <c r="J239" s="3"/>
      <c r="K239" s="31" t="s">
        <v>325</v>
      </c>
      <c r="L239" s="3"/>
      <c r="M239" s="8"/>
      <c r="N239" s="3"/>
      <c r="O239" s="8"/>
      <c r="P239" s="3"/>
      <c r="Q239" s="31" t="s">
        <v>325</v>
      </c>
      <c r="R239" s="3"/>
    </row>
    <row r="240" spans="1:18">
      <c r="A240" s="14"/>
      <c r="B240" s="9"/>
      <c r="C240" s="10"/>
      <c r="D240" s="9"/>
      <c r="E240" s="9"/>
      <c r="F240" s="9"/>
      <c r="G240" s="3"/>
      <c r="H240" s="3"/>
      <c r="I240" s="8"/>
      <c r="J240" s="3"/>
      <c r="K240" s="13"/>
      <c r="L240" s="3"/>
      <c r="M240" s="8"/>
      <c r="N240" s="8"/>
      <c r="O240" s="8"/>
      <c r="P240" s="3"/>
      <c r="Q240" s="3"/>
      <c r="R240" s="3"/>
    </row>
    <row r="241" spans="1:18">
      <c r="A241" s="14"/>
      <c r="B241" s="26"/>
      <c r="C241" s="26"/>
      <c r="D241" s="26"/>
      <c r="E241" s="26"/>
      <c r="F241" s="26"/>
      <c r="G241" s="3"/>
      <c r="H241" s="5"/>
      <c r="I241" s="5"/>
      <c r="J241" s="5"/>
      <c r="K241" s="5"/>
      <c r="L241" s="5"/>
      <c r="M241" s="8"/>
      <c r="N241" s="8"/>
      <c r="O241" s="8"/>
      <c r="P241" s="3"/>
      <c r="Q241" s="3"/>
      <c r="R241" s="3"/>
    </row>
    <row r="242" spans="1:18">
      <c r="A242" s="14"/>
      <c r="B242" s="6"/>
      <c r="C242" s="6"/>
      <c r="D242" s="6"/>
      <c r="E242" s="6"/>
      <c r="F242" s="6"/>
      <c r="G242" s="3"/>
      <c r="H242" s="5"/>
      <c r="I242" s="5"/>
      <c r="J242" s="5"/>
      <c r="K242" s="5"/>
      <c r="L242" s="5"/>
      <c r="M242" s="8"/>
      <c r="N242" s="8"/>
      <c r="O242" s="8"/>
      <c r="P242" s="3"/>
      <c r="Q242" s="3"/>
      <c r="R242" s="3"/>
    </row>
    <row r="243" spans="1:18">
      <c r="A243" s="14"/>
      <c r="B243" s="150" t="str">
        <f t="shared" ref="B243:B244" si="40">UPPER(H243)</f>
        <v>ANIMATION</v>
      </c>
      <c r="C243" s="141"/>
      <c r="D243" s="141"/>
      <c r="E243" s="141"/>
      <c r="F243" s="141"/>
      <c r="G243" s="28"/>
      <c r="H243" s="167" t="s">
        <v>290</v>
      </c>
      <c r="I243" s="141"/>
      <c r="J243" s="141"/>
      <c r="K243" s="141"/>
      <c r="L243" s="141"/>
      <c r="M243" s="8"/>
      <c r="N243" s="149" t="s">
        <v>832</v>
      </c>
      <c r="O243" s="141"/>
      <c r="P243" s="141"/>
      <c r="Q243" s="141"/>
      <c r="R243" s="141"/>
    </row>
    <row r="244" spans="1:18">
      <c r="A244" s="14"/>
      <c r="B244" s="146" t="str">
        <f t="shared" si="40"/>
        <v>THE MONK STUDIOS</v>
      </c>
      <c r="C244" s="141"/>
      <c r="D244" s="141"/>
      <c r="E244" s="141"/>
      <c r="F244" s="141"/>
      <c r="G244" s="3"/>
      <c r="H244" s="149" t="s">
        <v>202</v>
      </c>
      <c r="I244" s="141"/>
      <c r="J244" s="141"/>
      <c r="K244" s="141"/>
      <c r="L244" s="141"/>
      <c r="M244" s="8"/>
      <c r="N244" s="149" t="s">
        <v>202</v>
      </c>
      <c r="O244" s="141"/>
      <c r="P244" s="141"/>
      <c r="Q244" s="141"/>
      <c r="R244" s="141"/>
    </row>
    <row r="245" spans="1:18">
      <c r="A245" s="14"/>
      <c r="B245" s="9"/>
      <c r="C245" s="10"/>
      <c r="D245" s="9"/>
      <c r="E245" s="9"/>
      <c r="F245" s="9"/>
      <c r="G245" s="3"/>
      <c r="H245" s="3"/>
      <c r="I245" s="36"/>
      <c r="J245" s="3"/>
      <c r="K245" s="31"/>
      <c r="L245" s="3"/>
      <c r="M245" s="8"/>
      <c r="N245" s="3"/>
      <c r="O245" s="36"/>
      <c r="P245" s="3"/>
      <c r="Q245" s="31"/>
      <c r="R245" s="3"/>
    </row>
    <row r="246" spans="1:18">
      <c r="A246" s="14"/>
      <c r="B246" s="9"/>
      <c r="C246" s="10" t="str">
        <f>UPPER(I246)</f>
        <v>ANIMATOR</v>
      </c>
      <c r="D246" s="9"/>
      <c r="E246" s="9" t="str">
        <f t="shared" ref="E246:E249" si="41">UPPER(K246)</f>
        <v>PIMLADA SATIANPAKIRANAKORN</v>
      </c>
      <c r="F246" s="9"/>
      <c r="G246" s="3"/>
      <c r="H246" s="3"/>
      <c r="I246" s="36" t="s">
        <v>296</v>
      </c>
      <c r="J246" s="3"/>
      <c r="K246" s="31" t="s">
        <v>627</v>
      </c>
      <c r="L246" s="3"/>
      <c r="M246" s="8"/>
      <c r="N246" s="3"/>
      <c r="O246" s="36" t="s">
        <v>296</v>
      </c>
      <c r="P246" s="3"/>
      <c r="Q246" s="31" t="s">
        <v>627</v>
      </c>
      <c r="R246" s="3"/>
    </row>
    <row r="247" spans="1:18">
      <c r="A247" s="14"/>
      <c r="B247" s="9"/>
      <c r="C247" s="10"/>
      <c r="D247" s="9"/>
      <c r="E247" s="9" t="str">
        <f t="shared" si="41"/>
        <v>JUTHAMAS POOCHAPUNTH</v>
      </c>
      <c r="F247" s="9"/>
      <c r="G247" s="3"/>
      <c r="H247" s="3"/>
      <c r="I247" s="8"/>
      <c r="J247" s="3"/>
      <c r="K247" s="31" t="s">
        <v>628</v>
      </c>
      <c r="L247" s="3"/>
      <c r="M247" s="8"/>
      <c r="N247" s="3"/>
      <c r="O247" s="8"/>
      <c r="P247" s="3"/>
      <c r="Q247" s="31" t="s">
        <v>628</v>
      </c>
      <c r="R247" s="3"/>
    </row>
    <row r="248" spans="1:18">
      <c r="A248" s="14"/>
      <c r="B248" s="9"/>
      <c r="C248" s="10" t="str">
        <f t="shared" ref="C248:C249" si="42">UPPER(I248)</f>
        <v/>
      </c>
      <c r="D248" s="9"/>
      <c r="E248" s="9" t="str">
        <f t="shared" si="41"/>
        <v xml:space="preserve">SITTICHOK PENGRUANG </v>
      </c>
      <c r="F248" s="9"/>
      <c r="G248" s="3"/>
      <c r="H248" s="3"/>
      <c r="I248" s="8"/>
      <c r="J248" s="3"/>
      <c r="K248" s="31" t="s">
        <v>660</v>
      </c>
      <c r="L248" s="3"/>
      <c r="M248" s="8"/>
      <c r="N248" s="3"/>
      <c r="O248" s="8"/>
      <c r="P248" s="3"/>
      <c r="Q248" s="31" t="s">
        <v>660</v>
      </c>
      <c r="R248" s="3"/>
    </row>
    <row r="249" spans="1:18">
      <c r="A249" s="14"/>
      <c r="B249" s="9"/>
      <c r="C249" s="10" t="str">
        <f t="shared" si="42"/>
        <v/>
      </c>
      <c r="D249" s="9"/>
      <c r="E249" s="9" t="str">
        <f t="shared" si="41"/>
        <v>WORAPON PONCHAICHAROENKIT</v>
      </c>
      <c r="F249" s="9"/>
      <c r="G249" s="3"/>
      <c r="H249" s="3"/>
      <c r="I249" s="8"/>
      <c r="J249" s="3"/>
      <c r="K249" s="31" t="s">
        <v>325</v>
      </c>
      <c r="L249" s="3"/>
      <c r="M249" s="8"/>
      <c r="N249" s="3"/>
      <c r="O249" s="8"/>
      <c r="P249" s="3"/>
      <c r="Q249" s="31" t="s">
        <v>325</v>
      </c>
      <c r="R249" s="3"/>
    </row>
    <row r="250" spans="1:18">
      <c r="A250" s="14"/>
      <c r="B250" s="9"/>
      <c r="C250" s="10"/>
      <c r="D250" s="9"/>
      <c r="E250" s="9"/>
      <c r="F250" s="9"/>
      <c r="G250" s="3"/>
      <c r="H250" s="3"/>
      <c r="I250" s="8"/>
      <c r="J250" s="3"/>
      <c r="K250" s="31"/>
      <c r="L250" s="3"/>
      <c r="M250" s="8"/>
      <c r="N250" s="8"/>
      <c r="O250" s="8"/>
      <c r="P250" s="3"/>
      <c r="Q250" s="3"/>
      <c r="R250" s="3"/>
    </row>
    <row r="251" spans="1:18">
      <c r="A251" s="14"/>
      <c r="B251" s="11"/>
      <c r="C251" s="12" t="str">
        <f>UPPER(I251)</f>
        <v/>
      </c>
      <c r="D251" s="11"/>
      <c r="E251" s="11" t="str">
        <f>UPPER(K251)</f>
        <v/>
      </c>
      <c r="F251" s="11"/>
      <c r="G251" s="3"/>
      <c r="H251" s="3"/>
      <c r="I251" s="8"/>
      <c r="J251" s="3"/>
      <c r="K251" s="13"/>
      <c r="L251" s="3"/>
      <c r="M251" s="3"/>
      <c r="N251" s="3"/>
      <c r="O251" s="8"/>
      <c r="P251" s="3"/>
      <c r="Q251" s="3"/>
      <c r="R251" s="3"/>
    </row>
    <row r="252" spans="1:18">
      <c r="A252" s="14"/>
      <c r="B252" s="6"/>
      <c r="C252" s="6"/>
      <c r="D252" s="6"/>
      <c r="E252" s="6"/>
      <c r="F252" s="6"/>
      <c r="G252" s="3"/>
      <c r="H252" s="7"/>
      <c r="I252" s="8"/>
      <c r="J252" s="7"/>
      <c r="K252" s="13"/>
      <c r="L252" s="7"/>
      <c r="M252" s="8"/>
      <c r="N252" s="8"/>
      <c r="O252" s="8"/>
      <c r="P252" s="3"/>
      <c r="Q252" s="3"/>
      <c r="R252" s="3"/>
    </row>
    <row r="253" spans="1:18">
      <c r="A253" s="14"/>
      <c r="B253" s="150" t="str">
        <f>UPPER(H253)</f>
        <v>LIGHTING / VFX / COMPOSITING</v>
      </c>
      <c r="C253" s="141"/>
      <c r="D253" s="141"/>
      <c r="E253" s="141"/>
      <c r="F253" s="141"/>
      <c r="G253" s="28"/>
      <c r="H253" s="167" t="s">
        <v>330</v>
      </c>
      <c r="I253" s="141"/>
      <c r="J253" s="141"/>
      <c r="K253" s="141"/>
      <c r="L253" s="141"/>
      <c r="M253" s="29"/>
      <c r="N253" s="149" t="s">
        <v>845</v>
      </c>
      <c r="O253" s="141"/>
      <c r="P253" s="141"/>
      <c r="Q253" s="141"/>
      <c r="R253" s="141"/>
    </row>
    <row r="254" spans="1:18">
      <c r="A254" s="14"/>
      <c r="B254" s="9"/>
      <c r="C254" s="10" t="str">
        <f t="shared" ref="C254:C263" si="43">UPPER(I254)</f>
        <v>VFX SUPERVISOR</v>
      </c>
      <c r="D254" s="9"/>
      <c r="E254" s="9" t="str">
        <f t="shared" ref="E254:E263" si="44">UPPER(K254)</f>
        <v>HYEONGKI KIM</v>
      </c>
      <c r="F254" s="9"/>
      <c r="G254" s="3"/>
      <c r="H254" s="3"/>
      <c r="I254" s="8" t="s">
        <v>331</v>
      </c>
      <c r="J254" s="3"/>
      <c r="K254" s="13" t="s">
        <v>332</v>
      </c>
      <c r="L254" s="3"/>
      <c r="M254" s="8"/>
      <c r="N254" s="8"/>
      <c r="O254" s="8" t="s">
        <v>846</v>
      </c>
      <c r="P254" s="3"/>
      <c r="Q254" s="3" t="s">
        <v>847</v>
      </c>
      <c r="R254" s="3"/>
    </row>
    <row r="255" spans="1:18">
      <c r="A255" s="14"/>
      <c r="B255" s="9"/>
      <c r="C255" s="10" t="str">
        <f t="shared" si="43"/>
        <v/>
      </c>
      <c r="D255" s="9"/>
      <c r="E255" s="9" t="str">
        <f t="shared" si="44"/>
        <v/>
      </c>
      <c r="F255" s="9"/>
      <c r="G255" s="3"/>
      <c r="H255" s="3"/>
      <c r="I255" s="8"/>
      <c r="J255" s="3"/>
      <c r="K255" s="13"/>
      <c r="L255" s="3"/>
      <c r="M255" s="8"/>
      <c r="N255" s="8"/>
      <c r="O255" s="8"/>
      <c r="P255" s="3"/>
      <c r="Q255" s="3"/>
      <c r="R255" s="3"/>
    </row>
    <row r="256" spans="1:18">
      <c r="A256" s="14"/>
      <c r="B256" s="9"/>
      <c r="C256" s="10" t="str">
        <f t="shared" si="43"/>
        <v>LIGHTING SUPERVISOR</v>
      </c>
      <c r="D256" s="9"/>
      <c r="E256" s="9" t="str">
        <f t="shared" si="44"/>
        <v>TAE-IN LEE</v>
      </c>
      <c r="F256" s="9"/>
      <c r="G256" s="3"/>
      <c r="H256" s="3"/>
      <c r="I256" s="8" t="s">
        <v>333</v>
      </c>
      <c r="J256" s="3"/>
      <c r="K256" s="13" t="s">
        <v>334</v>
      </c>
      <c r="L256" s="3"/>
      <c r="M256" s="8"/>
      <c r="N256" s="8"/>
      <c r="O256" s="8" t="s">
        <v>848</v>
      </c>
      <c r="P256" s="3"/>
      <c r="Q256" s="3" t="s">
        <v>849</v>
      </c>
      <c r="R256" s="3"/>
    </row>
    <row r="257" spans="1:18">
      <c r="A257" s="14"/>
      <c r="B257" s="9"/>
      <c r="C257" s="10" t="str">
        <f t="shared" si="43"/>
        <v>LIGHTING ARTIST</v>
      </c>
      <c r="D257" s="9"/>
      <c r="E257" s="9" t="str">
        <f t="shared" si="44"/>
        <v>BYEONGHYEON HWANG</v>
      </c>
      <c r="F257" s="9"/>
      <c r="G257" s="3"/>
      <c r="H257" s="3"/>
      <c r="I257" s="8" t="s">
        <v>335</v>
      </c>
      <c r="J257" s="3"/>
      <c r="K257" s="13" t="s">
        <v>336</v>
      </c>
      <c r="L257" s="3"/>
      <c r="M257" s="8"/>
      <c r="N257" s="8"/>
      <c r="O257" s="8" t="s">
        <v>850</v>
      </c>
      <c r="P257" s="3"/>
      <c r="Q257" s="3" t="s">
        <v>851</v>
      </c>
      <c r="R257" s="3"/>
    </row>
    <row r="258" spans="1:18">
      <c r="A258" s="14"/>
      <c r="B258" s="9"/>
      <c r="C258" s="10" t="str">
        <f t="shared" si="43"/>
        <v/>
      </c>
      <c r="D258" s="9"/>
      <c r="E258" s="9" t="str">
        <f t="shared" si="44"/>
        <v/>
      </c>
      <c r="F258" s="9"/>
      <c r="G258" s="3"/>
      <c r="H258" s="3"/>
      <c r="I258" s="8"/>
      <c r="J258" s="3"/>
      <c r="K258" s="13"/>
      <c r="L258" s="3"/>
      <c r="M258" s="8"/>
      <c r="N258" s="8"/>
      <c r="O258" s="8"/>
      <c r="P258" s="3"/>
      <c r="Q258" s="3"/>
      <c r="R258" s="3"/>
    </row>
    <row r="259" spans="1:18">
      <c r="A259" s="14"/>
      <c r="B259" s="9"/>
      <c r="C259" s="10" t="str">
        <f t="shared" si="43"/>
        <v>FX SUPERVISOR</v>
      </c>
      <c r="D259" s="9"/>
      <c r="E259" s="9" t="str">
        <f t="shared" si="44"/>
        <v>SEWANG KIM</v>
      </c>
      <c r="F259" s="9"/>
      <c r="G259" s="3"/>
      <c r="H259" s="3"/>
      <c r="I259" s="8" t="s">
        <v>337</v>
      </c>
      <c r="J259" s="3"/>
      <c r="K259" s="13" t="s">
        <v>338</v>
      </c>
      <c r="L259" s="3"/>
      <c r="M259" s="8"/>
      <c r="N259" s="8"/>
      <c r="O259" s="8" t="s">
        <v>852</v>
      </c>
      <c r="P259" s="3"/>
      <c r="Q259" s="3" t="s">
        <v>853</v>
      </c>
      <c r="R259" s="3"/>
    </row>
    <row r="260" spans="1:18">
      <c r="A260" s="14"/>
      <c r="B260" s="9"/>
      <c r="C260" s="10" t="str">
        <f t="shared" si="43"/>
        <v>FX ARTIST</v>
      </c>
      <c r="D260" s="9"/>
      <c r="E260" s="9" t="str">
        <f t="shared" si="44"/>
        <v>SAEBOM OH</v>
      </c>
      <c r="F260" s="9"/>
      <c r="G260" s="3"/>
      <c r="H260" s="3"/>
      <c r="I260" s="8" t="s">
        <v>339</v>
      </c>
      <c r="J260" s="3"/>
      <c r="K260" s="13" t="s">
        <v>340</v>
      </c>
      <c r="L260" s="3"/>
      <c r="M260" s="8"/>
      <c r="N260" s="8"/>
      <c r="O260" s="8" t="s">
        <v>854</v>
      </c>
      <c r="P260" s="3"/>
      <c r="Q260" s="137" t="s">
        <v>855</v>
      </c>
      <c r="R260" s="3"/>
    </row>
    <row r="261" spans="1:18">
      <c r="A261" s="14"/>
      <c r="B261" s="9"/>
      <c r="C261" s="10" t="str">
        <f t="shared" si="43"/>
        <v/>
      </c>
      <c r="D261" s="9"/>
      <c r="E261" s="9" t="str">
        <f t="shared" si="44"/>
        <v/>
      </c>
      <c r="F261" s="9"/>
      <c r="G261" s="3"/>
      <c r="H261" s="3"/>
      <c r="I261" s="8"/>
      <c r="J261" s="3"/>
      <c r="K261" s="13"/>
      <c r="L261" s="3"/>
      <c r="M261" s="8"/>
      <c r="N261" s="8"/>
      <c r="O261" s="8"/>
      <c r="P261" s="3"/>
      <c r="Q261" s="3"/>
      <c r="R261" s="3"/>
    </row>
    <row r="262" spans="1:18">
      <c r="A262" s="14"/>
      <c r="B262" s="9"/>
      <c r="C262" s="10" t="str">
        <f t="shared" si="43"/>
        <v>COMPOSITING SUPERVISOR</v>
      </c>
      <c r="D262" s="9"/>
      <c r="E262" s="40" t="str">
        <f t="shared" si="44"/>
        <v>YOONHEE JUNG</v>
      </c>
      <c r="F262" s="9"/>
      <c r="G262" s="3"/>
      <c r="H262" s="3"/>
      <c r="I262" s="8" t="s">
        <v>341</v>
      </c>
      <c r="J262" s="3"/>
      <c r="K262" s="13" t="s">
        <v>342</v>
      </c>
      <c r="L262" s="3"/>
      <c r="M262" s="3"/>
      <c r="N262" s="3"/>
      <c r="O262" s="8" t="s">
        <v>856</v>
      </c>
      <c r="P262" s="3"/>
      <c r="Q262" s="3" t="s">
        <v>857</v>
      </c>
      <c r="R262" s="3"/>
    </row>
    <row r="263" spans="1:18">
      <c r="A263" s="14"/>
      <c r="B263" s="9"/>
      <c r="C263" s="10" t="str">
        <f t="shared" si="43"/>
        <v>COMPOSITING ARTIST</v>
      </c>
      <c r="D263" s="9"/>
      <c r="E263" s="9" t="str">
        <f t="shared" si="44"/>
        <v>NAMMIN KIM</v>
      </c>
      <c r="F263" s="9"/>
      <c r="G263" s="3"/>
      <c r="H263" s="3"/>
      <c r="I263" s="8" t="s">
        <v>343</v>
      </c>
      <c r="J263" s="3"/>
      <c r="K263" s="13" t="s">
        <v>344</v>
      </c>
      <c r="L263" s="3"/>
      <c r="M263" s="8"/>
      <c r="N263" s="8"/>
      <c r="O263" s="8" t="s">
        <v>858</v>
      </c>
      <c r="P263" s="3"/>
      <c r="Q263" s="3" t="s">
        <v>859</v>
      </c>
      <c r="R263" s="3"/>
    </row>
    <row r="264" spans="1:18">
      <c r="A264" s="14"/>
      <c r="B264" s="9"/>
      <c r="C264" s="10"/>
      <c r="D264" s="9"/>
      <c r="E264" s="9"/>
      <c r="F264" s="9"/>
      <c r="G264" s="3"/>
      <c r="H264" s="3"/>
      <c r="I264" s="8"/>
      <c r="J264" s="3"/>
      <c r="K264" s="13"/>
      <c r="L264" s="3"/>
      <c r="M264" s="8"/>
      <c r="N264" s="8"/>
      <c r="O264" s="8"/>
      <c r="P264" s="3"/>
      <c r="Q264" s="3"/>
      <c r="R264" s="3"/>
    </row>
    <row r="265" spans="1:18">
      <c r="A265" s="14"/>
      <c r="B265" s="11"/>
      <c r="C265" s="12"/>
      <c r="D265" s="11"/>
      <c r="E265" s="11"/>
      <c r="F265" s="11"/>
      <c r="G265" s="3"/>
      <c r="H265" s="3"/>
      <c r="I265" s="36"/>
      <c r="J265" s="3"/>
      <c r="K265" s="31"/>
      <c r="L265" s="3"/>
      <c r="M265" s="8"/>
      <c r="N265" s="8"/>
      <c r="O265" s="8"/>
      <c r="P265" s="3"/>
      <c r="Q265" s="3"/>
      <c r="R265" s="3"/>
    </row>
    <row r="266" spans="1:18">
      <c r="A266" s="14"/>
      <c r="B266" s="17"/>
      <c r="C266" s="17"/>
      <c r="D266" s="17"/>
      <c r="E266" s="17"/>
      <c r="F266" s="17"/>
      <c r="G266" s="28"/>
      <c r="H266" s="18"/>
      <c r="I266" s="18"/>
      <c r="J266" s="18"/>
      <c r="K266" s="18"/>
      <c r="L266" s="18"/>
      <c r="M266" s="8"/>
      <c r="N266" s="8"/>
      <c r="O266" s="8"/>
      <c r="P266" s="3"/>
      <c r="Q266" s="3"/>
      <c r="R266" s="3"/>
    </row>
    <row r="267" spans="1:18">
      <c r="A267" s="14"/>
      <c r="B267" s="150" t="str">
        <f t="shared" ref="B267:B268" si="45">UPPER(H267)</f>
        <v>LIGHTING / VFX / COMPOSITING</v>
      </c>
      <c r="C267" s="141"/>
      <c r="D267" s="141"/>
      <c r="E267" s="141"/>
      <c r="F267" s="141"/>
      <c r="G267" s="28"/>
      <c r="H267" s="167" t="s">
        <v>330</v>
      </c>
      <c r="I267" s="141"/>
      <c r="J267" s="141"/>
      <c r="K267" s="141"/>
      <c r="L267" s="141"/>
      <c r="M267" s="8"/>
      <c r="N267" s="149" t="s">
        <v>845</v>
      </c>
      <c r="O267" s="141"/>
      <c r="P267" s="141"/>
      <c r="Q267" s="141"/>
      <c r="R267" s="141"/>
    </row>
    <row r="268" spans="1:18">
      <c r="A268" s="14"/>
      <c r="B268" s="146" t="str">
        <f t="shared" si="45"/>
        <v>THE MONK STUDIOS</v>
      </c>
      <c r="C268" s="141"/>
      <c r="D268" s="141"/>
      <c r="E268" s="141"/>
      <c r="F268" s="141"/>
      <c r="G268" s="3"/>
      <c r="H268" s="149" t="s">
        <v>202</v>
      </c>
      <c r="I268" s="141"/>
      <c r="J268" s="141"/>
      <c r="K268" s="141"/>
      <c r="L268" s="141"/>
      <c r="M268" s="8"/>
      <c r="N268" s="149" t="s">
        <v>202</v>
      </c>
      <c r="O268" s="141"/>
      <c r="P268" s="141"/>
      <c r="Q268" s="141"/>
      <c r="R268" s="141"/>
    </row>
    <row r="269" spans="1:18">
      <c r="A269" s="14"/>
      <c r="B269" s="9"/>
      <c r="C269" s="10"/>
      <c r="D269" s="9"/>
      <c r="E269" s="9"/>
      <c r="F269" s="9"/>
      <c r="G269" s="3"/>
      <c r="H269" s="3"/>
      <c r="I269" s="36"/>
      <c r="J269" s="3"/>
      <c r="K269" s="31"/>
      <c r="L269" s="3"/>
      <c r="M269" s="8"/>
      <c r="N269" s="3"/>
      <c r="O269" s="36"/>
      <c r="P269" s="3"/>
      <c r="Q269" s="31"/>
      <c r="R269" s="3"/>
    </row>
    <row r="270" spans="1:18">
      <c r="A270" s="14"/>
      <c r="B270" s="9"/>
      <c r="C270" s="10" t="str">
        <f>UPPER(I270)</f>
        <v xml:space="preserve">EFFECT SUPERVISOR </v>
      </c>
      <c r="D270" s="9"/>
      <c r="E270" s="9" t="str">
        <f>UPPER(K270)</f>
        <v>THACHAPONG RUANGROJ</v>
      </c>
      <c r="F270" s="9"/>
      <c r="G270" s="3"/>
      <c r="H270" s="3"/>
      <c r="I270" s="36" t="s">
        <v>357</v>
      </c>
      <c r="J270" s="3"/>
      <c r="K270" s="31" t="s">
        <v>358</v>
      </c>
      <c r="L270" s="3"/>
      <c r="M270" s="8"/>
      <c r="N270" s="3"/>
      <c r="O270" s="36" t="s">
        <v>357</v>
      </c>
      <c r="P270" s="3"/>
      <c r="Q270" s="31" t="s">
        <v>358</v>
      </c>
      <c r="R270" s="3"/>
    </row>
    <row r="271" spans="1:18">
      <c r="A271" s="14"/>
      <c r="B271" s="9"/>
      <c r="C271" s="10"/>
      <c r="D271" s="9"/>
      <c r="E271" s="9"/>
      <c r="F271" s="9"/>
      <c r="G271" s="3"/>
      <c r="H271" s="3"/>
      <c r="I271" s="36"/>
      <c r="J271" s="3"/>
      <c r="K271" s="31"/>
      <c r="L271" s="3"/>
      <c r="M271" s="8"/>
      <c r="N271" s="3"/>
      <c r="O271" s="36"/>
      <c r="P271" s="3"/>
      <c r="Q271" s="31"/>
      <c r="R271" s="3"/>
    </row>
    <row r="272" spans="1:18">
      <c r="A272" s="14"/>
      <c r="B272" s="9"/>
      <c r="C272" s="10" t="str">
        <f>UPPER(I272)</f>
        <v>VFX GENERALIST</v>
      </c>
      <c r="D272" s="9"/>
      <c r="E272" s="9" t="str">
        <f>UPPER(K272)</f>
        <v>PHUONG THANH NAM</v>
      </c>
      <c r="F272" s="9"/>
      <c r="G272" s="3"/>
      <c r="H272" s="3"/>
      <c r="I272" s="36" t="s">
        <v>359</v>
      </c>
      <c r="J272" s="3"/>
      <c r="K272" s="31" t="s">
        <v>360</v>
      </c>
      <c r="L272" s="3"/>
      <c r="M272" s="8"/>
      <c r="N272" s="3"/>
      <c r="O272" s="36" t="s">
        <v>359</v>
      </c>
      <c r="P272" s="3"/>
      <c r="Q272" s="31" t="s">
        <v>360</v>
      </c>
      <c r="R272" s="3"/>
    </row>
    <row r="273" spans="1:18">
      <c r="A273" s="14"/>
      <c r="B273" s="9"/>
      <c r="C273" s="10"/>
      <c r="D273" s="9"/>
      <c r="E273" s="9"/>
      <c r="F273" s="9"/>
      <c r="G273" s="3"/>
      <c r="H273" s="3"/>
      <c r="I273" s="36"/>
      <c r="J273" s="3"/>
      <c r="K273" s="31"/>
      <c r="L273" s="3"/>
      <c r="M273" s="8"/>
      <c r="N273" s="3"/>
      <c r="O273" s="36"/>
      <c r="P273" s="3"/>
      <c r="Q273" s="31"/>
      <c r="R273" s="3"/>
    </row>
    <row r="274" spans="1:18">
      <c r="A274" s="14"/>
      <c r="B274" s="9"/>
      <c r="C274" s="10" t="str">
        <f t="shared" ref="C274:C281" si="46">UPPER(I274)</f>
        <v>EFFECTS ARTIST</v>
      </c>
      <c r="D274" s="9"/>
      <c r="E274" s="9" t="str">
        <f t="shared" ref="E274:E281" si="47">UPPER(K274)</f>
        <v>CHAIPAT WINYOOVIJIT</v>
      </c>
      <c r="F274" s="9"/>
      <c r="G274" s="3"/>
      <c r="H274" s="3"/>
      <c r="I274" s="36" t="s">
        <v>361</v>
      </c>
      <c r="J274" s="3"/>
      <c r="K274" s="31" t="s">
        <v>362</v>
      </c>
      <c r="L274" s="3"/>
      <c r="M274" s="8"/>
      <c r="N274" s="3"/>
      <c r="O274" s="36" t="s">
        <v>361</v>
      </c>
      <c r="P274" s="3"/>
      <c r="Q274" s="31" t="s">
        <v>362</v>
      </c>
      <c r="R274" s="3"/>
    </row>
    <row r="275" spans="1:18">
      <c r="A275" s="14"/>
      <c r="B275" s="9"/>
      <c r="C275" s="10" t="str">
        <f t="shared" si="46"/>
        <v/>
      </c>
      <c r="D275" s="9"/>
      <c r="E275" s="9" t="str">
        <f t="shared" si="47"/>
        <v>NATTAPON KRICHAVONG</v>
      </c>
      <c r="F275" s="9"/>
      <c r="G275" s="3"/>
      <c r="H275" s="3"/>
      <c r="I275" s="8"/>
      <c r="J275" s="3"/>
      <c r="K275" s="31" t="s">
        <v>364</v>
      </c>
      <c r="L275" s="3"/>
      <c r="M275" s="8"/>
      <c r="N275" s="3"/>
      <c r="O275" s="8"/>
      <c r="P275" s="3"/>
      <c r="Q275" s="31" t="s">
        <v>364</v>
      </c>
      <c r="R275" s="3"/>
    </row>
    <row r="276" spans="1:18">
      <c r="A276" s="14"/>
      <c r="B276" s="9"/>
      <c r="C276" s="10" t="str">
        <f t="shared" si="46"/>
        <v/>
      </c>
      <c r="D276" s="9"/>
      <c r="E276" s="9" t="str">
        <f t="shared" si="47"/>
        <v>PIYAPONG JANHALUTAI</v>
      </c>
      <c r="F276" s="9"/>
      <c r="G276" s="3"/>
      <c r="H276" s="3"/>
      <c r="I276" s="36"/>
      <c r="J276" s="3"/>
      <c r="K276" s="31" t="s">
        <v>365</v>
      </c>
      <c r="L276" s="3"/>
      <c r="M276" s="8"/>
      <c r="N276" s="3"/>
      <c r="O276" s="36"/>
      <c r="P276" s="3"/>
      <c r="Q276" s="31" t="s">
        <v>365</v>
      </c>
      <c r="R276" s="3"/>
    </row>
    <row r="277" spans="1:18">
      <c r="A277" s="14"/>
      <c r="B277" s="9"/>
      <c r="C277" s="10" t="str">
        <f t="shared" si="46"/>
        <v/>
      </c>
      <c r="D277" s="9"/>
      <c r="E277" s="9" t="str">
        <f t="shared" si="47"/>
        <v>SILAKORN KONGSUWAN</v>
      </c>
      <c r="F277" s="9"/>
      <c r="G277" s="3"/>
      <c r="H277" s="3"/>
      <c r="I277" s="8"/>
      <c r="J277" s="3"/>
      <c r="K277" s="31" t="s">
        <v>366</v>
      </c>
      <c r="L277" s="3"/>
      <c r="M277" s="8"/>
      <c r="N277" s="3"/>
      <c r="O277" s="8"/>
      <c r="P277" s="3"/>
      <c r="Q277" s="31" t="s">
        <v>366</v>
      </c>
      <c r="R277" s="3"/>
    </row>
    <row r="278" spans="1:18">
      <c r="A278" s="14"/>
      <c r="B278" s="9"/>
      <c r="C278" s="10" t="str">
        <f t="shared" si="46"/>
        <v/>
      </c>
      <c r="D278" s="9"/>
      <c r="E278" s="9" t="str">
        <f t="shared" si="47"/>
        <v>THANAKORN THAEVAKANJANAPHOKHIN</v>
      </c>
      <c r="F278" s="9"/>
      <c r="G278" s="3"/>
      <c r="H278" s="3"/>
      <c r="I278" s="8"/>
      <c r="J278" s="3"/>
      <c r="K278" s="39" t="s">
        <v>368</v>
      </c>
      <c r="L278" s="3"/>
      <c r="M278" s="8"/>
      <c r="N278" s="3"/>
      <c r="O278" s="8"/>
      <c r="P278" s="3"/>
      <c r="Q278" s="39" t="s">
        <v>368</v>
      </c>
      <c r="R278" s="3"/>
    </row>
    <row r="279" spans="1:18">
      <c r="A279" s="14"/>
      <c r="B279" s="9"/>
      <c r="C279" s="10" t="str">
        <f t="shared" si="46"/>
        <v/>
      </c>
      <c r="D279" s="9"/>
      <c r="E279" s="9" t="str">
        <f t="shared" si="47"/>
        <v>THANAWAT KAEWARSA</v>
      </c>
      <c r="F279" s="9"/>
      <c r="G279" s="3"/>
      <c r="H279" s="3"/>
      <c r="I279" s="8"/>
      <c r="J279" s="3"/>
      <c r="K279" s="31" t="s">
        <v>369</v>
      </c>
      <c r="L279" s="3"/>
      <c r="M279" s="8"/>
      <c r="N279" s="3"/>
      <c r="O279" s="8"/>
      <c r="P279" s="3"/>
      <c r="Q279" s="31" t="s">
        <v>369</v>
      </c>
      <c r="R279" s="3"/>
    </row>
    <row r="280" spans="1:18">
      <c r="A280" s="14"/>
      <c r="B280" s="9"/>
      <c r="C280" s="10" t="str">
        <f t="shared" si="46"/>
        <v/>
      </c>
      <c r="D280" s="9"/>
      <c r="E280" s="9" t="str">
        <f t="shared" si="47"/>
        <v>KULAPONG VAIYAMUGAMUYGUL</v>
      </c>
      <c r="F280" s="9"/>
      <c r="G280" s="3"/>
      <c r="H280" s="3"/>
      <c r="I280" s="8"/>
      <c r="J280" s="3"/>
      <c r="K280" s="31" t="s">
        <v>661</v>
      </c>
      <c r="L280" s="3"/>
      <c r="M280" s="8"/>
      <c r="N280" s="3"/>
      <c r="O280" s="8"/>
      <c r="P280" s="3"/>
      <c r="Q280" s="31" t="s">
        <v>661</v>
      </c>
      <c r="R280" s="3"/>
    </row>
    <row r="281" spans="1:18">
      <c r="A281" s="14"/>
      <c r="B281" s="9"/>
      <c r="C281" s="10" t="str">
        <f t="shared" si="46"/>
        <v/>
      </c>
      <c r="D281" s="9"/>
      <c r="E281" s="9" t="str">
        <f t="shared" si="47"/>
        <v/>
      </c>
      <c r="F281" s="9"/>
      <c r="G281" s="3"/>
      <c r="H281" s="3"/>
      <c r="I281" s="8"/>
      <c r="J281" s="3"/>
      <c r="K281" s="13"/>
      <c r="L281" s="3"/>
      <c r="M281" s="8"/>
      <c r="N281" s="8"/>
      <c r="O281" s="8"/>
      <c r="P281" s="3"/>
      <c r="Q281" s="3"/>
      <c r="R281" s="3"/>
    </row>
    <row r="282" spans="1:18">
      <c r="A282" s="14"/>
      <c r="B282" s="11"/>
      <c r="C282" s="12"/>
      <c r="D282" s="11"/>
      <c r="E282" s="11"/>
      <c r="F282" s="11"/>
      <c r="G282" s="3"/>
      <c r="H282" s="3"/>
      <c r="I282" s="8"/>
      <c r="J282" s="3"/>
      <c r="K282" s="13"/>
      <c r="L282" s="3"/>
      <c r="M282" s="8"/>
      <c r="N282" s="8"/>
      <c r="O282" s="8"/>
      <c r="P282" s="3"/>
      <c r="Q282" s="3"/>
      <c r="R282" s="3"/>
    </row>
    <row r="283" spans="1:18">
      <c r="A283" s="14"/>
      <c r="B283" s="9"/>
      <c r="C283" s="10"/>
      <c r="D283" s="9"/>
      <c r="E283" s="9"/>
      <c r="F283" s="9"/>
      <c r="G283" s="3"/>
      <c r="H283" s="3"/>
      <c r="I283" s="8"/>
      <c r="J283" s="3"/>
      <c r="K283" s="13"/>
      <c r="L283" s="3"/>
      <c r="M283" s="8"/>
      <c r="N283" s="8"/>
      <c r="O283" s="8"/>
      <c r="P283" s="3"/>
      <c r="Q283" s="3"/>
      <c r="R283" s="3"/>
    </row>
    <row r="284" spans="1:18">
      <c r="A284" s="14"/>
      <c r="B284" s="150" t="str">
        <f t="shared" ref="B284:B285" si="48">UPPER(H284)</f>
        <v>LIGHTING / VFX / COMPOSITING</v>
      </c>
      <c r="C284" s="141"/>
      <c r="D284" s="141"/>
      <c r="E284" s="141"/>
      <c r="F284" s="141"/>
      <c r="G284" s="28"/>
      <c r="H284" s="167" t="s">
        <v>330</v>
      </c>
      <c r="I284" s="141"/>
      <c r="J284" s="141"/>
      <c r="K284" s="141"/>
      <c r="L284" s="141"/>
      <c r="M284" s="8"/>
      <c r="N284" s="149" t="s">
        <v>845</v>
      </c>
      <c r="O284" s="141"/>
      <c r="P284" s="141"/>
      <c r="Q284" s="141"/>
      <c r="R284" s="141"/>
    </row>
    <row r="285" spans="1:18">
      <c r="A285" s="14"/>
      <c r="B285" s="146" t="str">
        <f t="shared" si="48"/>
        <v>THE MONK STUDIOS</v>
      </c>
      <c r="C285" s="141"/>
      <c r="D285" s="141"/>
      <c r="E285" s="141"/>
      <c r="F285" s="141"/>
      <c r="G285" s="3"/>
      <c r="H285" s="149" t="s">
        <v>202</v>
      </c>
      <c r="I285" s="141"/>
      <c r="J285" s="141"/>
      <c r="K285" s="141"/>
      <c r="L285" s="141"/>
      <c r="M285" s="8"/>
      <c r="N285" s="149" t="s">
        <v>202</v>
      </c>
      <c r="O285" s="141"/>
      <c r="P285" s="141"/>
      <c r="Q285" s="141"/>
      <c r="R285" s="141"/>
    </row>
    <row r="286" spans="1:18">
      <c r="A286" s="14"/>
      <c r="B286" s="9"/>
      <c r="C286" s="10"/>
      <c r="D286" s="9"/>
      <c r="E286" s="9"/>
      <c r="F286" s="9"/>
      <c r="G286" s="3"/>
      <c r="H286" s="3"/>
      <c r="I286" s="36"/>
      <c r="J286" s="3"/>
      <c r="K286" s="31"/>
      <c r="L286" s="3"/>
      <c r="M286" s="8"/>
      <c r="N286" s="3"/>
      <c r="O286" s="36"/>
      <c r="P286" s="3"/>
      <c r="Q286" s="31"/>
      <c r="R286" s="3"/>
    </row>
    <row r="287" spans="1:18">
      <c r="A287" s="14"/>
      <c r="B287" s="9"/>
      <c r="C287" s="10" t="str">
        <f>UPPER(I287)</f>
        <v>LIGHTING SUPERVISOR</v>
      </c>
      <c r="D287" s="9"/>
      <c r="E287" s="9" t="str">
        <f>UPPER(K287)</f>
        <v>TIKUMPORN SRISANG-NGAM</v>
      </c>
      <c r="F287" s="9"/>
      <c r="G287" s="3"/>
      <c r="H287" s="3"/>
      <c r="I287" s="36" t="s">
        <v>371</v>
      </c>
      <c r="J287" s="3"/>
      <c r="K287" s="31" t="s">
        <v>372</v>
      </c>
      <c r="L287" s="3"/>
      <c r="M287" s="8"/>
      <c r="N287" s="3"/>
      <c r="O287" s="36" t="s">
        <v>371</v>
      </c>
      <c r="P287" s="3"/>
      <c r="Q287" s="31" t="s">
        <v>372</v>
      </c>
      <c r="R287" s="3"/>
    </row>
    <row r="288" spans="1:18">
      <c r="A288" s="14"/>
      <c r="B288" s="9"/>
      <c r="C288" s="10"/>
      <c r="D288" s="9"/>
      <c r="E288" s="9"/>
      <c r="F288" s="9"/>
      <c r="G288" s="3"/>
      <c r="H288" s="3"/>
      <c r="I288" s="36"/>
      <c r="J288" s="3"/>
      <c r="K288" s="31"/>
      <c r="L288" s="3"/>
      <c r="M288" s="8"/>
      <c r="N288" s="3"/>
      <c r="O288" s="36"/>
      <c r="P288" s="3"/>
      <c r="Q288" s="31"/>
      <c r="R288" s="3"/>
    </row>
    <row r="289" spans="1:18">
      <c r="A289" s="14"/>
      <c r="B289" s="9"/>
      <c r="C289" s="10" t="str">
        <f>UPPER(I289)</f>
        <v>LEAD LIGHTING ARTIST</v>
      </c>
      <c r="D289" s="9"/>
      <c r="E289" s="9" t="str">
        <f>UPPER(K289)</f>
        <v>METEE PALAPHAN</v>
      </c>
      <c r="F289" s="9"/>
      <c r="G289" s="3"/>
      <c r="H289" s="3"/>
      <c r="I289" s="36" t="s">
        <v>373</v>
      </c>
      <c r="J289" s="3"/>
      <c r="K289" s="31" t="s">
        <v>632</v>
      </c>
      <c r="L289" s="3"/>
      <c r="M289" s="8"/>
      <c r="N289" s="3"/>
      <c r="O289" s="36" t="s">
        <v>373</v>
      </c>
      <c r="P289" s="3"/>
      <c r="Q289" s="31" t="s">
        <v>632</v>
      </c>
      <c r="R289" s="3"/>
    </row>
    <row r="290" spans="1:18">
      <c r="A290" s="14"/>
      <c r="B290" s="9"/>
      <c r="C290" s="10"/>
      <c r="D290" s="9"/>
      <c r="E290" s="9"/>
      <c r="F290" s="9"/>
      <c r="G290" s="3"/>
      <c r="H290" s="3"/>
      <c r="I290" s="36"/>
      <c r="J290" s="3"/>
      <c r="K290" s="31"/>
      <c r="L290" s="3"/>
      <c r="M290" s="8"/>
      <c r="N290" s="3"/>
      <c r="O290" s="36"/>
      <c r="P290" s="3"/>
      <c r="Q290" s="31"/>
      <c r="R290" s="3"/>
    </row>
    <row r="291" spans="1:18">
      <c r="A291" s="14"/>
      <c r="B291" s="9"/>
      <c r="C291" s="10" t="str">
        <f t="shared" ref="C291:C302" si="49">UPPER(I291)</f>
        <v>LIGHTING ARTIST</v>
      </c>
      <c r="D291" s="9"/>
      <c r="E291" s="9" t="str">
        <f t="shared" ref="E291:E304" si="50">UPPER(K291)</f>
        <v>PRADTANA KARALOP</v>
      </c>
      <c r="F291" s="9"/>
      <c r="G291" s="3"/>
      <c r="H291" s="3"/>
      <c r="I291" s="36" t="s">
        <v>335</v>
      </c>
      <c r="J291" s="3"/>
      <c r="K291" s="31" t="s">
        <v>376</v>
      </c>
      <c r="L291" s="3"/>
      <c r="M291" s="8"/>
      <c r="N291" s="3"/>
      <c r="O291" s="36" t="s">
        <v>335</v>
      </c>
      <c r="P291" s="3"/>
      <c r="Q291" s="31" t="s">
        <v>376</v>
      </c>
      <c r="R291" s="3"/>
    </row>
    <row r="292" spans="1:18">
      <c r="A292" s="14"/>
      <c r="B292" s="9"/>
      <c r="C292" s="10" t="str">
        <f t="shared" si="49"/>
        <v/>
      </c>
      <c r="D292" s="9"/>
      <c r="E292" s="9" t="str">
        <f t="shared" si="50"/>
        <v>WORRAPAT YIMSUKPAITOON</v>
      </c>
      <c r="F292" s="9"/>
      <c r="G292" s="3"/>
      <c r="H292" s="3"/>
      <c r="I292" s="8"/>
      <c r="J292" s="3"/>
      <c r="K292" s="31" t="s">
        <v>377</v>
      </c>
      <c r="L292" s="3"/>
      <c r="M292" s="8"/>
      <c r="N292" s="3"/>
      <c r="O292" s="8"/>
      <c r="P292" s="3"/>
      <c r="Q292" s="31" t="s">
        <v>377</v>
      </c>
      <c r="R292" s="3"/>
    </row>
    <row r="293" spans="1:18">
      <c r="A293" s="14"/>
      <c r="B293" s="9"/>
      <c r="C293" s="10" t="str">
        <f t="shared" si="49"/>
        <v/>
      </c>
      <c r="D293" s="9"/>
      <c r="E293" s="9" t="str">
        <f t="shared" si="50"/>
        <v>JIRAWUT KEMGLAD</v>
      </c>
      <c r="F293" s="9"/>
      <c r="G293" s="3"/>
      <c r="H293" s="3"/>
      <c r="I293" s="8"/>
      <c r="J293" s="3"/>
      <c r="K293" s="31" t="s">
        <v>662</v>
      </c>
      <c r="L293" s="3"/>
      <c r="M293" s="8"/>
      <c r="N293" s="3"/>
      <c r="O293" s="8"/>
      <c r="P293" s="3"/>
      <c r="Q293" s="31" t="s">
        <v>662</v>
      </c>
      <c r="R293" s="3"/>
    </row>
    <row r="294" spans="1:18">
      <c r="A294" s="14"/>
      <c r="B294" s="9"/>
      <c r="C294" s="10" t="str">
        <f t="shared" si="49"/>
        <v/>
      </c>
      <c r="D294" s="9"/>
      <c r="E294" s="9" t="str">
        <f t="shared" si="50"/>
        <v>PHANATHON WARATHIP</v>
      </c>
      <c r="F294" s="9"/>
      <c r="G294" s="3"/>
      <c r="H294" s="3"/>
      <c r="I294" s="8"/>
      <c r="J294" s="3"/>
      <c r="K294" s="31" t="s">
        <v>378</v>
      </c>
      <c r="L294" s="3"/>
      <c r="M294" s="8"/>
      <c r="N294" s="3"/>
      <c r="O294" s="8"/>
      <c r="P294" s="3"/>
      <c r="Q294" s="31" t="s">
        <v>378</v>
      </c>
      <c r="R294" s="3"/>
    </row>
    <row r="295" spans="1:18">
      <c r="A295" s="14"/>
      <c r="B295" s="9"/>
      <c r="C295" s="10" t="str">
        <f t="shared" si="49"/>
        <v/>
      </c>
      <c r="D295" s="9"/>
      <c r="E295" s="9" t="str">
        <f t="shared" si="50"/>
        <v>BOONYARAT PONOMCHOENG</v>
      </c>
      <c r="F295" s="9"/>
      <c r="G295" s="3"/>
      <c r="H295" s="3"/>
      <c r="I295" s="8"/>
      <c r="J295" s="3"/>
      <c r="K295" s="31" t="s">
        <v>379</v>
      </c>
      <c r="L295" s="3"/>
      <c r="M295" s="8"/>
      <c r="N295" s="3"/>
      <c r="O295" s="8"/>
      <c r="P295" s="3"/>
      <c r="Q295" s="31" t="s">
        <v>379</v>
      </c>
      <c r="R295" s="3"/>
    </row>
    <row r="296" spans="1:18">
      <c r="A296" s="14"/>
      <c r="B296" s="9"/>
      <c r="C296" s="10" t="str">
        <f t="shared" si="49"/>
        <v/>
      </c>
      <c r="D296" s="9"/>
      <c r="E296" s="9" t="str">
        <f t="shared" si="50"/>
        <v>CHANIPORN PORSEELA</v>
      </c>
      <c r="F296" s="9"/>
      <c r="G296" s="3"/>
      <c r="H296" s="3"/>
      <c r="I296" s="8"/>
      <c r="J296" s="3"/>
      <c r="K296" s="31" t="s">
        <v>381</v>
      </c>
      <c r="L296" s="3"/>
      <c r="M296" s="8"/>
      <c r="N296" s="3"/>
      <c r="O296" s="8"/>
      <c r="P296" s="3"/>
      <c r="Q296" s="31" t="s">
        <v>381</v>
      </c>
      <c r="R296" s="3"/>
    </row>
    <row r="297" spans="1:18">
      <c r="A297" s="14"/>
      <c r="B297" s="9"/>
      <c r="C297" s="10" t="str">
        <f t="shared" si="49"/>
        <v/>
      </c>
      <c r="D297" s="9"/>
      <c r="E297" s="9" t="str">
        <f t="shared" si="50"/>
        <v>KITTISAK SOPAKUL</v>
      </c>
      <c r="F297" s="9"/>
      <c r="G297" s="3"/>
      <c r="H297" s="3"/>
      <c r="I297" s="8"/>
      <c r="J297" s="3"/>
      <c r="K297" s="31" t="s">
        <v>382</v>
      </c>
      <c r="L297" s="3"/>
      <c r="M297" s="8"/>
      <c r="N297" s="3"/>
      <c r="O297" s="8"/>
      <c r="P297" s="3"/>
      <c r="Q297" s="31" t="s">
        <v>382</v>
      </c>
      <c r="R297" s="3"/>
    </row>
    <row r="298" spans="1:18">
      <c r="A298" s="14"/>
      <c r="B298" s="9"/>
      <c r="C298" s="10" t="str">
        <f t="shared" si="49"/>
        <v/>
      </c>
      <c r="D298" s="9"/>
      <c r="E298" s="9" t="str">
        <f t="shared" si="50"/>
        <v>SUPANIDA KOSIN</v>
      </c>
      <c r="F298" s="9"/>
      <c r="G298" s="3"/>
      <c r="H298" s="3"/>
      <c r="I298" s="8"/>
      <c r="J298" s="3"/>
      <c r="K298" s="31" t="s">
        <v>635</v>
      </c>
      <c r="L298" s="3"/>
      <c r="M298" s="8"/>
      <c r="N298" s="3"/>
      <c r="O298" s="8"/>
      <c r="P298" s="3"/>
      <c r="Q298" s="31" t="s">
        <v>635</v>
      </c>
      <c r="R298" s="3"/>
    </row>
    <row r="299" spans="1:18">
      <c r="A299" s="14"/>
      <c r="B299" s="9"/>
      <c r="C299" s="10" t="str">
        <f t="shared" si="49"/>
        <v/>
      </c>
      <c r="D299" s="9"/>
      <c r="E299" s="9" t="str">
        <f t="shared" si="50"/>
        <v>VARAT SITTINUNTAWAT</v>
      </c>
      <c r="F299" s="9"/>
      <c r="G299" s="3"/>
      <c r="H299" s="3"/>
      <c r="I299" s="8"/>
      <c r="J299" s="3"/>
      <c r="K299" s="31" t="s">
        <v>636</v>
      </c>
      <c r="L299" s="3"/>
      <c r="M299" s="8"/>
      <c r="N299" s="3"/>
      <c r="O299" s="8"/>
      <c r="P299" s="3"/>
      <c r="Q299" s="31" t="s">
        <v>636</v>
      </c>
      <c r="R299" s="3"/>
    </row>
    <row r="300" spans="1:18">
      <c r="A300" s="14"/>
      <c r="B300" s="9"/>
      <c r="C300" s="10" t="str">
        <f t="shared" si="49"/>
        <v/>
      </c>
      <c r="D300" s="9"/>
      <c r="E300" s="9" t="str">
        <f t="shared" si="50"/>
        <v>SUTTIDA BUTMATA</v>
      </c>
      <c r="F300" s="9"/>
      <c r="G300" s="3"/>
      <c r="H300" s="3"/>
      <c r="I300" s="8"/>
      <c r="J300" s="3"/>
      <c r="K300" s="31" t="s">
        <v>637</v>
      </c>
      <c r="L300" s="3"/>
      <c r="M300" s="8"/>
      <c r="N300" s="3"/>
      <c r="O300" s="8"/>
      <c r="P300" s="3"/>
      <c r="Q300" s="31" t="s">
        <v>637</v>
      </c>
      <c r="R300" s="3"/>
    </row>
    <row r="301" spans="1:18">
      <c r="A301" s="14"/>
      <c r="B301" s="9"/>
      <c r="C301" s="10" t="str">
        <f t="shared" si="49"/>
        <v/>
      </c>
      <c r="D301" s="9"/>
      <c r="E301" s="9" t="str">
        <f t="shared" si="50"/>
        <v>TANCHANOK SONGSANG</v>
      </c>
      <c r="F301" s="9"/>
      <c r="G301" s="3"/>
      <c r="H301" s="3"/>
      <c r="I301" s="8"/>
      <c r="J301" s="3"/>
      <c r="K301" s="31" t="s">
        <v>638</v>
      </c>
      <c r="L301" s="3"/>
      <c r="M301" s="8"/>
      <c r="N301" s="3"/>
      <c r="O301" s="8"/>
      <c r="P301" s="3"/>
      <c r="Q301" s="31" t="s">
        <v>638</v>
      </c>
      <c r="R301" s="3"/>
    </row>
    <row r="302" spans="1:18">
      <c r="A302" s="14"/>
      <c r="B302" s="9"/>
      <c r="C302" s="10" t="str">
        <f t="shared" si="49"/>
        <v/>
      </c>
      <c r="D302" s="9"/>
      <c r="E302" s="9" t="str">
        <f t="shared" si="50"/>
        <v>SIRAPOB KOSITCHAIMONGKHON</v>
      </c>
      <c r="F302" s="9"/>
      <c r="G302" s="3"/>
      <c r="H302" s="3"/>
      <c r="I302" s="8"/>
      <c r="J302" s="3"/>
      <c r="K302" s="31" t="s">
        <v>663</v>
      </c>
      <c r="L302" s="3"/>
      <c r="M302" s="8"/>
      <c r="N302" s="3"/>
      <c r="O302" s="8"/>
      <c r="P302" s="3"/>
      <c r="Q302" s="31" t="s">
        <v>663</v>
      </c>
      <c r="R302" s="3"/>
    </row>
    <row r="303" spans="1:18">
      <c r="A303" s="14"/>
      <c r="B303" s="9"/>
      <c r="C303" s="10"/>
      <c r="D303" s="9"/>
      <c r="E303" s="9" t="str">
        <f t="shared" si="50"/>
        <v>TANAWAN JAMSRI</v>
      </c>
      <c r="F303" s="9"/>
      <c r="G303" s="3"/>
      <c r="H303" s="3"/>
      <c r="I303" s="8"/>
      <c r="J303" s="3"/>
      <c r="K303" s="31" t="s">
        <v>664</v>
      </c>
      <c r="L303" s="3"/>
      <c r="M303" s="8"/>
      <c r="N303" s="3"/>
      <c r="O303" s="8"/>
      <c r="P303" s="3"/>
      <c r="Q303" s="31" t="s">
        <v>664</v>
      </c>
      <c r="R303" s="3"/>
    </row>
    <row r="304" spans="1:18">
      <c r="A304" s="14"/>
      <c r="B304" s="9"/>
      <c r="C304" s="10" t="str">
        <f>UPPER(I304)</f>
        <v/>
      </c>
      <c r="D304" s="9"/>
      <c r="E304" s="9" t="str">
        <f t="shared" si="50"/>
        <v>CHANCHOL JANTARAT</v>
      </c>
      <c r="F304" s="9"/>
      <c r="G304" s="3"/>
      <c r="H304" s="3"/>
      <c r="I304" s="8"/>
      <c r="J304" s="3"/>
      <c r="K304" s="31" t="s">
        <v>665</v>
      </c>
      <c r="L304" s="3"/>
      <c r="M304" s="8"/>
      <c r="N304" s="3"/>
      <c r="O304" s="8"/>
      <c r="P304" s="3"/>
      <c r="Q304" s="31" t="s">
        <v>665</v>
      </c>
      <c r="R304" s="3"/>
    </row>
    <row r="305" spans="1:18">
      <c r="A305" s="14"/>
      <c r="B305" s="9"/>
      <c r="C305" s="10"/>
      <c r="D305" s="9"/>
      <c r="E305" s="9"/>
      <c r="F305" s="9"/>
      <c r="G305" s="3"/>
      <c r="H305" s="3"/>
      <c r="I305" s="8"/>
      <c r="J305" s="3"/>
      <c r="K305" s="31"/>
      <c r="L305" s="3"/>
      <c r="M305" s="8"/>
      <c r="N305" s="8"/>
      <c r="O305" s="8"/>
      <c r="P305" s="3"/>
      <c r="Q305" s="3"/>
      <c r="R305" s="3"/>
    </row>
    <row r="306" spans="1:18">
      <c r="A306" s="14"/>
      <c r="B306" s="11"/>
      <c r="C306" s="12"/>
      <c r="D306" s="11"/>
      <c r="E306" s="11"/>
      <c r="F306" s="11"/>
      <c r="G306" s="3"/>
      <c r="H306" s="3"/>
      <c r="I306" s="8"/>
      <c r="J306" s="3"/>
      <c r="K306" s="31"/>
      <c r="L306" s="3"/>
      <c r="M306" s="8"/>
      <c r="N306" s="8"/>
      <c r="O306" s="8"/>
      <c r="P306" s="3"/>
      <c r="Q306" s="3"/>
      <c r="R306" s="3"/>
    </row>
    <row r="307" spans="1:18">
      <c r="A307" s="14"/>
      <c r="B307" s="9"/>
      <c r="C307" s="10"/>
      <c r="D307" s="9"/>
      <c r="E307" s="9"/>
      <c r="F307" s="9"/>
      <c r="G307" s="3"/>
      <c r="H307" s="3"/>
      <c r="I307" s="8"/>
      <c r="J307" s="3"/>
      <c r="K307" s="31"/>
      <c r="L307" s="3"/>
      <c r="M307" s="8"/>
      <c r="N307" s="8"/>
      <c r="O307" s="8"/>
      <c r="P307" s="3"/>
      <c r="Q307" s="3"/>
      <c r="R307" s="3"/>
    </row>
    <row r="308" spans="1:18">
      <c r="A308" s="14"/>
      <c r="B308" s="150" t="str">
        <f t="shared" ref="B308:B309" si="51">UPPER(H308)</f>
        <v>LIGHTING / VFX / COMPOSITING</v>
      </c>
      <c r="C308" s="141"/>
      <c r="D308" s="141"/>
      <c r="E308" s="141"/>
      <c r="F308" s="141"/>
      <c r="G308" s="28"/>
      <c r="H308" s="167" t="s">
        <v>330</v>
      </c>
      <c r="I308" s="141"/>
      <c r="J308" s="141"/>
      <c r="K308" s="141"/>
      <c r="L308" s="141"/>
      <c r="M308" s="8"/>
      <c r="N308" s="149" t="s">
        <v>845</v>
      </c>
      <c r="O308" s="141"/>
      <c r="P308" s="141"/>
      <c r="Q308" s="141"/>
      <c r="R308" s="141"/>
    </row>
    <row r="309" spans="1:18">
      <c r="A309" s="14"/>
      <c r="B309" s="146" t="str">
        <f t="shared" si="51"/>
        <v>THE MONK STUDIOS</v>
      </c>
      <c r="C309" s="141"/>
      <c r="D309" s="141"/>
      <c r="E309" s="141"/>
      <c r="F309" s="141"/>
      <c r="G309" s="3"/>
      <c r="H309" s="149" t="s">
        <v>202</v>
      </c>
      <c r="I309" s="141"/>
      <c r="J309" s="141"/>
      <c r="K309" s="141"/>
      <c r="L309" s="141"/>
      <c r="M309" s="8"/>
      <c r="N309" s="149" t="s">
        <v>202</v>
      </c>
      <c r="O309" s="141"/>
      <c r="P309" s="141"/>
      <c r="Q309" s="141"/>
      <c r="R309" s="141"/>
    </row>
    <row r="310" spans="1:18">
      <c r="A310" s="14"/>
      <c r="B310" s="9"/>
      <c r="C310" s="10"/>
      <c r="D310" s="9"/>
      <c r="E310" s="9"/>
      <c r="F310" s="9"/>
      <c r="G310" s="3"/>
      <c r="H310" s="3"/>
      <c r="I310" s="8"/>
      <c r="J310" s="3"/>
      <c r="K310" s="13"/>
      <c r="L310" s="3"/>
      <c r="M310" s="8"/>
      <c r="N310" s="3"/>
      <c r="O310" s="8"/>
      <c r="P310" s="3"/>
      <c r="Q310" s="13"/>
      <c r="R310" s="3"/>
    </row>
    <row r="311" spans="1:18">
      <c r="A311" s="14"/>
      <c r="B311" s="9"/>
      <c r="C311" s="10" t="str">
        <f t="shared" ref="C311:C317" si="52">UPPER(I311)</f>
        <v>LIGHTING ARTIST</v>
      </c>
      <c r="D311" s="9"/>
      <c r="E311" s="9" t="str">
        <f t="shared" ref="E311:E317" si="53">UPPER(K311)</f>
        <v>SIRUNDA SUWANNAPRACHA</v>
      </c>
      <c r="F311" s="9"/>
      <c r="G311" s="3"/>
      <c r="H311" s="3"/>
      <c r="I311" s="36" t="s">
        <v>335</v>
      </c>
      <c r="J311" s="3"/>
      <c r="K311" s="31" t="s">
        <v>666</v>
      </c>
      <c r="L311" s="3"/>
      <c r="M311" s="8"/>
      <c r="N311" s="3"/>
      <c r="O311" s="36" t="s">
        <v>335</v>
      </c>
      <c r="P311" s="3"/>
      <c r="Q311" s="31" t="s">
        <v>666</v>
      </c>
      <c r="R311" s="3"/>
    </row>
    <row r="312" spans="1:18">
      <c r="A312" s="14"/>
      <c r="B312" s="9"/>
      <c r="C312" s="10" t="str">
        <f t="shared" si="52"/>
        <v/>
      </c>
      <c r="D312" s="9"/>
      <c r="E312" s="9" t="str">
        <f t="shared" si="53"/>
        <v>KASET REABREANG</v>
      </c>
      <c r="F312" s="9"/>
      <c r="G312" s="3"/>
      <c r="H312" s="3"/>
      <c r="I312" s="8"/>
      <c r="J312" s="3"/>
      <c r="K312" s="31" t="s">
        <v>667</v>
      </c>
      <c r="L312" s="3"/>
      <c r="M312" s="8"/>
      <c r="N312" s="3"/>
      <c r="O312" s="8"/>
      <c r="P312" s="3"/>
      <c r="Q312" s="31" t="s">
        <v>667</v>
      </c>
      <c r="R312" s="3"/>
    </row>
    <row r="313" spans="1:18">
      <c r="A313" s="14"/>
      <c r="B313" s="9"/>
      <c r="C313" s="10" t="str">
        <f t="shared" si="52"/>
        <v/>
      </c>
      <c r="D313" s="9"/>
      <c r="E313" s="9" t="str">
        <f t="shared" si="53"/>
        <v>LALITA CHINTHAWAN</v>
      </c>
      <c r="F313" s="9"/>
      <c r="G313" s="3"/>
      <c r="H313" s="3"/>
      <c r="I313" s="8"/>
      <c r="J313" s="3"/>
      <c r="K313" s="31" t="s">
        <v>668</v>
      </c>
      <c r="L313" s="3"/>
      <c r="M313" s="8"/>
      <c r="N313" s="3"/>
      <c r="O313" s="8"/>
      <c r="P313" s="3"/>
      <c r="Q313" s="31" t="s">
        <v>668</v>
      </c>
      <c r="R313" s="3"/>
    </row>
    <row r="314" spans="1:18">
      <c r="A314" s="14"/>
      <c r="B314" s="9"/>
      <c r="C314" s="10" t="str">
        <f t="shared" si="52"/>
        <v/>
      </c>
      <c r="D314" s="9"/>
      <c r="E314" s="9" t="str">
        <f t="shared" si="53"/>
        <v>SONGSAK JANSAWANG</v>
      </c>
      <c r="F314" s="9"/>
      <c r="G314" s="3"/>
      <c r="H314" s="3"/>
      <c r="I314" s="8"/>
      <c r="J314" s="3"/>
      <c r="K314" s="31" t="s">
        <v>669</v>
      </c>
      <c r="L314" s="3"/>
      <c r="M314" s="8"/>
      <c r="N314" s="3"/>
      <c r="O314" s="8"/>
      <c r="P314" s="3"/>
      <c r="Q314" s="31" t="s">
        <v>669</v>
      </c>
      <c r="R314" s="3"/>
    </row>
    <row r="315" spans="1:18">
      <c r="A315" s="14"/>
      <c r="B315" s="9"/>
      <c r="C315" s="10" t="str">
        <f t="shared" si="52"/>
        <v/>
      </c>
      <c r="D315" s="9"/>
      <c r="E315" s="9" t="str">
        <f t="shared" si="53"/>
        <v>NITHIRUT JIRAKANGVANPHAT</v>
      </c>
      <c r="F315" s="9"/>
      <c r="G315" s="3"/>
      <c r="H315" s="3"/>
      <c r="I315" s="8"/>
      <c r="J315" s="3"/>
      <c r="K315" s="31" t="s">
        <v>670</v>
      </c>
      <c r="L315" s="3"/>
      <c r="M315" s="8"/>
      <c r="N315" s="3"/>
      <c r="O315" s="8"/>
      <c r="P315" s="3"/>
      <c r="Q315" s="31" t="s">
        <v>670</v>
      </c>
      <c r="R315" s="3"/>
    </row>
    <row r="316" spans="1:18">
      <c r="A316" s="14"/>
      <c r="B316" s="9"/>
      <c r="C316" s="10" t="str">
        <f t="shared" si="52"/>
        <v/>
      </c>
      <c r="D316" s="9"/>
      <c r="E316" s="9" t="str">
        <f t="shared" si="53"/>
        <v>CHITAWADEE SRIRUK</v>
      </c>
      <c r="F316" s="9"/>
      <c r="G316" s="3"/>
      <c r="H316" s="3"/>
      <c r="I316" s="8"/>
      <c r="J316" s="3"/>
      <c r="K316" s="31" t="s">
        <v>671</v>
      </c>
      <c r="L316" s="3"/>
      <c r="M316" s="8"/>
      <c r="N316" s="3"/>
      <c r="O316" s="8"/>
      <c r="P316" s="3"/>
      <c r="Q316" s="31" t="s">
        <v>671</v>
      </c>
      <c r="R316" s="3"/>
    </row>
    <row r="317" spans="1:18">
      <c r="A317" s="14"/>
      <c r="B317" s="9"/>
      <c r="C317" s="10" t="str">
        <f t="shared" si="52"/>
        <v/>
      </c>
      <c r="D317" s="9"/>
      <c r="E317" s="9" t="str">
        <f t="shared" si="53"/>
        <v>SIRAWAT PUNYARIT</v>
      </c>
      <c r="F317" s="9"/>
      <c r="G317" s="3"/>
      <c r="H317" s="3"/>
      <c r="I317" s="8"/>
      <c r="J317" s="3"/>
      <c r="K317" s="31" t="s">
        <v>672</v>
      </c>
      <c r="L317" s="3"/>
      <c r="M317" s="8"/>
      <c r="N317" s="3"/>
      <c r="O317" s="8"/>
      <c r="P317" s="3"/>
      <c r="Q317" s="31" t="s">
        <v>672</v>
      </c>
      <c r="R317" s="3"/>
    </row>
    <row r="318" spans="1:18">
      <c r="A318" s="14"/>
      <c r="B318" s="9"/>
      <c r="C318" s="10"/>
      <c r="D318" s="9"/>
      <c r="E318" s="9"/>
      <c r="F318" s="9"/>
      <c r="G318" s="3"/>
      <c r="H318" s="3"/>
      <c r="I318" s="8"/>
      <c r="J318" s="3"/>
      <c r="K318" s="13"/>
      <c r="L318" s="3"/>
      <c r="M318" s="8"/>
      <c r="N318" s="8"/>
      <c r="O318" s="8"/>
      <c r="P318" s="3"/>
      <c r="Q318" s="3"/>
      <c r="R318" s="3"/>
    </row>
    <row r="319" spans="1:18">
      <c r="A319" s="14"/>
      <c r="B319" s="11"/>
      <c r="C319" s="12"/>
      <c r="D319" s="11"/>
      <c r="E319" s="11"/>
      <c r="F319" s="11"/>
      <c r="G319" s="3"/>
      <c r="H319" s="3"/>
      <c r="I319" s="8"/>
      <c r="J319" s="3"/>
      <c r="K319" s="13"/>
      <c r="L319" s="3"/>
      <c r="M319" s="8"/>
      <c r="N319" s="8"/>
      <c r="O319" s="8"/>
      <c r="P319" s="3"/>
      <c r="Q319" s="3"/>
      <c r="R319" s="3"/>
    </row>
    <row r="320" spans="1:18">
      <c r="A320" s="14"/>
      <c r="B320" s="6"/>
      <c r="C320" s="6"/>
      <c r="D320" s="6"/>
      <c r="E320" s="6"/>
      <c r="F320" s="6"/>
      <c r="G320" s="3"/>
      <c r="H320" s="5"/>
      <c r="I320" s="5"/>
      <c r="J320" s="5"/>
      <c r="K320" s="5"/>
      <c r="L320" s="5"/>
      <c r="M320" s="8"/>
      <c r="N320" s="5"/>
      <c r="O320" s="5"/>
      <c r="P320" s="5"/>
      <c r="Q320" s="5"/>
      <c r="R320" s="5"/>
    </row>
    <row r="321" spans="1:18">
      <c r="A321" s="14"/>
      <c r="B321" s="150" t="str">
        <f>UPPER(H321)</f>
        <v>PIPELINE &amp; SYSTEM</v>
      </c>
      <c r="C321" s="141"/>
      <c r="D321" s="141"/>
      <c r="E321" s="141"/>
      <c r="F321" s="141"/>
      <c r="G321" s="28"/>
      <c r="H321" s="167" t="s">
        <v>387</v>
      </c>
      <c r="I321" s="141"/>
      <c r="J321" s="141"/>
      <c r="K321" s="141"/>
      <c r="L321" s="141"/>
      <c r="M321" s="29"/>
      <c r="N321" s="149" t="s">
        <v>860</v>
      </c>
      <c r="O321" s="141"/>
      <c r="P321" s="141"/>
      <c r="Q321" s="141"/>
      <c r="R321" s="141"/>
    </row>
    <row r="322" spans="1:18">
      <c r="A322" s="14"/>
      <c r="B322" s="9"/>
      <c r="C322" s="10"/>
      <c r="D322" s="9"/>
      <c r="E322" s="9"/>
      <c r="F322" s="9"/>
      <c r="G322" s="3"/>
      <c r="H322" s="3"/>
      <c r="I322" s="8"/>
      <c r="J322" s="3"/>
      <c r="K322" s="13"/>
      <c r="L322" s="3"/>
      <c r="M322" s="8"/>
      <c r="N322" s="3"/>
      <c r="O322" s="8"/>
      <c r="P322" s="3"/>
      <c r="Q322" s="3"/>
      <c r="R322" s="3"/>
    </row>
    <row r="323" spans="1:18">
      <c r="A323" s="14"/>
      <c r="B323" s="9"/>
      <c r="C323" s="10" t="str">
        <f t="shared" ref="C323:C326" si="54">UPPER(I323)</f>
        <v>PIPELINE SUPERVISOR</v>
      </c>
      <c r="D323" s="9"/>
      <c r="E323" s="9" t="str">
        <f t="shared" ref="E323:E326" si="55">UPPER(K323)</f>
        <v>HYUNKYU PARK</v>
      </c>
      <c r="F323" s="9"/>
      <c r="G323" s="3"/>
      <c r="H323" s="3"/>
      <c r="I323" s="8" t="s">
        <v>388</v>
      </c>
      <c r="J323" s="3"/>
      <c r="K323" s="13" t="s">
        <v>389</v>
      </c>
      <c r="L323" s="3"/>
      <c r="M323" s="8"/>
      <c r="N323" s="3"/>
      <c r="O323" s="8" t="s">
        <v>861</v>
      </c>
      <c r="P323" s="3"/>
      <c r="Q323" s="3" t="s">
        <v>862</v>
      </c>
      <c r="R323" s="3"/>
    </row>
    <row r="324" spans="1:18">
      <c r="A324" s="14"/>
      <c r="B324" s="9"/>
      <c r="C324" s="10" t="str">
        <f t="shared" si="54"/>
        <v/>
      </c>
      <c r="D324" s="9"/>
      <c r="E324" s="9" t="str">
        <f t="shared" si="55"/>
        <v/>
      </c>
      <c r="F324" s="9"/>
      <c r="G324" s="3"/>
      <c r="H324" s="3"/>
      <c r="I324" s="8"/>
      <c r="J324" s="3"/>
      <c r="K324" s="13"/>
      <c r="L324" s="3"/>
      <c r="M324" s="8"/>
      <c r="N324" s="3"/>
      <c r="O324" s="8"/>
      <c r="P324" s="3"/>
      <c r="Q324" s="3"/>
      <c r="R324" s="3"/>
    </row>
    <row r="325" spans="1:18">
      <c r="A325" s="14"/>
      <c r="B325" s="9"/>
      <c r="C325" s="10" t="str">
        <f t="shared" si="54"/>
        <v>SYSTEM MANAGER</v>
      </c>
      <c r="D325" s="9"/>
      <c r="E325" s="9" t="str">
        <f t="shared" si="55"/>
        <v>JIWOONG RYU</v>
      </c>
      <c r="F325" s="9"/>
      <c r="G325" s="3"/>
      <c r="H325" s="3"/>
      <c r="I325" s="8" t="s">
        <v>390</v>
      </c>
      <c r="J325" s="3"/>
      <c r="K325" s="13" t="s">
        <v>391</v>
      </c>
      <c r="L325" s="3"/>
      <c r="M325" s="8"/>
      <c r="N325" s="3"/>
      <c r="O325" s="8" t="s">
        <v>863</v>
      </c>
      <c r="P325" s="3"/>
      <c r="Q325" s="3" t="s">
        <v>864</v>
      </c>
      <c r="R325" s="3"/>
    </row>
    <row r="326" spans="1:18">
      <c r="A326" s="14"/>
      <c r="B326" s="9"/>
      <c r="C326" s="10" t="str">
        <f t="shared" si="54"/>
        <v/>
      </c>
      <c r="D326" s="9"/>
      <c r="E326" s="9" t="str">
        <f t="shared" si="55"/>
        <v/>
      </c>
      <c r="F326" s="9"/>
      <c r="G326" s="3"/>
      <c r="H326" s="3"/>
      <c r="I326" s="8"/>
      <c r="J326" s="3"/>
      <c r="K326" s="13"/>
      <c r="L326" s="3"/>
      <c r="M326" s="8"/>
      <c r="N326" s="8"/>
      <c r="O326" s="21"/>
      <c r="P326" s="3"/>
      <c r="Q326" s="3"/>
      <c r="R326" s="3"/>
    </row>
    <row r="327" spans="1:18">
      <c r="A327" s="14"/>
      <c r="B327" s="150" t="str">
        <f>UPPER(H327)</f>
        <v>MANAGEMENT</v>
      </c>
      <c r="C327" s="141"/>
      <c r="D327" s="141"/>
      <c r="E327" s="141"/>
      <c r="F327" s="141"/>
      <c r="G327" s="28"/>
      <c r="H327" s="167" t="s">
        <v>392</v>
      </c>
      <c r="I327" s="141"/>
      <c r="J327" s="141"/>
      <c r="K327" s="141"/>
      <c r="L327" s="141"/>
      <c r="M327" s="29"/>
      <c r="N327" s="149" t="s">
        <v>865</v>
      </c>
      <c r="O327" s="141"/>
      <c r="P327" s="141"/>
      <c r="Q327" s="141"/>
      <c r="R327" s="141"/>
    </row>
    <row r="328" spans="1:18">
      <c r="A328" s="14"/>
      <c r="B328" s="9"/>
      <c r="C328" s="10"/>
      <c r="D328" s="9"/>
      <c r="E328" s="9"/>
      <c r="F328" s="9"/>
      <c r="G328" s="3"/>
      <c r="H328" s="3"/>
      <c r="I328" s="8"/>
      <c r="J328" s="3"/>
      <c r="K328" s="3"/>
      <c r="L328" s="3"/>
      <c r="M328" s="3"/>
      <c r="N328" s="3"/>
      <c r="O328" s="8"/>
      <c r="P328" s="3"/>
      <c r="Q328" s="3"/>
      <c r="R328" s="3"/>
    </row>
    <row r="329" spans="1:18">
      <c r="A329" s="14"/>
      <c r="B329" s="9"/>
      <c r="C329" s="10" t="str">
        <f>UPPER(I329)</f>
        <v>STUDIO MANAGEMENT</v>
      </c>
      <c r="D329" s="9"/>
      <c r="E329" s="9" t="str">
        <f>UPPER(K329)</f>
        <v>SANGWAN SEOK</v>
      </c>
      <c r="F329" s="9"/>
      <c r="G329" s="3"/>
      <c r="H329" s="3"/>
      <c r="I329" s="8" t="s">
        <v>393</v>
      </c>
      <c r="J329" s="3"/>
      <c r="K329" s="3" t="s">
        <v>394</v>
      </c>
      <c r="L329" s="3"/>
      <c r="M329" s="3"/>
      <c r="N329" s="3"/>
      <c r="O329" s="8" t="s">
        <v>866</v>
      </c>
      <c r="P329" s="3"/>
      <c r="Q329" s="3" t="s">
        <v>867</v>
      </c>
      <c r="R329" s="3"/>
    </row>
    <row r="330" spans="1:18">
      <c r="A330" s="14"/>
      <c r="B330" s="146" t="str">
        <f>UPPER(H330)</f>
        <v/>
      </c>
      <c r="C330" s="141"/>
      <c r="D330" s="141"/>
      <c r="E330" s="141"/>
      <c r="F330" s="141"/>
      <c r="G330" s="3"/>
      <c r="H330" s="3"/>
      <c r="I330" s="8"/>
      <c r="J330" s="3"/>
      <c r="K330" s="3"/>
      <c r="L330" s="3"/>
      <c r="M330" s="3"/>
      <c r="N330" s="3"/>
      <c r="O330" s="8"/>
      <c r="P330" s="3"/>
      <c r="Q330" s="3"/>
      <c r="R330" s="3"/>
    </row>
    <row r="331" spans="1:18">
      <c r="A331" s="14"/>
      <c r="B331" s="9"/>
      <c r="C331" s="10" t="str">
        <f t="shared" ref="C331:C335" si="56">UPPER(I331)</f>
        <v>SUPERVISING PRODUCER</v>
      </c>
      <c r="D331" s="9"/>
      <c r="E331" s="9" t="str">
        <f t="shared" ref="E331:E335" si="57">UPPER(K331)</f>
        <v>JARIN SOHN</v>
      </c>
      <c r="F331" s="9"/>
      <c r="G331" s="3"/>
      <c r="H331" s="3"/>
      <c r="I331" s="8" t="s">
        <v>395</v>
      </c>
      <c r="J331" s="3"/>
      <c r="K331" s="3" t="s">
        <v>396</v>
      </c>
      <c r="L331" s="3"/>
      <c r="M331" s="8"/>
      <c r="N331" s="3"/>
      <c r="O331" s="8" t="s">
        <v>868</v>
      </c>
      <c r="P331" s="3"/>
      <c r="Q331" s="3" t="s">
        <v>869</v>
      </c>
      <c r="R331" s="3"/>
    </row>
    <row r="332" spans="1:18">
      <c r="A332" s="14"/>
      <c r="B332" s="9"/>
      <c r="C332" s="10" t="str">
        <f t="shared" si="56"/>
        <v/>
      </c>
      <c r="D332" s="9"/>
      <c r="E332" s="9" t="str">
        <f t="shared" si="57"/>
        <v/>
      </c>
      <c r="F332" s="9"/>
      <c r="G332" s="3"/>
      <c r="H332" s="3"/>
      <c r="I332" s="8"/>
      <c r="J332" s="3"/>
      <c r="K332" s="3"/>
      <c r="L332" s="3"/>
      <c r="M332" s="8"/>
      <c r="N332" s="3"/>
      <c r="O332" s="8"/>
      <c r="P332" s="3"/>
      <c r="Q332" s="3"/>
      <c r="R332" s="3"/>
    </row>
    <row r="333" spans="1:18">
      <c r="A333" s="14"/>
      <c r="B333" s="6"/>
      <c r="C333" s="10" t="str">
        <f t="shared" si="56"/>
        <v>IP BUSINESS</v>
      </c>
      <c r="D333" s="9"/>
      <c r="E333" s="9" t="str">
        <f t="shared" si="57"/>
        <v>YEOMIN YOON</v>
      </c>
      <c r="F333" s="6"/>
      <c r="G333" s="3"/>
      <c r="H333" s="3"/>
      <c r="I333" s="8" t="s">
        <v>397</v>
      </c>
      <c r="J333" s="3"/>
      <c r="K333" s="3" t="s">
        <v>398</v>
      </c>
      <c r="L333" s="3"/>
      <c r="M333" s="8"/>
      <c r="N333" s="3"/>
      <c r="O333" s="8" t="s">
        <v>870</v>
      </c>
      <c r="P333" s="3"/>
      <c r="Q333" s="3" t="s">
        <v>871</v>
      </c>
      <c r="R333" s="3"/>
    </row>
    <row r="334" spans="1:18">
      <c r="A334" s="14"/>
      <c r="B334" s="9"/>
      <c r="C334" s="10" t="str">
        <f t="shared" si="56"/>
        <v/>
      </c>
      <c r="D334" s="9"/>
      <c r="E334" s="9" t="str">
        <f t="shared" si="57"/>
        <v>SANGWON NAM</v>
      </c>
      <c r="F334" s="9"/>
      <c r="G334" s="3"/>
      <c r="H334" s="3"/>
      <c r="I334" s="8"/>
      <c r="J334" s="3"/>
      <c r="K334" s="3" t="s">
        <v>399</v>
      </c>
      <c r="L334" s="3"/>
      <c r="M334" s="8"/>
      <c r="N334" s="3"/>
      <c r="O334" s="8"/>
      <c r="P334" s="3"/>
      <c r="Q334" s="3" t="s">
        <v>872</v>
      </c>
      <c r="R334" s="3"/>
    </row>
    <row r="335" spans="1:18">
      <c r="A335" s="14"/>
      <c r="B335" s="9"/>
      <c r="C335" s="10" t="str">
        <f t="shared" si="56"/>
        <v/>
      </c>
      <c r="D335" s="9"/>
      <c r="E335" s="9" t="str">
        <f t="shared" si="57"/>
        <v xml:space="preserve">GAHYUN BAIK </v>
      </c>
      <c r="F335" s="9"/>
      <c r="G335" s="3"/>
      <c r="H335" s="3"/>
      <c r="I335" s="8"/>
      <c r="J335" s="3"/>
      <c r="K335" s="3" t="s">
        <v>400</v>
      </c>
      <c r="L335" s="3"/>
      <c r="M335" s="8"/>
      <c r="N335" s="3"/>
      <c r="O335" s="8"/>
      <c r="P335" s="3"/>
      <c r="Q335" s="3" t="s">
        <v>873</v>
      </c>
      <c r="R335" s="3"/>
    </row>
    <row r="336" spans="1:18">
      <c r="A336" s="14"/>
      <c r="B336" s="9"/>
      <c r="C336" s="10"/>
      <c r="D336" s="9"/>
      <c r="E336" s="9"/>
      <c r="F336" s="9"/>
      <c r="G336" s="3"/>
      <c r="H336" s="3"/>
      <c r="I336" s="8"/>
      <c r="J336" s="3"/>
      <c r="K336" s="3" t="s">
        <v>874</v>
      </c>
      <c r="L336" s="3"/>
      <c r="M336" s="8"/>
      <c r="N336" s="3"/>
      <c r="O336" s="8"/>
      <c r="P336" s="3"/>
      <c r="Q336" s="3" t="s">
        <v>875</v>
      </c>
      <c r="R336" s="3"/>
    </row>
    <row r="337" spans="1:18">
      <c r="A337" s="14"/>
      <c r="B337" s="9"/>
      <c r="C337" s="10" t="str">
        <f t="shared" ref="C337:C341" si="58">UPPER(I337)</f>
        <v/>
      </c>
      <c r="D337" s="9"/>
      <c r="E337" s="9" t="str">
        <f t="shared" ref="E337:E341" si="59">UPPER(K337)</f>
        <v/>
      </c>
      <c r="F337" s="9"/>
      <c r="G337" s="3"/>
      <c r="H337" s="3"/>
      <c r="I337" s="8"/>
      <c r="J337" s="3"/>
      <c r="K337" s="3"/>
      <c r="L337" s="3"/>
      <c r="M337" s="8"/>
      <c r="N337" s="3"/>
      <c r="O337" s="8"/>
      <c r="P337" s="3"/>
      <c r="Q337" s="3"/>
      <c r="R337" s="3"/>
    </row>
    <row r="338" spans="1:18">
      <c r="A338" s="14"/>
      <c r="B338" s="9"/>
      <c r="C338" s="10" t="str">
        <f t="shared" si="58"/>
        <v>ACCOUNTING</v>
      </c>
      <c r="D338" s="9"/>
      <c r="E338" s="9" t="str">
        <f t="shared" si="59"/>
        <v>JAEHWAN SHIN</v>
      </c>
      <c r="F338" s="9"/>
      <c r="G338" s="3"/>
      <c r="H338" s="3"/>
      <c r="I338" s="8" t="s">
        <v>401</v>
      </c>
      <c r="J338" s="3"/>
      <c r="K338" s="3" t="s">
        <v>402</v>
      </c>
      <c r="L338" s="3"/>
      <c r="M338" s="8"/>
      <c r="N338" s="3"/>
      <c r="O338" s="8" t="s">
        <v>876</v>
      </c>
      <c r="P338" s="3"/>
      <c r="Q338" s="3" t="s">
        <v>877</v>
      </c>
      <c r="R338" s="3"/>
    </row>
    <row r="339" spans="1:18">
      <c r="A339" s="14"/>
      <c r="B339" s="9"/>
      <c r="C339" s="10" t="str">
        <f t="shared" si="58"/>
        <v/>
      </c>
      <c r="D339" s="9"/>
      <c r="E339" s="9" t="str">
        <f t="shared" si="59"/>
        <v/>
      </c>
      <c r="F339" s="9"/>
      <c r="G339" s="3"/>
      <c r="H339" s="3"/>
      <c r="I339" s="8"/>
      <c r="J339" s="3"/>
      <c r="K339" s="3"/>
      <c r="L339" s="3"/>
      <c r="M339" s="8"/>
      <c r="N339" s="8"/>
      <c r="O339" s="21"/>
      <c r="P339" s="3"/>
      <c r="Q339" s="3"/>
      <c r="R339" s="3"/>
    </row>
    <row r="340" spans="1:18">
      <c r="A340" s="14"/>
      <c r="B340" s="9"/>
      <c r="C340" s="10" t="str">
        <f t="shared" si="58"/>
        <v>HUMAN RESOURCES</v>
      </c>
      <c r="D340" s="9"/>
      <c r="E340" s="9" t="str">
        <f t="shared" si="59"/>
        <v>JIN KIM</v>
      </c>
      <c r="F340" s="9"/>
      <c r="G340" s="3"/>
      <c r="H340" s="3"/>
      <c r="I340" s="8" t="s">
        <v>403</v>
      </c>
      <c r="J340" s="3"/>
      <c r="K340" s="3" t="s">
        <v>404</v>
      </c>
      <c r="L340" s="3"/>
      <c r="M340" s="8"/>
      <c r="N340" s="8"/>
      <c r="O340" s="8" t="s">
        <v>878</v>
      </c>
      <c r="P340" s="3"/>
      <c r="Q340" s="3" t="s">
        <v>879</v>
      </c>
      <c r="R340" s="3"/>
    </row>
    <row r="341" spans="1:18">
      <c r="A341" s="14"/>
      <c r="B341" s="9"/>
      <c r="C341" s="10" t="str">
        <f t="shared" si="58"/>
        <v/>
      </c>
      <c r="D341" s="9"/>
      <c r="E341" s="9" t="str">
        <f t="shared" si="59"/>
        <v/>
      </c>
      <c r="F341" s="9"/>
      <c r="G341" s="3"/>
      <c r="H341" s="3"/>
      <c r="I341" s="8"/>
      <c r="J341" s="3"/>
      <c r="K341" s="3"/>
      <c r="L341" s="3"/>
      <c r="M341" s="8"/>
      <c r="N341" s="3"/>
      <c r="O341" s="8"/>
      <c r="P341" s="3"/>
      <c r="Q341" s="3"/>
      <c r="R341" s="3"/>
    </row>
    <row r="342" spans="1:18">
      <c r="A342" s="14"/>
      <c r="B342" s="11"/>
      <c r="C342" s="12"/>
      <c r="D342" s="11"/>
      <c r="E342" s="11"/>
      <c r="F342" s="11"/>
      <c r="G342" s="3"/>
      <c r="H342" s="3"/>
      <c r="I342" s="8"/>
      <c r="J342" s="3"/>
      <c r="K342" s="13"/>
      <c r="L342" s="3"/>
      <c r="M342" s="3"/>
      <c r="N342" s="3"/>
      <c r="O342" s="8"/>
      <c r="P342" s="3"/>
      <c r="Q342" s="3"/>
      <c r="R342" s="3"/>
    </row>
    <row r="343" spans="1:18">
      <c r="A343" s="14"/>
      <c r="B343" s="42"/>
      <c r="C343" s="10" t="str">
        <f>UPPER(I343)</f>
        <v/>
      </c>
      <c r="D343" s="9"/>
      <c r="E343" s="9" t="str">
        <f>UPPER(K343)</f>
        <v/>
      </c>
      <c r="F343" s="42"/>
      <c r="G343" s="3"/>
      <c r="H343" s="8"/>
      <c r="I343" s="8"/>
      <c r="J343" s="8"/>
      <c r="K343" s="13"/>
      <c r="L343" s="8"/>
      <c r="M343" s="8"/>
      <c r="N343" s="8"/>
      <c r="O343" s="8"/>
      <c r="P343" s="3"/>
      <c r="Q343" s="3"/>
      <c r="R343" s="3"/>
    </row>
    <row r="344" spans="1:18">
      <c r="A344" s="14"/>
      <c r="B344" s="150" t="str">
        <f t="shared" ref="B344:B345" si="60">UPPER(H344)</f>
        <v>ADDITIONAL ARTISTS</v>
      </c>
      <c r="C344" s="141"/>
      <c r="D344" s="141"/>
      <c r="E344" s="141"/>
      <c r="F344" s="141"/>
      <c r="G344" s="28"/>
      <c r="H344" s="167" t="s">
        <v>405</v>
      </c>
      <c r="I344" s="141"/>
      <c r="J344" s="141"/>
      <c r="K344" s="141"/>
      <c r="L344" s="141"/>
      <c r="M344" s="29"/>
      <c r="N344" s="149" t="s">
        <v>880</v>
      </c>
      <c r="O344" s="141"/>
      <c r="P344" s="141"/>
      <c r="Q344" s="141"/>
      <c r="R344" s="141"/>
    </row>
    <row r="345" spans="1:18">
      <c r="A345" s="14"/>
      <c r="B345" s="165" t="str">
        <f t="shared" si="60"/>
        <v>YGGDRAZIL GROUP PUBLIC CO., LTD.</v>
      </c>
      <c r="C345" s="141"/>
      <c r="D345" s="141"/>
      <c r="E345" s="141"/>
      <c r="F345" s="141"/>
      <c r="G345" s="44"/>
      <c r="H345" s="168" t="s">
        <v>406</v>
      </c>
      <c r="I345" s="141"/>
      <c r="J345" s="141"/>
      <c r="K345" s="141"/>
      <c r="L345" s="141"/>
      <c r="M345" s="44"/>
      <c r="N345" s="168" t="s">
        <v>406</v>
      </c>
      <c r="O345" s="141"/>
      <c r="P345" s="141"/>
      <c r="Q345" s="141"/>
      <c r="R345" s="141"/>
    </row>
    <row r="346" spans="1:18">
      <c r="A346" s="14"/>
      <c r="B346" s="9"/>
      <c r="C346" s="10"/>
      <c r="D346" s="9"/>
      <c r="E346" s="9"/>
      <c r="F346" s="9"/>
      <c r="G346" s="3"/>
      <c r="H346" s="13"/>
      <c r="I346" s="8"/>
      <c r="J346" s="3"/>
      <c r="K346" s="3"/>
      <c r="L346" s="3"/>
      <c r="M346" s="8"/>
      <c r="N346" s="13"/>
      <c r="O346" s="8"/>
      <c r="P346" s="3"/>
      <c r="Q346" s="3"/>
      <c r="R346" s="3"/>
    </row>
    <row r="347" spans="1:18">
      <c r="A347" s="14"/>
      <c r="B347" s="9"/>
      <c r="C347" s="10" t="str">
        <f>UPPER(I347)</f>
        <v>ANIMATION DIRECTOR</v>
      </c>
      <c r="D347" s="9"/>
      <c r="E347" s="9" t="str">
        <f>UPPER(K347)</f>
        <v>PAIRATCH LERTKAJORNWONG</v>
      </c>
      <c r="F347" s="9"/>
      <c r="G347" s="3"/>
      <c r="H347" s="13"/>
      <c r="I347" s="8" t="s">
        <v>291</v>
      </c>
      <c r="J347" s="3"/>
      <c r="K347" s="3" t="s">
        <v>407</v>
      </c>
      <c r="L347" s="3"/>
      <c r="M347" s="8"/>
      <c r="N347" s="13"/>
      <c r="O347" s="8" t="s">
        <v>291</v>
      </c>
      <c r="P347" s="3"/>
      <c r="Q347" s="3" t="s">
        <v>407</v>
      </c>
      <c r="R347" s="3"/>
    </row>
    <row r="348" spans="1:18">
      <c r="A348" s="14"/>
      <c r="B348" s="6"/>
      <c r="C348" s="6"/>
      <c r="D348" s="6"/>
      <c r="E348" s="6"/>
      <c r="F348" s="6"/>
      <c r="G348" s="3"/>
      <c r="H348" s="5"/>
      <c r="I348" s="5"/>
      <c r="J348" s="5"/>
      <c r="K348" s="5"/>
      <c r="L348" s="5"/>
      <c r="M348" s="8"/>
      <c r="N348" s="5"/>
      <c r="O348" s="5"/>
      <c r="P348" s="5"/>
      <c r="Q348" s="5"/>
      <c r="R348" s="5"/>
    </row>
    <row r="349" spans="1:18">
      <c r="A349" s="14"/>
      <c r="B349" s="42"/>
      <c r="C349" s="10" t="str">
        <f t="shared" ref="C349:C365" si="61">UPPER(I349)</f>
        <v>ASSET SUPERVISOR</v>
      </c>
      <c r="D349" s="9"/>
      <c r="E349" s="9" t="str">
        <f t="shared" ref="E349:E366" si="62">UPPER(K349)</f>
        <v>PANUWAT BOVORNSIRISARP</v>
      </c>
      <c r="F349" s="42"/>
      <c r="G349" s="3"/>
      <c r="H349" s="8"/>
      <c r="I349" s="8" t="s">
        <v>209</v>
      </c>
      <c r="J349" s="8"/>
      <c r="K349" s="2" t="s">
        <v>408</v>
      </c>
      <c r="L349" s="8"/>
      <c r="M349" s="8"/>
      <c r="N349" s="8"/>
      <c r="O349" s="8" t="s">
        <v>209</v>
      </c>
      <c r="P349" s="8"/>
      <c r="Q349" s="2" t="s">
        <v>408</v>
      </c>
      <c r="R349" s="8"/>
    </row>
    <row r="350" spans="1:18">
      <c r="A350" s="14"/>
      <c r="B350" s="42"/>
      <c r="C350" s="10" t="str">
        <f t="shared" si="61"/>
        <v>LEAD ASSET</v>
      </c>
      <c r="D350" s="9"/>
      <c r="E350" s="9" t="str">
        <f t="shared" si="62"/>
        <v>PRADTANA TARWONG</v>
      </c>
      <c r="F350" s="42"/>
      <c r="G350" s="3"/>
      <c r="H350" s="8"/>
      <c r="I350" s="8" t="s">
        <v>409</v>
      </c>
      <c r="J350" s="8"/>
      <c r="K350" s="2" t="s">
        <v>410</v>
      </c>
      <c r="L350" s="8"/>
      <c r="M350" s="8"/>
      <c r="N350" s="8"/>
      <c r="O350" s="8" t="s">
        <v>409</v>
      </c>
      <c r="P350" s="8"/>
      <c r="Q350" s="2" t="s">
        <v>410</v>
      </c>
      <c r="R350" s="8"/>
    </row>
    <row r="351" spans="1:18">
      <c r="A351" s="14"/>
      <c r="B351" s="42"/>
      <c r="C351" s="10" t="str">
        <f t="shared" si="61"/>
        <v>ASSET ARTIST</v>
      </c>
      <c r="D351" s="9"/>
      <c r="E351" s="9" t="str">
        <f t="shared" si="62"/>
        <v>PUCHIT YOTWICHAI</v>
      </c>
      <c r="F351" s="42"/>
      <c r="G351" s="3"/>
      <c r="H351" s="8"/>
      <c r="I351" s="8" t="s">
        <v>411</v>
      </c>
      <c r="J351" s="8"/>
      <c r="K351" s="2" t="s">
        <v>412</v>
      </c>
      <c r="L351" s="8"/>
      <c r="M351" s="8"/>
      <c r="N351" s="8"/>
      <c r="O351" s="8" t="s">
        <v>411</v>
      </c>
      <c r="P351" s="8"/>
      <c r="Q351" s="2" t="s">
        <v>412</v>
      </c>
      <c r="R351" s="8"/>
    </row>
    <row r="352" spans="1:18">
      <c r="A352" s="14"/>
      <c r="B352" s="42"/>
      <c r="C352" s="10" t="str">
        <f t="shared" si="61"/>
        <v/>
      </c>
      <c r="D352" s="9"/>
      <c r="E352" s="9" t="str">
        <f t="shared" si="62"/>
        <v>RITHIKEAT TEACHO</v>
      </c>
      <c r="F352" s="42"/>
      <c r="G352" s="3"/>
      <c r="H352" s="8"/>
      <c r="I352" s="8"/>
      <c r="J352" s="8"/>
      <c r="K352" s="2" t="s">
        <v>413</v>
      </c>
      <c r="L352" s="8"/>
      <c r="M352" s="8"/>
      <c r="N352" s="8"/>
      <c r="O352" s="8"/>
      <c r="P352" s="8"/>
      <c r="Q352" s="2" t="s">
        <v>413</v>
      </c>
      <c r="R352" s="8"/>
    </row>
    <row r="353" spans="1:18">
      <c r="A353" s="14"/>
      <c r="B353" s="42"/>
      <c r="C353" s="10" t="str">
        <f t="shared" si="61"/>
        <v/>
      </c>
      <c r="D353" s="9"/>
      <c r="E353" s="9" t="str">
        <f t="shared" si="62"/>
        <v>JAKKRIT JAROENSUK</v>
      </c>
      <c r="F353" s="42"/>
      <c r="G353" s="3"/>
      <c r="H353" s="8"/>
      <c r="I353" s="8"/>
      <c r="J353" s="8"/>
      <c r="K353" s="2" t="s">
        <v>414</v>
      </c>
      <c r="L353" s="8"/>
      <c r="M353" s="8"/>
      <c r="N353" s="8"/>
      <c r="O353" s="8"/>
      <c r="P353" s="8"/>
      <c r="Q353" s="2" t="s">
        <v>414</v>
      </c>
      <c r="R353" s="8"/>
    </row>
    <row r="354" spans="1:18">
      <c r="A354" s="14"/>
      <c r="B354" s="42"/>
      <c r="C354" s="10" t="str">
        <f t="shared" si="61"/>
        <v/>
      </c>
      <c r="D354" s="9"/>
      <c r="E354" s="9" t="str">
        <f t="shared" si="62"/>
        <v>NAWAPAS MAINKOON</v>
      </c>
      <c r="F354" s="42"/>
      <c r="G354" s="3"/>
      <c r="H354" s="8"/>
      <c r="I354" s="8"/>
      <c r="J354" s="8"/>
      <c r="K354" s="2" t="s">
        <v>415</v>
      </c>
      <c r="L354" s="8"/>
      <c r="M354" s="8"/>
      <c r="N354" s="8"/>
      <c r="O354" s="8"/>
      <c r="P354" s="8"/>
      <c r="Q354" s="2" t="s">
        <v>415</v>
      </c>
      <c r="R354" s="8"/>
    </row>
    <row r="355" spans="1:18">
      <c r="A355" s="14"/>
      <c r="B355" s="42"/>
      <c r="C355" s="10" t="str">
        <f t="shared" si="61"/>
        <v/>
      </c>
      <c r="D355" s="9"/>
      <c r="E355" s="9" t="str">
        <f t="shared" si="62"/>
        <v>THARIT BANCHANURAT</v>
      </c>
      <c r="F355" s="42"/>
      <c r="G355" s="3"/>
      <c r="H355" s="8"/>
      <c r="I355" s="8"/>
      <c r="J355" s="3"/>
      <c r="K355" s="2" t="s">
        <v>416</v>
      </c>
      <c r="L355" s="8"/>
      <c r="M355" s="8"/>
      <c r="N355" s="8"/>
      <c r="O355" s="8"/>
      <c r="P355" s="3"/>
      <c r="Q355" s="2" t="s">
        <v>416</v>
      </c>
      <c r="R355" s="8"/>
    </row>
    <row r="356" spans="1:18">
      <c r="A356" s="14"/>
      <c r="B356" s="42"/>
      <c r="C356" s="10" t="str">
        <f t="shared" si="61"/>
        <v/>
      </c>
      <c r="D356" s="9"/>
      <c r="E356" s="9" t="str">
        <f t="shared" si="62"/>
        <v>PALINEE ANURATANAPRASIT</v>
      </c>
      <c r="F356" s="42"/>
      <c r="G356" s="3"/>
      <c r="H356" s="8"/>
      <c r="I356" s="8"/>
      <c r="J356" s="3"/>
      <c r="K356" s="2" t="s">
        <v>417</v>
      </c>
      <c r="L356" s="8"/>
      <c r="M356" s="8"/>
      <c r="N356" s="8"/>
      <c r="O356" s="8"/>
      <c r="P356" s="3"/>
      <c r="Q356" s="2" t="s">
        <v>417</v>
      </c>
      <c r="R356" s="8"/>
    </row>
    <row r="357" spans="1:18">
      <c r="A357" s="14"/>
      <c r="B357" s="42"/>
      <c r="C357" s="10" t="str">
        <f t="shared" si="61"/>
        <v/>
      </c>
      <c r="D357" s="9"/>
      <c r="E357" s="9" t="str">
        <f t="shared" si="62"/>
        <v>PHARUNYOO PROMKORN</v>
      </c>
      <c r="F357" s="42"/>
      <c r="G357" s="3"/>
      <c r="H357" s="8"/>
      <c r="I357" s="8"/>
      <c r="J357" s="3"/>
      <c r="K357" s="2" t="s">
        <v>418</v>
      </c>
      <c r="L357" s="8"/>
      <c r="M357" s="8"/>
      <c r="N357" s="8"/>
      <c r="O357" s="8"/>
      <c r="P357" s="3"/>
      <c r="Q357" s="2" t="s">
        <v>418</v>
      </c>
      <c r="R357" s="8"/>
    </row>
    <row r="358" spans="1:18">
      <c r="A358" s="14"/>
      <c r="B358" s="42"/>
      <c r="C358" s="10" t="str">
        <f t="shared" si="61"/>
        <v/>
      </c>
      <c r="D358" s="9"/>
      <c r="E358" s="9" t="str">
        <f t="shared" si="62"/>
        <v>CHANANKARN KANTA</v>
      </c>
      <c r="F358" s="42"/>
      <c r="G358" s="3"/>
      <c r="H358" s="8"/>
      <c r="I358" s="8"/>
      <c r="J358" s="3"/>
      <c r="K358" s="2" t="s">
        <v>419</v>
      </c>
      <c r="L358" s="8"/>
      <c r="M358" s="8"/>
      <c r="N358" s="8"/>
      <c r="O358" s="8"/>
      <c r="P358" s="3"/>
      <c r="Q358" s="2" t="s">
        <v>419</v>
      </c>
      <c r="R358" s="8"/>
    </row>
    <row r="359" spans="1:18">
      <c r="A359" s="14"/>
      <c r="B359" s="42"/>
      <c r="C359" s="10" t="str">
        <f t="shared" si="61"/>
        <v/>
      </c>
      <c r="D359" s="9"/>
      <c r="E359" s="9" t="str">
        <f t="shared" si="62"/>
        <v>CHANAPAT THUETRONG</v>
      </c>
      <c r="F359" s="42"/>
      <c r="G359" s="3"/>
      <c r="H359" s="8"/>
      <c r="I359" s="8"/>
      <c r="J359" s="3"/>
      <c r="K359" s="2" t="s">
        <v>420</v>
      </c>
      <c r="L359" s="8"/>
      <c r="M359" s="8"/>
      <c r="N359" s="8"/>
      <c r="O359" s="8"/>
      <c r="P359" s="3"/>
      <c r="Q359" s="2" t="s">
        <v>420</v>
      </c>
      <c r="R359" s="8"/>
    </row>
    <row r="360" spans="1:18">
      <c r="A360" s="14"/>
      <c r="B360" s="42"/>
      <c r="C360" s="10" t="str">
        <f t="shared" si="61"/>
        <v/>
      </c>
      <c r="D360" s="9"/>
      <c r="E360" s="9" t="str">
        <f t="shared" si="62"/>
        <v>TARIGAN SUKONTAGON</v>
      </c>
      <c r="F360" s="42"/>
      <c r="G360" s="3"/>
      <c r="H360" s="8"/>
      <c r="I360" s="8"/>
      <c r="J360" s="3"/>
      <c r="K360" s="2" t="s">
        <v>421</v>
      </c>
      <c r="L360" s="8"/>
      <c r="M360" s="8"/>
      <c r="N360" s="8"/>
      <c r="O360" s="8"/>
      <c r="P360" s="3"/>
      <c r="Q360" s="2" t="s">
        <v>421</v>
      </c>
      <c r="R360" s="8"/>
    </row>
    <row r="361" spans="1:18">
      <c r="A361" s="14"/>
      <c r="B361" s="42"/>
      <c r="C361" s="10" t="str">
        <f t="shared" si="61"/>
        <v/>
      </c>
      <c r="D361" s="9"/>
      <c r="E361" s="9" t="str">
        <f t="shared" si="62"/>
        <v>WATCHARAPOL PANYAPITAKKUL</v>
      </c>
      <c r="F361" s="42"/>
      <c r="G361" s="3"/>
      <c r="H361" s="8"/>
      <c r="I361" s="8"/>
      <c r="J361" s="3"/>
      <c r="K361" s="2" t="s">
        <v>422</v>
      </c>
      <c r="L361" s="8"/>
      <c r="M361" s="8"/>
      <c r="N361" s="8"/>
      <c r="O361" s="8"/>
      <c r="P361" s="3"/>
      <c r="Q361" s="2" t="s">
        <v>422</v>
      </c>
      <c r="R361" s="8"/>
    </row>
    <row r="362" spans="1:18">
      <c r="A362" s="14"/>
      <c r="B362" s="42"/>
      <c r="C362" s="10" t="str">
        <f t="shared" si="61"/>
        <v/>
      </c>
      <c r="D362" s="9"/>
      <c r="E362" s="9" t="str">
        <f t="shared" si="62"/>
        <v>PRAPABHORN POOMSIRI</v>
      </c>
      <c r="F362" s="42"/>
      <c r="G362" s="3"/>
      <c r="H362" s="8"/>
      <c r="I362" s="8"/>
      <c r="J362" s="3"/>
      <c r="K362" s="2" t="s">
        <v>423</v>
      </c>
      <c r="L362" s="8"/>
      <c r="M362" s="8"/>
      <c r="N362" s="8"/>
      <c r="O362" s="8"/>
      <c r="P362" s="3"/>
      <c r="Q362" s="2" t="s">
        <v>423</v>
      </c>
      <c r="R362" s="8"/>
    </row>
    <row r="363" spans="1:18">
      <c r="A363" s="14"/>
      <c r="B363" s="42"/>
      <c r="C363" s="10" t="str">
        <f t="shared" si="61"/>
        <v/>
      </c>
      <c r="D363" s="9"/>
      <c r="E363" s="9" t="str">
        <f t="shared" si="62"/>
        <v>BAVORNSAK UDOMCHIMPLEE</v>
      </c>
      <c r="F363" s="42"/>
      <c r="G363" s="3"/>
      <c r="H363" s="8"/>
      <c r="I363" s="8"/>
      <c r="J363" s="3"/>
      <c r="K363" s="2" t="s">
        <v>424</v>
      </c>
      <c r="L363" s="8"/>
      <c r="M363" s="8"/>
      <c r="N363" s="8"/>
      <c r="O363" s="8"/>
      <c r="P363" s="3"/>
      <c r="Q363" s="2" t="s">
        <v>424</v>
      </c>
      <c r="R363" s="8"/>
    </row>
    <row r="364" spans="1:18">
      <c r="A364" s="14"/>
      <c r="B364" s="42"/>
      <c r="C364" s="10" t="str">
        <f t="shared" si="61"/>
        <v/>
      </c>
      <c r="D364" s="9"/>
      <c r="E364" s="9" t="str">
        <f t="shared" si="62"/>
        <v/>
      </c>
      <c r="F364" s="42"/>
      <c r="G364" s="3"/>
      <c r="H364" s="8"/>
      <c r="I364" s="8"/>
      <c r="J364" s="3"/>
      <c r="K364" s="3"/>
      <c r="L364" s="8"/>
      <c r="M364" s="8"/>
      <c r="N364" s="8"/>
      <c r="O364" s="8"/>
      <c r="P364" s="3"/>
      <c r="Q364" s="3"/>
      <c r="R364" s="3"/>
    </row>
    <row r="365" spans="1:18">
      <c r="A365" s="14"/>
      <c r="B365" s="11"/>
      <c r="C365" s="12" t="str">
        <f t="shared" si="61"/>
        <v/>
      </c>
      <c r="D365" s="11"/>
      <c r="E365" s="11" t="str">
        <f t="shared" si="62"/>
        <v/>
      </c>
      <c r="F365" s="11"/>
      <c r="G365" s="3"/>
      <c r="H365" s="3"/>
      <c r="I365" s="8"/>
      <c r="J365" s="3"/>
      <c r="K365" s="13"/>
      <c r="L365" s="3"/>
      <c r="M365" s="3"/>
      <c r="N365" s="3"/>
      <c r="O365" s="8"/>
      <c r="P365" s="3"/>
      <c r="Q365" s="3"/>
      <c r="R365" s="3"/>
    </row>
    <row r="366" spans="1:18">
      <c r="A366" s="14"/>
      <c r="B366" s="9" t="str">
        <f t="shared" ref="B366:C366" si="63">UPPER(H366)</f>
        <v/>
      </c>
      <c r="C366" s="10" t="str">
        <f t="shared" si="63"/>
        <v/>
      </c>
      <c r="D366" s="9"/>
      <c r="E366" s="9" t="str">
        <f t="shared" si="62"/>
        <v/>
      </c>
      <c r="F366" s="9"/>
      <c r="G366" s="3"/>
      <c r="H366" s="3"/>
      <c r="I366" s="8"/>
      <c r="J366" s="3"/>
      <c r="K366" s="13"/>
      <c r="L366" s="3"/>
      <c r="M366" s="8"/>
      <c r="N366" s="8"/>
      <c r="O366" s="8"/>
      <c r="P366" s="3"/>
      <c r="Q366" s="3"/>
      <c r="R366" s="3"/>
    </row>
    <row r="367" spans="1:18">
      <c r="A367" s="14"/>
      <c r="B367" s="150" t="str">
        <f>UPPER(H367)</f>
        <v>VOICE RECORDING</v>
      </c>
      <c r="C367" s="141"/>
      <c r="D367" s="141"/>
      <c r="E367" s="141"/>
      <c r="F367" s="141"/>
      <c r="G367" s="28"/>
      <c r="H367" s="167" t="s">
        <v>425</v>
      </c>
      <c r="I367" s="141"/>
      <c r="J367" s="141"/>
      <c r="K367" s="141"/>
      <c r="L367" s="141"/>
      <c r="M367" s="29"/>
      <c r="N367" s="149" t="s">
        <v>881</v>
      </c>
      <c r="O367" s="141"/>
      <c r="P367" s="141"/>
      <c r="Q367" s="141"/>
      <c r="R367" s="141"/>
    </row>
    <row r="368" spans="1:18">
      <c r="A368" s="14"/>
      <c r="B368" s="9"/>
      <c r="C368" s="10" t="str">
        <f t="shared" ref="C368:C380" si="64">UPPER(I368)</f>
        <v>VOICE DIRECTOR</v>
      </c>
      <c r="D368" s="9"/>
      <c r="E368" s="9" t="str">
        <f t="shared" ref="E368:E380" si="65">UPPER(K368)</f>
        <v>TOM WAYLAND</v>
      </c>
      <c r="F368" s="9"/>
      <c r="G368" s="3"/>
      <c r="H368" s="3"/>
      <c r="I368" s="36" t="s">
        <v>426</v>
      </c>
      <c r="J368" s="2"/>
      <c r="K368" s="2" t="s">
        <v>58</v>
      </c>
      <c r="L368" s="3"/>
      <c r="M368" s="8"/>
      <c r="N368" s="3"/>
      <c r="O368" s="8" t="s">
        <v>882</v>
      </c>
      <c r="P368" s="3"/>
      <c r="Q368" s="3" t="s">
        <v>883</v>
      </c>
      <c r="R368" s="3"/>
    </row>
    <row r="369" spans="1:18">
      <c r="A369" s="14"/>
      <c r="B369" s="9"/>
      <c r="C369" s="10" t="str">
        <f t="shared" si="64"/>
        <v/>
      </c>
      <c r="D369" s="9"/>
      <c r="E369" s="9" t="str">
        <f t="shared" si="65"/>
        <v/>
      </c>
      <c r="F369" s="9"/>
      <c r="G369" s="3"/>
      <c r="H369" s="3"/>
      <c r="I369" s="2"/>
      <c r="J369" s="2"/>
      <c r="K369" s="2"/>
      <c r="L369" s="3"/>
      <c r="M369" s="8"/>
      <c r="N369" s="3"/>
      <c r="O369" s="8"/>
      <c r="P369" s="3"/>
      <c r="Q369" s="3"/>
      <c r="R369" s="3"/>
    </row>
    <row r="370" spans="1:18">
      <c r="A370" s="14"/>
      <c r="B370" s="9"/>
      <c r="C370" s="10" t="str">
        <f t="shared" si="64"/>
        <v>RECORDING ENGINEER</v>
      </c>
      <c r="D370" s="9"/>
      <c r="E370" s="9" t="str">
        <f t="shared" si="65"/>
        <v>DOMINIC DUNN</v>
      </c>
      <c r="F370" s="9"/>
      <c r="G370" s="3"/>
      <c r="H370" s="3"/>
      <c r="I370" s="36" t="s">
        <v>427</v>
      </c>
      <c r="J370" s="2"/>
      <c r="K370" s="2" t="s">
        <v>428</v>
      </c>
      <c r="L370" s="3"/>
      <c r="M370" s="8"/>
      <c r="N370" s="3"/>
      <c r="O370" s="8" t="s">
        <v>884</v>
      </c>
      <c r="P370" s="3"/>
      <c r="Q370" s="3" t="s">
        <v>885</v>
      </c>
      <c r="R370" s="3"/>
    </row>
    <row r="371" spans="1:18">
      <c r="A371" s="14"/>
      <c r="B371" s="9"/>
      <c r="C371" s="10" t="str">
        <f t="shared" si="64"/>
        <v/>
      </c>
      <c r="D371" s="9"/>
      <c r="E371" s="9" t="str">
        <f t="shared" si="65"/>
        <v>FAHAD RAHMAN</v>
      </c>
      <c r="F371" s="9"/>
      <c r="G371" s="3"/>
      <c r="H371" s="3"/>
      <c r="I371" s="2"/>
      <c r="J371" s="2"/>
      <c r="K371" s="2" t="s">
        <v>429</v>
      </c>
      <c r="L371" s="3"/>
      <c r="M371" s="8"/>
      <c r="N371" s="3"/>
      <c r="O371" s="8"/>
      <c r="P371" s="3"/>
      <c r="Q371" s="3"/>
      <c r="R371" s="3"/>
    </row>
    <row r="372" spans="1:18">
      <c r="A372" s="14"/>
      <c r="B372" s="9"/>
      <c r="C372" s="10" t="str">
        <f t="shared" si="64"/>
        <v/>
      </c>
      <c r="D372" s="9"/>
      <c r="E372" s="9" t="str">
        <f t="shared" si="65"/>
        <v>TOM WAYLAND</v>
      </c>
      <c r="F372" s="9"/>
      <c r="G372" s="3"/>
      <c r="H372" s="3"/>
      <c r="I372" s="2"/>
      <c r="J372" s="2"/>
      <c r="K372" s="2" t="s">
        <v>58</v>
      </c>
      <c r="L372" s="3"/>
      <c r="M372" s="8"/>
      <c r="N372" s="3"/>
      <c r="O372" s="8" t="s">
        <v>886</v>
      </c>
      <c r="P372" s="3"/>
      <c r="Q372" s="3" t="s">
        <v>885</v>
      </c>
      <c r="R372" s="3"/>
    </row>
    <row r="373" spans="1:18">
      <c r="A373" s="14"/>
      <c r="B373" s="9"/>
      <c r="C373" s="10" t="str">
        <f t="shared" si="64"/>
        <v/>
      </c>
      <c r="D373" s="9"/>
      <c r="E373" s="9" t="str">
        <f t="shared" si="65"/>
        <v/>
      </c>
      <c r="F373" s="9"/>
      <c r="G373" s="3"/>
      <c r="H373" s="3"/>
      <c r="I373" s="2"/>
      <c r="J373" s="2"/>
      <c r="K373" s="2"/>
      <c r="L373" s="3"/>
      <c r="M373" s="8"/>
      <c r="N373" s="3"/>
      <c r="O373" s="8"/>
      <c r="P373" s="3"/>
      <c r="Q373" s="3"/>
      <c r="R373" s="3"/>
    </row>
    <row r="374" spans="1:18">
      <c r="A374" s="14"/>
      <c r="B374" s="9"/>
      <c r="C374" s="10" t="str">
        <f t="shared" si="64"/>
        <v>VOICE CASTING</v>
      </c>
      <c r="D374" s="9"/>
      <c r="E374" s="9" t="str">
        <f t="shared" si="65"/>
        <v>TOM WAYLAND</v>
      </c>
      <c r="F374" s="9"/>
      <c r="G374" s="3"/>
      <c r="H374" s="3"/>
      <c r="I374" s="36" t="s">
        <v>430</v>
      </c>
      <c r="J374" s="2"/>
      <c r="K374" s="2" t="s">
        <v>58</v>
      </c>
      <c r="L374" s="3"/>
      <c r="M374" s="8"/>
      <c r="N374" s="3"/>
      <c r="O374" s="8" t="s">
        <v>887</v>
      </c>
      <c r="P374" s="3"/>
      <c r="Q374" s="3" t="s">
        <v>885</v>
      </c>
      <c r="R374" s="3"/>
    </row>
    <row r="375" spans="1:18">
      <c r="A375" s="14"/>
      <c r="B375" s="9"/>
      <c r="C375" s="10" t="str">
        <f t="shared" si="64"/>
        <v/>
      </c>
      <c r="D375" s="9"/>
      <c r="E375" s="9" t="str">
        <f t="shared" si="65"/>
        <v/>
      </c>
      <c r="F375" s="9"/>
      <c r="G375" s="3"/>
      <c r="H375" s="3"/>
      <c r="I375" s="2"/>
      <c r="J375" s="2"/>
      <c r="K375" s="2"/>
      <c r="L375" s="3"/>
      <c r="M375" s="8"/>
      <c r="N375" s="3"/>
      <c r="O375" s="8"/>
      <c r="P375" s="3"/>
      <c r="Q375" s="13"/>
      <c r="R375" s="3"/>
    </row>
    <row r="376" spans="1:18">
      <c r="A376" s="14"/>
      <c r="B376" s="9"/>
      <c r="C376" s="10" t="str">
        <f t="shared" si="64"/>
        <v>RECORDED BY</v>
      </c>
      <c r="D376" s="9"/>
      <c r="E376" s="9" t="str">
        <f t="shared" si="65"/>
        <v>3BEEP, NYC</v>
      </c>
      <c r="F376" s="9"/>
      <c r="G376" s="3"/>
      <c r="H376" s="3"/>
      <c r="I376" s="36" t="s">
        <v>431</v>
      </c>
      <c r="J376" s="2"/>
      <c r="K376" s="2" t="s">
        <v>432</v>
      </c>
      <c r="L376" s="3"/>
      <c r="M376" s="8"/>
      <c r="N376" s="3"/>
      <c r="O376" s="8"/>
      <c r="P376" s="3"/>
      <c r="Q376" s="13"/>
      <c r="R376" s="3"/>
    </row>
    <row r="377" spans="1:18">
      <c r="A377" s="14"/>
      <c r="B377" s="9"/>
      <c r="C377" s="10" t="str">
        <f t="shared" si="64"/>
        <v/>
      </c>
      <c r="D377" s="9"/>
      <c r="E377" s="9" t="str">
        <f t="shared" si="65"/>
        <v/>
      </c>
      <c r="F377" s="9"/>
      <c r="G377" s="3"/>
      <c r="H377" s="3"/>
      <c r="I377" s="2"/>
      <c r="J377" s="2"/>
      <c r="K377" s="2"/>
      <c r="L377" s="3"/>
      <c r="M377" s="8"/>
      <c r="N377" s="3"/>
      <c r="O377" s="8"/>
      <c r="P377" s="3"/>
      <c r="Q377" s="13"/>
      <c r="R377" s="3"/>
    </row>
    <row r="378" spans="1:18">
      <c r="A378" s="14"/>
      <c r="B378" s="9"/>
      <c r="C378" s="10" t="str">
        <f t="shared" si="64"/>
        <v>PRODUCER FOR  3BEEP</v>
      </c>
      <c r="D378" s="9"/>
      <c r="E378" s="9" t="str">
        <f t="shared" si="65"/>
        <v>TIM WERENKO</v>
      </c>
      <c r="F378" s="9"/>
      <c r="G378" s="3"/>
      <c r="H378" s="3"/>
      <c r="I378" s="36" t="s">
        <v>433</v>
      </c>
      <c r="J378" s="2"/>
      <c r="K378" s="2" t="s">
        <v>434</v>
      </c>
      <c r="L378" s="3"/>
      <c r="M378" s="8"/>
      <c r="N378" s="3"/>
      <c r="O378" s="8"/>
      <c r="P378" s="3"/>
      <c r="Q378" s="13"/>
      <c r="R378" s="3"/>
    </row>
    <row r="379" spans="1:18">
      <c r="A379" s="14"/>
      <c r="B379" s="9"/>
      <c r="C379" s="10" t="str">
        <f t="shared" si="64"/>
        <v/>
      </c>
      <c r="D379" s="9"/>
      <c r="E379" s="9" t="str">
        <f t="shared" si="65"/>
        <v>TOM WAYLAND</v>
      </c>
      <c r="F379" s="9"/>
      <c r="G379" s="3"/>
      <c r="H379" s="3"/>
      <c r="I379" s="2"/>
      <c r="J379" s="2"/>
      <c r="K379" s="2" t="s">
        <v>58</v>
      </c>
      <c r="L379" s="3"/>
      <c r="M379" s="8"/>
      <c r="N379" s="3"/>
      <c r="O379" s="8"/>
      <c r="P379" s="3"/>
      <c r="Q379" s="13"/>
      <c r="R379" s="3"/>
    </row>
    <row r="380" spans="1:18">
      <c r="A380" s="14"/>
      <c r="B380" s="9"/>
      <c r="C380" s="10" t="str">
        <f t="shared" si="64"/>
        <v/>
      </c>
      <c r="D380" s="9"/>
      <c r="E380" s="9" t="str">
        <f t="shared" si="65"/>
        <v/>
      </c>
      <c r="F380" s="9"/>
      <c r="G380" s="3"/>
      <c r="H380" s="3"/>
      <c r="I380" s="8"/>
      <c r="J380" s="3"/>
      <c r="K380" s="13"/>
      <c r="L380" s="3"/>
      <c r="M380" s="8"/>
      <c r="N380" s="8"/>
      <c r="O380" s="8"/>
      <c r="P380" s="3"/>
      <c r="Q380" s="3"/>
      <c r="R380" s="3"/>
    </row>
    <row r="381" spans="1:18">
      <c r="A381" s="14"/>
      <c r="B381" s="11"/>
      <c r="C381" s="12"/>
      <c r="D381" s="11"/>
      <c r="E381" s="11"/>
      <c r="F381" s="11"/>
      <c r="G381" s="3"/>
      <c r="H381" s="3"/>
      <c r="I381" s="8"/>
      <c r="J381" s="3"/>
      <c r="K381" s="13"/>
      <c r="L381" s="3"/>
      <c r="M381" s="3"/>
      <c r="N381" s="3"/>
      <c r="O381" s="8"/>
      <c r="P381" s="3"/>
      <c r="Q381" s="3"/>
      <c r="R381" s="3"/>
    </row>
    <row r="382" spans="1:18">
      <c r="A382" s="14"/>
      <c r="B382" s="6"/>
      <c r="C382" s="6"/>
      <c r="D382" s="6"/>
      <c r="E382" s="6"/>
      <c r="F382" s="6"/>
      <c r="G382" s="3"/>
      <c r="H382" s="5"/>
      <c r="I382" s="5"/>
      <c r="J382" s="5"/>
      <c r="K382" s="5"/>
      <c r="L382" s="5"/>
      <c r="M382" s="8"/>
      <c r="N382" s="8"/>
      <c r="O382" s="8"/>
      <c r="P382" s="3"/>
      <c r="Q382" s="3"/>
      <c r="R382" s="3"/>
    </row>
    <row r="383" spans="1:18">
      <c r="A383" s="14"/>
      <c r="B383" s="150" t="str">
        <f>UPPER(H383)</f>
        <v>POST PRODUCTION / ORIGINAL SCORES &amp; SONGS</v>
      </c>
      <c r="C383" s="141"/>
      <c r="D383" s="141"/>
      <c r="E383" s="141"/>
      <c r="F383" s="141"/>
      <c r="G383" s="28"/>
      <c r="H383" s="167" t="s">
        <v>435</v>
      </c>
      <c r="I383" s="141"/>
      <c r="J383" s="141"/>
      <c r="K383" s="141"/>
      <c r="L383" s="141"/>
      <c r="M383" s="29"/>
      <c r="N383" s="149" t="s">
        <v>888</v>
      </c>
      <c r="O383" s="141"/>
      <c r="P383" s="141"/>
      <c r="Q383" s="141"/>
      <c r="R383" s="141"/>
    </row>
    <row r="384" spans="1:18">
      <c r="A384" s="14"/>
      <c r="B384" s="9"/>
      <c r="C384" s="10" t="str">
        <f t="shared" ref="C384:C386" si="66">UPPER(I384)</f>
        <v>AUDIO POST PRODUCTION</v>
      </c>
      <c r="D384" s="9"/>
      <c r="E384" s="9" t="str">
        <f t="shared" ref="E384:E386" si="67">UPPER(K384)</f>
        <v>DOONG SOUND</v>
      </c>
      <c r="F384" s="9"/>
      <c r="G384" s="3"/>
      <c r="H384" s="3"/>
      <c r="I384" s="8" t="s">
        <v>436</v>
      </c>
      <c r="J384" s="3"/>
      <c r="K384" s="3" t="s">
        <v>437</v>
      </c>
      <c r="L384" s="3"/>
      <c r="M384" s="8"/>
      <c r="N384" s="3"/>
      <c r="O384" s="8" t="s">
        <v>889</v>
      </c>
      <c r="P384" s="3"/>
      <c r="Q384" s="3" t="s">
        <v>883</v>
      </c>
      <c r="R384" s="3"/>
    </row>
    <row r="385" spans="1:18">
      <c r="A385" s="14"/>
      <c r="B385" s="6"/>
      <c r="C385" s="10" t="str">
        <f t="shared" si="66"/>
        <v>SOUND SUPERVISOR</v>
      </c>
      <c r="D385" s="9"/>
      <c r="E385" s="9" t="str">
        <f t="shared" si="67"/>
        <v>JEONGYOUNG PARK</v>
      </c>
      <c r="F385" s="6"/>
      <c r="G385" s="3"/>
      <c r="H385" s="3"/>
      <c r="I385" s="8" t="s">
        <v>438</v>
      </c>
      <c r="J385" s="3"/>
      <c r="K385" s="3" t="s">
        <v>439</v>
      </c>
      <c r="L385" s="3"/>
      <c r="M385" s="8"/>
      <c r="N385" s="3"/>
      <c r="O385" s="8" t="s">
        <v>890</v>
      </c>
      <c r="P385" s="3"/>
      <c r="Q385" s="3" t="s">
        <v>891</v>
      </c>
      <c r="R385" s="3"/>
    </row>
    <row r="386" spans="1:18">
      <c r="A386" s="14"/>
      <c r="B386" s="6"/>
      <c r="C386" s="10" t="str">
        <f t="shared" si="66"/>
        <v>SOUND PRODUCTION MANAGER</v>
      </c>
      <c r="D386" s="9"/>
      <c r="E386" s="9" t="str">
        <f t="shared" si="67"/>
        <v>HYEJEONG HWANG</v>
      </c>
      <c r="F386" s="6"/>
      <c r="G386" s="3"/>
      <c r="H386" s="3"/>
      <c r="I386" s="8" t="s">
        <v>440</v>
      </c>
      <c r="J386" s="3"/>
      <c r="K386" s="3" t="s">
        <v>441</v>
      </c>
      <c r="L386" s="3"/>
      <c r="M386" s="8"/>
      <c r="N386" s="3"/>
      <c r="O386" s="8" t="s">
        <v>892</v>
      </c>
      <c r="P386" s="3"/>
      <c r="Q386" s="3" t="s">
        <v>885</v>
      </c>
      <c r="R386" s="3"/>
    </row>
    <row r="387" spans="1:18">
      <c r="A387" s="14"/>
      <c r="B387" s="6"/>
      <c r="C387" s="6"/>
      <c r="D387" s="6"/>
      <c r="E387" s="6"/>
      <c r="F387" s="6"/>
      <c r="G387" s="3"/>
      <c r="H387" s="3"/>
      <c r="I387" s="8"/>
      <c r="J387" s="3"/>
      <c r="K387" s="3"/>
      <c r="L387" s="3"/>
      <c r="M387" s="8"/>
      <c r="N387" s="8"/>
      <c r="O387" s="8"/>
      <c r="P387" s="3"/>
      <c r="Q387" s="3"/>
      <c r="R387" s="3"/>
    </row>
    <row r="388" spans="1:18">
      <c r="A388" s="14"/>
      <c r="B388" s="6"/>
      <c r="C388" s="6"/>
      <c r="D388" s="6"/>
      <c r="E388" s="6"/>
      <c r="F388" s="6"/>
      <c r="G388" s="3"/>
      <c r="H388" s="3"/>
      <c r="I388" s="8"/>
      <c r="J388" s="3"/>
      <c r="K388" s="3"/>
      <c r="L388" s="3"/>
      <c r="M388" s="8"/>
      <c r="N388" s="149"/>
      <c r="O388" s="141"/>
      <c r="P388" s="141"/>
      <c r="Q388" s="141"/>
      <c r="R388" s="141"/>
    </row>
    <row r="389" spans="1:18">
      <c r="A389" s="14"/>
      <c r="B389" s="146" t="str">
        <f>UPPER(H389)</f>
        <v>SOUND</v>
      </c>
      <c r="C389" s="141"/>
      <c r="D389" s="141"/>
      <c r="E389" s="141"/>
      <c r="F389" s="141"/>
      <c r="G389" s="3"/>
      <c r="H389" s="149" t="s">
        <v>442</v>
      </c>
      <c r="I389" s="141"/>
      <c r="J389" s="141"/>
      <c r="K389" s="141"/>
      <c r="L389" s="141"/>
      <c r="M389" s="8"/>
      <c r="N389" s="149" t="s">
        <v>893</v>
      </c>
      <c r="O389" s="141"/>
      <c r="P389" s="141"/>
      <c r="Q389" s="141"/>
      <c r="R389" s="141"/>
    </row>
    <row r="390" spans="1:18">
      <c r="A390" s="14"/>
      <c r="B390" s="9"/>
      <c r="C390" s="10" t="str">
        <f t="shared" ref="C390:C392" si="68">UPPER(I390)</f>
        <v>CHIEF SOUND DESIGNER &amp; EFFECTS &amp; EDITOR</v>
      </c>
      <c r="D390" s="9"/>
      <c r="E390" s="9" t="str">
        <f t="shared" ref="E390:E392" si="69">UPPER(K390)</f>
        <v>HYEJEONG HWANG</v>
      </c>
      <c r="F390" s="9"/>
      <c r="G390" s="3"/>
      <c r="H390" s="8"/>
      <c r="I390" s="8" t="s">
        <v>443</v>
      </c>
      <c r="J390" s="3"/>
      <c r="K390" s="3" t="s">
        <v>441</v>
      </c>
      <c r="L390" s="3"/>
      <c r="M390" s="8"/>
      <c r="N390" s="3"/>
      <c r="O390" s="8" t="s">
        <v>894</v>
      </c>
      <c r="P390" s="3"/>
      <c r="Q390" s="3" t="s">
        <v>885</v>
      </c>
      <c r="R390" s="3"/>
    </row>
    <row r="391" spans="1:18">
      <c r="A391" s="14"/>
      <c r="B391" s="9"/>
      <c r="C391" s="10" t="str">
        <f t="shared" si="68"/>
        <v>VOICE EDITOR</v>
      </c>
      <c r="D391" s="9"/>
      <c r="E391" s="9" t="str">
        <f t="shared" si="69"/>
        <v>HYEJEONG HWANG</v>
      </c>
      <c r="F391" s="9"/>
      <c r="G391" s="3"/>
      <c r="H391" s="8"/>
      <c r="I391" s="8" t="s">
        <v>444</v>
      </c>
      <c r="J391" s="3"/>
      <c r="K391" s="3" t="s">
        <v>441</v>
      </c>
      <c r="L391" s="3"/>
      <c r="M391" s="8"/>
      <c r="N391" s="3"/>
      <c r="O391" s="8" t="s">
        <v>895</v>
      </c>
      <c r="P391" s="3"/>
      <c r="Q391" s="3" t="s">
        <v>885</v>
      </c>
      <c r="R391" s="3"/>
    </row>
    <row r="392" spans="1:18">
      <c r="A392" s="14"/>
      <c r="B392" s="9"/>
      <c r="C392" s="10" t="str">
        <f t="shared" si="68"/>
        <v>MIXING &amp; MASTERING</v>
      </c>
      <c r="D392" s="9"/>
      <c r="E392" s="9" t="str">
        <f t="shared" si="69"/>
        <v>HYEJEONG HWANG</v>
      </c>
      <c r="F392" s="9"/>
      <c r="G392" s="3"/>
      <c r="H392" s="8"/>
      <c r="I392" s="8" t="s">
        <v>445</v>
      </c>
      <c r="J392" s="3"/>
      <c r="K392" s="3" t="s">
        <v>441</v>
      </c>
      <c r="L392" s="3"/>
      <c r="M392" s="8"/>
      <c r="N392" s="3"/>
      <c r="O392" s="8" t="s">
        <v>896</v>
      </c>
      <c r="P392" s="3"/>
      <c r="Q392" s="3" t="s">
        <v>885</v>
      </c>
      <c r="R392" s="3"/>
    </row>
    <row r="393" spans="1:18">
      <c r="A393" s="14"/>
      <c r="B393" s="9"/>
      <c r="C393" s="9"/>
      <c r="D393" s="9"/>
      <c r="E393" s="9"/>
      <c r="F393" s="9"/>
      <c r="G393" s="3"/>
      <c r="H393" s="8"/>
      <c r="I393" s="8"/>
      <c r="J393" s="3"/>
      <c r="K393" s="3" t="s">
        <v>439</v>
      </c>
      <c r="L393" s="3"/>
      <c r="M393" s="8"/>
      <c r="N393" s="3"/>
      <c r="O393" s="8"/>
      <c r="P393" s="3"/>
      <c r="Q393" s="3" t="s">
        <v>891</v>
      </c>
      <c r="R393" s="3"/>
    </row>
    <row r="394" spans="1:18">
      <c r="A394" s="14"/>
      <c r="B394" s="9"/>
      <c r="C394" s="9"/>
      <c r="D394" s="9"/>
      <c r="E394" s="9"/>
      <c r="F394" s="9"/>
      <c r="G394" s="3"/>
      <c r="H394" s="8"/>
      <c r="I394" s="8"/>
      <c r="J394" s="3"/>
      <c r="K394" s="3"/>
      <c r="L394" s="3"/>
      <c r="M394" s="8"/>
      <c r="N394" s="149"/>
      <c r="O394" s="141"/>
      <c r="P394" s="141"/>
      <c r="Q394" s="141"/>
      <c r="R394" s="141"/>
    </row>
    <row r="395" spans="1:18">
      <c r="A395" s="14"/>
      <c r="B395" s="9"/>
      <c r="C395" s="9"/>
      <c r="D395" s="9"/>
      <c r="E395" s="9"/>
      <c r="F395" s="9"/>
      <c r="G395" s="3"/>
      <c r="H395" s="8"/>
      <c r="I395" s="8"/>
      <c r="J395" s="3"/>
      <c r="K395" s="3"/>
      <c r="L395" s="3"/>
      <c r="M395" s="8"/>
      <c r="N395" s="8"/>
      <c r="O395" s="8"/>
      <c r="P395" s="3"/>
      <c r="Q395" s="3"/>
      <c r="R395" s="3"/>
    </row>
    <row r="396" spans="1:18">
      <c r="A396" s="14"/>
      <c r="B396" s="146" t="str">
        <f>UPPER(H396)</f>
        <v>ORIGINAL SCORE</v>
      </c>
      <c r="C396" s="141"/>
      <c r="D396" s="141"/>
      <c r="E396" s="141"/>
      <c r="F396" s="141"/>
      <c r="G396" s="3"/>
      <c r="H396" s="149" t="s">
        <v>446</v>
      </c>
      <c r="I396" s="141"/>
      <c r="J396" s="141"/>
      <c r="K396" s="141"/>
      <c r="L396" s="141"/>
      <c r="M396" s="8"/>
      <c r="N396" s="149" t="s">
        <v>897</v>
      </c>
      <c r="O396" s="141"/>
      <c r="P396" s="141"/>
      <c r="Q396" s="141"/>
      <c r="R396" s="141"/>
    </row>
    <row r="397" spans="1:18">
      <c r="A397" s="14"/>
      <c r="B397" s="9"/>
      <c r="C397" s="10" t="str">
        <f>UPPER(I397)</f>
        <v>MUSIC SUPERVISOR</v>
      </c>
      <c r="D397" s="9"/>
      <c r="E397" s="9" t="str">
        <f t="shared" ref="E397:E406" si="70">UPPER(K397)</f>
        <v>YOONHO KIM</v>
      </c>
      <c r="F397" s="9"/>
      <c r="G397" s="3"/>
      <c r="H397" s="8"/>
      <c r="I397" s="8" t="s">
        <v>447</v>
      </c>
      <c r="J397" s="3"/>
      <c r="K397" s="3" t="s">
        <v>448</v>
      </c>
      <c r="L397" s="3"/>
      <c r="M397" s="8"/>
      <c r="N397" s="3"/>
      <c r="O397" s="8" t="s">
        <v>898</v>
      </c>
      <c r="P397" s="3"/>
      <c r="Q397" s="3" t="s">
        <v>899</v>
      </c>
      <c r="R397" s="3"/>
    </row>
    <row r="398" spans="1:18">
      <c r="A398" s="14"/>
      <c r="B398" s="9"/>
      <c r="C398" s="9"/>
      <c r="D398" s="9"/>
      <c r="E398" s="9" t="str">
        <f t="shared" si="70"/>
        <v>SIEUN KIM</v>
      </c>
      <c r="F398" s="9"/>
      <c r="G398" s="3"/>
      <c r="H398" s="8"/>
      <c r="I398" s="8" t="s">
        <v>449</v>
      </c>
      <c r="J398" s="3"/>
      <c r="K398" s="3" t="s">
        <v>450</v>
      </c>
      <c r="L398" s="3"/>
      <c r="M398" s="8"/>
      <c r="N398" s="3"/>
      <c r="O398" s="8" t="s">
        <v>900</v>
      </c>
      <c r="P398" s="3"/>
      <c r="Q398" s="3" t="s">
        <v>901</v>
      </c>
      <c r="R398" s="3"/>
    </row>
    <row r="399" spans="1:18">
      <c r="A399" s="14"/>
      <c r="B399" s="9"/>
      <c r="C399" s="10" t="str">
        <f>UPPER(I399)</f>
        <v>ADDITIONAL COMPOSER</v>
      </c>
      <c r="D399" s="9"/>
      <c r="E399" s="9" t="str">
        <f t="shared" si="70"/>
        <v>NAYEON LEE</v>
      </c>
      <c r="F399" s="9"/>
      <c r="G399" s="3"/>
      <c r="H399" s="8"/>
      <c r="I399" s="8" t="s">
        <v>451</v>
      </c>
      <c r="J399" s="3"/>
      <c r="K399" s="22" t="s">
        <v>452</v>
      </c>
      <c r="L399" s="3"/>
      <c r="M399" s="8"/>
      <c r="N399" s="3"/>
      <c r="O399" s="8" t="s">
        <v>902</v>
      </c>
      <c r="P399" s="3"/>
      <c r="Q399" s="3" t="s">
        <v>903</v>
      </c>
      <c r="R399" s="3"/>
    </row>
    <row r="400" spans="1:18">
      <c r="A400" s="14"/>
      <c r="B400" s="9"/>
      <c r="C400" s="10"/>
      <c r="D400" s="9"/>
      <c r="E400" s="9" t="str">
        <f t="shared" si="70"/>
        <v>DOLLY HWANG</v>
      </c>
      <c r="F400" s="9"/>
      <c r="G400" s="3"/>
      <c r="H400" s="8"/>
      <c r="I400" s="8"/>
      <c r="J400" s="3"/>
      <c r="K400" s="22" t="s">
        <v>453</v>
      </c>
      <c r="L400" s="3"/>
      <c r="M400" s="8"/>
      <c r="N400" s="3"/>
      <c r="O400" s="3"/>
      <c r="P400" s="3"/>
      <c r="Q400" s="20" t="s">
        <v>453</v>
      </c>
      <c r="R400" s="3"/>
    </row>
    <row r="401" spans="1:18">
      <c r="A401" s="14"/>
      <c r="B401" s="9"/>
      <c r="C401" s="10"/>
      <c r="D401" s="9"/>
      <c r="E401" s="9" t="str">
        <f t="shared" si="70"/>
        <v>HAEHOON LEE</v>
      </c>
      <c r="F401" s="9"/>
      <c r="G401" s="3"/>
      <c r="H401" s="8"/>
      <c r="I401" s="8"/>
      <c r="J401" s="3"/>
      <c r="K401" s="24" t="s">
        <v>454</v>
      </c>
      <c r="L401" s="3"/>
      <c r="M401" s="8"/>
      <c r="N401" s="3"/>
      <c r="O401" s="3"/>
      <c r="P401" s="3"/>
      <c r="Q401" s="3" t="s">
        <v>904</v>
      </c>
      <c r="R401" s="3"/>
    </row>
    <row r="402" spans="1:18">
      <c r="A402" s="14"/>
      <c r="B402" s="9"/>
      <c r="C402" s="10"/>
      <c r="D402" s="9"/>
      <c r="E402" s="9" t="str">
        <f t="shared" si="70"/>
        <v>SOYOUNG KWON</v>
      </c>
      <c r="F402" s="9"/>
      <c r="G402" s="3"/>
      <c r="H402" s="8"/>
      <c r="I402" s="8"/>
      <c r="J402" s="3"/>
      <c r="K402" s="22" t="s">
        <v>455</v>
      </c>
      <c r="L402" s="3"/>
      <c r="M402" s="8"/>
      <c r="N402" s="8"/>
      <c r="O402" s="8"/>
      <c r="P402" s="3"/>
      <c r="Q402" s="3" t="s">
        <v>905</v>
      </c>
      <c r="R402" s="3"/>
    </row>
    <row r="403" spans="1:18">
      <c r="A403" s="14"/>
      <c r="B403" s="9"/>
      <c r="C403" s="10"/>
      <c r="D403" s="9"/>
      <c r="E403" s="9" t="str">
        <f t="shared" si="70"/>
        <v>BUMPIZ</v>
      </c>
      <c r="F403" s="9"/>
      <c r="G403" s="3"/>
      <c r="H403" s="8"/>
      <c r="I403" s="8"/>
      <c r="J403" s="3"/>
      <c r="K403" s="22" t="s">
        <v>456</v>
      </c>
      <c r="L403" s="3"/>
      <c r="M403" s="8"/>
      <c r="N403" s="8"/>
      <c r="O403" s="21"/>
      <c r="P403" s="3"/>
      <c r="Q403" s="3" t="s">
        <v>456</v>
      </c>
      <c r="R403" s="3"/>
    </row>
    <row r="404" spans="1:18">
      <c r="A404" s="14"/>
      <c r="B404" s="9"/>
      <c r="C404" s="10"/>
      <c r="D404" s="9"/>
      <c r="E404" s="9" t="str">
        <f t="shared" si="70"/>
        <v>YEONGHUN YUN</v>
      </c>
      <c r="F404" s="9"/>
      <c r="G404" s="3"/>
      <c r="H404" s="8"/>
      <c r="I404" s="8"/>
      <c r="J404" s="3"/>
      <c r="K404" s="22" t="s">
        <v>457</v>
      </c>
      <c r="L404" s="3"/>
      <c r="M404" s="8"/>
      <c r="N404" s="8"/>
      <c r="O404" s="21"/>
      <c r="P404" s="3"/>
      <c r="Q404" s="3" t="s">
        <v>906</v>
      </c>
      <c r="R404" s="3"/>
    </row>
    <row r="405" spans="1:18">
      <c r="A405" s="14"/>
      <c r="B405" s="9"/>
      <c r="C405" s="10"/>
      <c r="D405" s="9"/>
      <c r="E405" s="9" t="str">
        <f t="shared" si="70"/>
        <v>JIAE YU</v>
      </c>
      <c r="F405" s="9"/>
      <c r="G405" s="3"/>
      <c r="H405" s="8"/>
      <c r="I405" s="8"/>
      <c r="J405" s="3"/>
      <c r="K405" s="22" t="s">
        <v>458</v>
      </c>
      <c r="L405" s="3"/>
      <c r="M405" s="8"/>
      <c r="N405" s="8"/>
      <c r="O405" s="21"/>
      <c r="P405" s="3"/>
      <c r="Q405" s="3" t="s">
        <v>907</v>
      </c>
      <c r="R405" s="3"/>
    </row>
    <row r="406" spans="1:18">
      <c r="A406" s="14"/>
      <c r="B406" s="9"/>
      <c r="C406" s="9"/>
      <c r="D406" s="9"/>
      <c r="E406" s="9" t="str">
        <f t="shared" si="70"/>
        <v/>
      </c>
      <c r="F406" s="9"/>
      <c r="G406" s="3"/>
      <c r="H406" s="8"/>
      <c r="I406" s="8"/>
      <c r="J406" s="3"/>
      <c r="K406" s="22"/>
      <c r="L406" s="3"/>
      <c r="M406" s="8"/>
      <c r="N406" s="8"/>
      <c r="O406" s="8"/>
      <c r="P406" s="3"/>
      <c r="Q406" s="3"/>
      <c r="R406" s="3"/>
    </row>
    <row r="407" spans="1:18">
      <c r="A407" s="14"/>
      <c r="B407" s="11"/>
      <c r="C407" s="11"/>
      <c r="D407" s="11"/>
      <c r="E407" s="11"/>
      <c r="F407" s="11"/>
      <c r="G407" s="3"/>
      <c r="H407" s="8"/>
      <c r="I407" s="8"/>
      <c r="J407" s="3"/>
      <c r="K407" s="3"/>
      <c r="L407" s="3"/>
      <c r="M407" s="8"/>
      <c r="N407" s="8"/>
      <c r="O407" s="8"/>
      <c r="P407" s="3"/>
      <c r="Q407" s="3"/>
      <c r="R407" s="3"/>
    </row>
    <row r="408" spans="1:18">
      <c r="A408" s="14"/>
      <c r="B408" s="6"/>
      <c r="C408" s="6"/>
      <c r="D408" s="6"/>
      <c r="E408" s="6"/>
      <c r="F408" s="6"/>
      <c r="G408" s="3"/>
      <c r="H408" s="74"/>
      <c r="I408" s="5"/>
      <c r="J408" s="5"/>
      <c r="K408" s="5"/>
      <c r="L408" s="74"/>
      <c r="M408" s="8"/>
      <c r="N408" s="8"/>
      <c r="O408" s="8"/>
      <c r="P408" s="3"/>
      <c r="Q408" s="3"/>
      <c r="R408" s="3"/>
    </row>
    <row r="409" spans="1:18">
      <c r="A409" s="14"/>
      <c r="B409" s="150" t="str">
        <f t="shared" ref="B409:B410" si="71">UPPER(H409)</f>
        <v>POST PRODUCTION / ORIGINAL SCORES &amp; SONGS</v>
      </c>
      <c r="C409" s="141"/>
      <c r="D409" s="141"/>
      <c r="E409" s="141"/>
      <c r="F409" s="141"/>
      <c r="G409" s="28"/>
      <c r="H409" s="167" t="s">
        <v>435</v>
      </c>
      <c r="I409" s="141"/>
      <c r="J409" s="141"/>
      <c r="K409" s="141"/>
      <c r="L409" s="141"/>
      <c r="M409" s="29"/>
      <c r="N409" s="149" t="s">
        <v>888</v>
      </c>
      <c r="O409" s="141"/>
      <c r="P409" s="141"/>
      <c r="Q409" s="141"/>
      <c r="R409" s="141"/>
    </row>
    <row r="410" spans="1:18">
      <c r="A410" s="14"/>
      <c r="B410" s="146" t="str">
        <f t="shared" si="71"/>
        <v>RECORDING SESSION</v>
      </c>
      <c r="C410" s="141"/>
      <c r="D410" s="141"/>
      <c r="E410" s="141"/>
      <c r="F410" s="141"/>
      <c r="G410" s="3"/>
      <c r="H410" s="151" t="s">
        <v>459</v>
      </c>
      <c r="I410" s="141"/>
      <c r="J410" s="141"/>
      <c r="K410" s="141"/>
      <c r="L410" s="141"/>
      <c r="M410" s="8"/>
      <c r="N410" s="151" t="s">
        <v>908</v>
      </c>
      <c r="O410" s="141"/>
      <c r="P410" s="141"/>
      <c r="Q410" s="141"/>
      <c r="R410" s="141"/>
    </row>
    <row r="411" spans="1:18">
      <c r="A411" s="14"/>
      <c r="B411" s="9"/>
      <c r="C411" s="10" t="str">
        <f t="shared" ref="C411:C427" si="72">UPPER(I411)</f>
        <v/>
      </c>
      <c r="D411" s="9"/>
      <c r="E411" s="9" t="str">
        <f t="shared" ref="E411:E427" si="73">UPPER(K411)</f>
        <v/>
      </c>
      <c r="F411" s="9"/>
      <c r="G411" s="3"/>
      <c r="H411" s="3"/>
      <c r="I411" s="30"/>
      <c r="J411" s="14"/>
      <c r="K411" s="22"/>
      <c r="L411" s="3"/>
      <c r="M411" s="8"/>
      <c r="N411" s="3"/>
      <c r="O411" s="8"/>
      <c r="P411" s="3"/>
      <c r="Q411" s="3"/>
      <c r="R411" s="3"/>
    </row>
    <row r="412" spans="1:18">
      <c r="A412" s="14"/>
      <c r="B412" s="9"/>
      <c r="C412" s="10" t="str">
        <f t="shared" si="72"/>
        <v>GUITAR</v>
      </c>
      <c r="D412" s="9"/>
      <c r="E412" s="9" t="str">
        <f t="shared" si="73"/>
        <v>DOLLY HWANG</v>
      </c>
      <c r="F412" s="9"/>
      <c r="G412" s="3"/>
      <c r="H412" s="3"/>
      <c r="I412" s="30" t="s">
        <v>460</v>
      </c>
      <c r="J412" s="14"/>
      <c r="K412" s="22" t="s">
        <v>453</v>
      </c>
      <c r="L412" s="3"/>
      <c r="M412" s="8"/>
      <c r="N412" s="3"/>
      <c r="O412" s="8" t="s">
        <v>909</v>
      </c>
      <c r="P412" s="3"/>
      <c r="Q412" s="20" t="s">
        <v>453</v>
      </c>
      <c r="R412" s="3"/>
    </row>
    <row r="413" spans="1:18">
      <c r="A413" s="14"/>
      <c r="B413" s="9"/>
      <c r="C413" s="10" t="str">
        <f t="shared" si="72"/>
        <v/>
      </c>
      <c r="D413" s="9"/>
      <c r="E413" s="9" t="str">
        <f t="shared" si="73"/>
        <v>BUMPIZ</v>
      </c>
      <c r="F413" s="9"/>
      <c r="G413" s="3"/>
      <c r="H413" s="3"/>
      <c r="I413" s="30"/>
      <c r="J413" s="14"/>
      <c r="K413" s="22" t="s">
        <v>456</v>
      </c>
      <c r="L413" s="3"/>
      <c r="M413" s="8"/>
      <c r="N413" s="3"/>
      <c r="O413" s="8"/>
      <c r="P413" s="3"/>
      <c r="Q413" s="3" t="s">
        <v>456</v>
      </c>
      <c r="R413" s="3"/>
    </row>
    <row r="414" spans="1:18">
      <c r="A414" s="14"/>
      <c r="B414" s="9"/>
      <c r="C414" s="10" t="str">
        <f t="shared" si="72"/>
        <v/>
      </c>
      <c r="D414" s="9"/>
      <c r="E414" s="9" t="str">
        <f t="shared" si="73"/>
        <v/>
      </c>
      <c r="F414" s="9"/>
      <c r="G414" s="3"/>
      <c r="H414" s="3"/>
      <c r="I414" s="30"/>
      <c r="J414" s="14"/>
      <c r="K414" s="22"/>
      <c r="L414" s="3"/>
      <c r="M414" s="8"/>
      <c r="N414" s="3"/>
      <c r="O414" s="8"/>
      <c r="P414" s="3"/>
      <c r="Q414" s="3"/>
      <c r="R414" s="3"/>
    </row>
    <row r="415" spans="1:18">
      <c r="A415" s="14"/>
      <c r="B415" s="9"/>
      <c r="C415" s="10" t="str">
        <f t="shared" si="72"/>
        <v>BASS</v>
      </c>
      <c r="D415" s="9"/>
      <c r="E415" s="9" t="str">
        <f t="shared" si="73"/>
        <v>DOLLY HWANG</v>
      </c>
      <c r="F415" s="9"/>
      <c r="G415" s="3"/>
      <c r="H415" s="3"/>
      <c r="I415" s="30" t="s">
        <v>461</v>
      </c>
      <c r="J415" s="14"/>
      <c r="K415" s="22" t="s">
        <v>453</v>
      </c>
      <c r="L415" s="3"/>
      <c r="M415" s="8"/>
      <c r="N415" s="3"/>
      <c r="O415" s="8" t="s">
        <v>910</v>
      </c>
      <c r="P415" s="3"/>
      <c r="Q415" s="20" t="s">
        <v>453</v>
      </c>
      <c r="R415" s="3"/>
    </row>
    <row r="416" spans="1:18">
      <c r="A416" s="14"/>
      <c r="B416" s="9"/>
      <c r="C416" s="10" t="str">
        <f t="shared" si="72"/>
        <v/>
      </c>
      <c r="D416" s="9"/>
      <c r="E416" s="9" t="str">
        <f t="shared" si="73"/>
        <v>BUMPIZ</v>
      </c>
      <c r="F416" s="9"/>
      <c r="G416" s="3"/>
      <c r="H416" s="3"/>
      <c r="I416" s="24"/>
      <c r="J416" s="14"/>
      <c r="K416" s="22" t="s">
        <v>456</v>
      </c>
      <c r="L416" s="3"/>
      <c r="M416" s="8"/>
      <c r="N416" s="3"/>
      <c r="O416" s="3"/>
      <c r="P416" s="3"/>
      <c r="Q416" s="3" t="s">
        <v>456</v>
      </c>
      <c r="R416" s="3"/>
    </row>
    <row r="417" spans="1:18">
      <c r="A417" s="14"/>
      <c r="B417" s="9"/>
      <c r="C417" s="10" t="str">
        <f t="shared" si="72"/>
        <v/>
      </c>
      <c r="D417" s="9"/>
      <c r="E417" s="9" t="str">
        <f t="shared" si="73"/>
        <v/>
      </c>
      <c r="F417" s="9"/>
      <c r="G417" s="3"/>
      <c r="H417" s="3"/>
      <c r="I417" s="30"/>
      <c r="J417" s="14"/>
      <c r="K417" s="22"/>
      <c r="L417" s="3"/>
      <c r="M417" s="8"/>
      <c r="N417" s="3"/>
      <c r="O417" s="3"/>
      <c r="P417" s="3"/>
      <c r="Q417" s="3"/>
      <c r="R417" s="3"/>
    </row>
    <row r="418" spans="1:18">
      <c r="A418" s="14"/>
      <c r="B418" s="9"/>
      <c r="C418" s="10" t="str">
        <f t="shared" si="72"/>
        <v>KEYBOARD</v>
      </c>
      <c r="D418" s="9"/>
      <c r="E418" s="9" t="str">
        <f t="shared" si="73"/>
        <v>YOONHO KIM</v>
      </c>
      <c r="F418" s="9"/>
      <c r="G418" s="3"/>
      <c r="H418" s="3"/>
      <c r="I418" s="30" t="s">
        <v>462</v>
      </c>
      <c r="J418" s="14"/>
      <c r="K418" s="22" t="s">
        <v>448</v>
      </c>
      <c r="L418" s="3"/>
      <c r="M418" s="8"/>
      <c r="N418" s="3"/>
      <c r="O418" s="8" t="s">
        <v>911</v>
      </c>
      <c r="P418" s="3"/>
      <c r="Q418" s="3" t="s">
        <v>899</v>
      </c>
      <c r="R418" s="3"/>
    </row>
    <row r="419" spans="1:18">
      <c r="A419" s="14"/>
      <c r="B419" s="9"/>
      <c r="C419" s="10" t="str">
        <f t="shared" si="72"/>
        <v/>
      </c>
      <c r="D419" s="9"/>
      <c r="E419" s="9" t="str">
        <f t="shared" si="73"/>
        <v>SIEUN KIM</v>
      </c>
      <c r="F419" s="9"/>
      <c r="G419" s="3"/>
      <c r="H419" s="3"/>
      <c r="I419" s="44"/>
      <c r="J419" s="14"/>
      <c r="K419" s="22" t="s">
        <v>463</v>
      </c>
      <c r="L419" s="3"/>
      <c r="M419" s="8"/>
      <c r="N419" s="3"/>
      <c r="O419" s="3"/>
      <c r="P419" s="3"/>
      <c r="Q419" s="3" t="s">
        <v>901</v>
      </c>
      <c r="R419" s="3"/>
    </row>
    <row r="420" spans="1:18">
      <c r="A420" s="14"/>
      <c r="B420" s="9"/>
      <c r="C420" s="10" t="str">
        <f t="shared" si="72"/>
        <v/>
      </c>
      <c r="D420" s="9"/>
      <c r="E420" s="9" t="str">
        <f t="shared" si="73"/>
        <v>DOLLY HWANG</v>
      </c>
      <c r="F420" s="9"/>
      <c r="G420" s="3"/>
      <c r="H420" s="3"/>
      <c r="I420" s="44"/>
      <c r="J420" s="14"/>
      <c r="K420" s="22" t="s">
        <v>453</v>
      </c>
      <c r="L420" s="3"/>
      <c r="M420" s="8"/>
      <c r="N420" s="3"/>
      <c r="O420" s="3"/>
      <c r="P420" s="3"/>
      <c r="Q420" s="20" t="s">
        <v>453</v>
      </c>
      <c r="R420" s="3"/>
    </row>
    <row r="421" spans="1:18">
      <c r="A421" s="14"/>
      <c r="B421" s="9"/>
      <c r="C421" s="10" t="str">
        <f t="shared" si="72"/>
        <v/>
      </c>
      <c r="D421" s="9"/>
      <c r="E421" s="9" t="str">
        <f t="shared" si="73"/>
        <v>HAEHOON LEE</v>
      </c>
      <c r="F421" s="9"/>
      <c r="G421" s="3"/>
      <c r="H421" s="3"/>
      <c r="I421" s="44"/>
      <c r="J421" s="14"/>
      <c r="K421" s="22" t="s">
        <v>454</v>
      </c>
      <c r="L421" s="3"/>
      <c r="M421" s="8"/>
      <c r="N421" s="3"/>
      <c r="O421" s="3"/>
      <c r="P421" s="3"/>
      <c r="Q421" s="3" t="s">
        <v>904</v>
      </c>
      <c r="R421" s="3"/>
    </row>
    <row r="422" spans="1:18">
      <c r="A422" s="14"/>
      <c r="B422" s="9"/>
      <c r="C422" s="10" t="str">
        <f t="shared" si="72"/>
        <v/>
      </c>
      <c r="D422" s="9"/>
      <c r="E422" s="9" t="str">
        <f t="shared" si="73"/>
        <v>NAYEON LEE</v>
      </c>
      <c r="F422" s="9"/>
      <c r="G422" s="3"/>
      <c r="H422" s="3"/>
      <c r="I422" s="44"/>
      <c r="J422" s="14"/>
      <c r="K422" s="22" t="s">
        <v>452</v>
      </c>
      <c r="L422" s="3"/>
      <c r="M422" s="8"/>
      <c r="N422" s="3"/>
      <c r="O422" s="3"/>
      <c r="P422" s="3"/>
      <c r="Q422" s="3" t="s">
        <v>903</v>
      </c>
      <c r="R422" s="3"/>
    </row>
    <row r="423" spans="1:18">
      <c r="A423" s="14"/>
      <c r="B423" s="9"/>
      <c r="C423" s="10" t="str">
        <f t="shared" si="72"/>
        <v/>
      </c>
      <c r="D423" s="9"/>
      <c r="E423" s="9" t="str">
        <f t="shared" si="73"/>
        <v>BUMPIZ</v>
      </c>
      <c r="F423" s="9"/>
      <c r="G423" s="3"/>
      <c r="H423" s="3"/>
      <c r="I423" s="44"/>
      <c r="J423" s="14"/>
      <c r="K423" s="22" t="s">
        <v>456</v>
      </c>
      <c r="L423" s="3"/>
      <c r="M423" s="8"/>
      <c r="N423" s="3"/>
      <c r="O423" s="3"/>
      <c r="P423" s="3"/>
      <c r="Q423" s="3" t="s">
        <v>456</v>
      </c>
      <c r="R423" s="3"/>
    </row>
    <row r="424" spans="1:18">
      <c r="A424" s="14"/>
      <c r="B424" s="9"/>
      <c r="C424" s="10" t="str">
        <f t="shared" si="72"/>
        <v/>
      </c>
      <c r="D424" s="9"/>
      <c r="E424" s="9" t="str">
        <f t="shared" si="73"/>
        <v>YEONGHUN YUN</v>
      </c>
      <c r="F424" s="9"/>
      <c r="G424" s="3"/>
      <c r="H424" s="3"/>
      <c r="I424" s="44"/>
      <c r="J424" s="14"/>
      <c r="K424" s="22" t="s">
        <v>457</v>
      </c>
      <c r="L424" s="3"/>
      <c r="M424" s="8"/>
      <c r="N424" s="3"/>
      <c r="O424" s="3"/>
      <c r="P424" s="3"/>
      <c r="Q424" s="3" t="s">
        <v>906</v>
      </c>
      <c r="R424" s="3"/>
    </row>
    <row r="425" spans="1:18">
      <c r="A425" s="14"/>
      <c r="B425" s="9"/>
      <c r="C425" s="10" t="str">
        <f t="shared" si="72"/>
        <v/>
      </c>
      <c r="D425" s="9"/>
      <c r="E425" s="9" t="str">
        <f t="shared" si="73"/>
        <v>JIAE YU</v>
      </c>
      <c r="F425" s="9"/>
      <c r="G425" s="3"/>
      <c r="H425" s="3"/>
      <c r="I425" s="44"/>
      <c r="J425" s="14"/>
      <c r="K425" s="22" t="s">
        <v>458</v>
      </c>
      <c r="L425" s="3"/>
      <c r="M425" s="8"/>
      <c r="N425" s="3"/>
      <c r="O425" s="3"/>
      <c r="P425" s="3"/>
      <c r="Q425" s="3" t="s">
        <v>907</v>
      </c>
      <c r="R425" s="3"/>
    </row>
    <row r="426" spans="1:18">
      <c r="A426" s="14"/>
      <c r="B426" s="9"/>
      <c r="C426" s="9" t="str">
        <f t="shared" si="72"/>
        <v/>
      </c>
      <c r="D426" s="9"/>
      <c r="E426" s="9" t="str">
        <f t="shared" si="73"/>
        <v/>
      </c>
      <c r="F426" s="9"/>
      <c r="G426" s="3"/>
      <c r="H426" s="3"/>
      <c r="I426" s="44"/>
      <c r="J426" s="14"/>
      <c r="K426" s="14"/>
      <c r="L426" s="3"/>
      <c r="M426" s="8"/>
      <c r="N426" s="8"/>
      <c r="O426" s="8"/>
      <c r="P426" s="3"/>
      <c r="Q426" s="3"/>
      <c r="R426" s="3"/>
    </row>
    <row r="427" spans="1:18">
      <c r="A427" s="14"/>
      <c r="B427" s="11"/>
      <c r="C427" s="11" t="str">
        <f t="shared" si="72"/>
        <v/>
      </c>
      <c r="D427" s="11"/>
      <c r="E427" s="11" t="str">
        <f t="shared" si="73"/>
        <v/>
      </c>
      <c r="F427" s="11"/>
      <c r="G427" s="3"/>
      <c r="H427" s="3"/>
      <c r="I427" s="8"/>
      <c r="J427" s="3"/>
      <c r="K427" s="3"/>
      <c r="L427" s="3"/>
      <c r="M427" s="8"/>
      <c r="N427" s="8"/>
      <c r="O427" s="8"/>
      <c r="P427" s="3"/>
      <c r="Q427" s="3"/>
      <c r="R427" s="3"/>
    </row>
    <row r="428" spans="1:18">
      <c r="A428" s="14"/>
      <c r="B428" s="6"/>
      <c r="C428" s="6"/>
      <c r="D428" s="6"/>
      <c r="E428" s="6"/>
      <c r="F428" s="6"/>
      <c r="G428" s="3"/>
      <c r="H428" s="74"/>
      <c r="I428" s="5"/>
      <c r="J428" s="5"/>
      <c r="K428" s="5"/>
      <c r="L428" s="74"/>
      <c r="M428" s="8"/>
      <c r="N428" s="8"/>
      <c r="O428" s="8"/>
      <c r="P428" s="3"/>
      <c r="Q428" s="3"/>
      <c r="R428" s="3"/>
    </row>
    <row r="429" spans="1:18">
      <c r="A429" s="14"/>
      <c r="B429" s="150" t="str">
        <f t="shared" ref="B429:B430" si="74">UPPER(H429)</f>
        <v>POST PRODUCTION / ORIGINAL SCORES &amp; SONGS</v>
      </c>
      <c r="C429" s="141"/>
      <c r="D429" s="141"/>
      <c r="E429" s="141"/>
      <c r="F429" s="141"/>
      <c r="G429" s="28"/>
      <c r="H429" s="167" t="s">
        <v>435</v>
      </c>
      <c r="I429" s="141"/>
      <c r="J429" s="141"/>
      <c r="K429" s="141"/>
      <c r="L429" s="141"/>
      <c r="M429" s="8"/>
      <c r="N429" s="149" t="s">
        <v>888</v>
      </c>
      <c r="O429" s="141"/>
      <c r="P429" s="141"/>
      <c r="Q429" s="141"/>
      <c r="R429" s="141"/>
    </row>
    <row r="430" spans="1:18">
      <c r="A430" s="14"/>
      <c r="B430" s="146" t="str">
        <f t="shared" si="74"/>
        <v>RECORDING SESSION</v>
      </c>
      <c r="C430" s="141"/>
      <c r="D430" s="141"/>
      <c r="E430" s="141"/>
      <c r="F430" s="141"/>
      <c r="G430" s="3"/>
      <c r="H430" s="151" t="s">
        <v>459</v>
      </c>
      <c r="I430" s="141"/>
      <c r="J430" s="141"/>
      <c r="K430" s="141"/>
      <c r="L430" s="141"/>
      <c r="M430" s="8"/>
      <c r="N430" s="151" t="s">
        <v>912</v>
      </c>
      <c r="O430" s="141"/>
      <c r="P430" s="141"/>
      <c r="Q430" s="141"/>
      <c r="R430" s="141"/>
    </row>
    <row r="431" spans="1:18">
      <c r="A431" s="14"/>
      <c r="B431" s="9"/>
      <c r="C431" s="10" t="str">
        <f t="shared" ref="C431:C445" si="75">UPPER(I431)</f>
        <v/>
      </c>
      <c r="D431" s="9"/>
      <c r="E431" s="9" t="str">
        <f t="shared" ref="E431:E445" si="76">UPPER(K431)</f>
        <v/>
      </c>
      <c r="F431" s="9"/>
      <c r="G431" s="3"/>
      <c r="H431" s="3"/>
      <c r="I431" s="30"/>
      <c r="J431" s="14"/>
      <c r="K431" s="22"/>
      <c r="L431" s="3"/>
      <c r="M431" s="8"/>
      <c r="N431" s="8"/>
      <c r="O431" s="21"/>
      <c r="P431" s="3"/>
      <c r="Q431" s="3"/>
      <c r="R431" s="3"/>
    </row>
    <row r="432" spans="1:18">
      <c r="A432" s="14"/>
      <c r="B432" s="9"/>
      <c r="C432" s="10" t="str">
        <f t="shared" si="75"/>
        <v>MUSIC PROGRAMING</v>
      </c>
      <c r="D432" s="9"/>
      <c r="E432" s="9" t="str">
        <f t="shared" si="76"/>
        <v>YOONHO KIM</v>
      </c>
      <c r="F432" s="9"/>
      <c r="G432" s="3"/>
      <c r="H432" s="3"/>
      <c r="I432" s="30" t="s">
        <v>464</v>
      </c>
      <c r="J432" s="14"/>
      <c r="K432" s="22" t="s">
        <v>448</v>
      </c>
      <c r="L432" s="3"/>
      <c r="M432" s="8"/>
      <c r="N432" s="8"/>
      <c r="O432" s="36" t="s">
        <v>913</v>
      </c>
      <c r="P432" s="2"/>
      <c r="Q432" s="2" t="s">
        <v>899</v>
      </c>
      <c r="R432" s="3"/>
    </row>
    <row r="433" spans="1:18">
      <c r="A433" s="14"/>
      <c r="B433" s="9"/>
      <c r="C433" s="10" t="str">
        <f t="shared" si="75"/>
        <v/>
      </c>
      <c r="D433" s="9"/>
      <c r="E433" s="9" t="str">
        <f t="shared" si="76"/>
        <v>SIEUN KIM</v>
      </c>
      <c r="F433" s="9"/>
      <c r="G433" s="3"/>
      <c r="H433" s="3"/>
      <c r="I433" s="44"/>
      <c r="J433" s="14"/>
      <c r="K433" s="22" t="s">
        <v>463</v>
      </c>
      <c r="L433" s="3"/>
      <c r="M433" s="8"/>
      <c r="N433" s="8"/>
      <c r="O433" s="2"/>
      <c r="P433" s="2"/>
      <c r="Q433" s="3" t="s">
        <v>901</v>
      </c>
      <c r="R433" s="3"/>
    </row>
    <row r="434" spans="1:18">
      <c r="A434" s="14"/>
      <c r="B434" s="9"/>
      <c r="C434" s="10" t="str">
        <f t="shared" si="75"/>
        <v/>
      </c>
      <c r="D434" s="9"/>
      <c r="E434" s="9" t="str">
        <f t="shared" si="76"/>
        <v>HAEHOON LEE</v>
      </c>
      <c r="F434" s="9"/>
      <c r="G434" s="3"/>
      <c r="H434" s="3"/>
      <c r="I434" s="44"/>
      <c r="J434" s="14"/>
      <c r="K434" s="22" t="s">
        <v>454</v>
      </c>
      <c r="L434" s="3"/>
      <c r="M434" s="8"/>
      <c r="N434" s="8"/>
      <c r="O434" s="2"/>
      <c r="P434" s="2"/>
      <c r="Q434" s="3" t="s">
        <v>904</v>
      </c>
      <c r="R434" s="3"/>
    </row>
    <row r="435" spans="1:18">
      <c r="A435" s="14"/>
      <c r="B435" s="9"/>
      <c r="C435" s="10" t="str">
        <f t="shared" si="75"/>
        <v/>
      </c>
      <c r="D435" s="9"/>
      <c r="E435" s="9" t="str">
        <f t="shared" si="76"/>
        <v>DOLLY HWANG</v>
      </c>
      <c r="F435" s="9"/>
      <c r="G435" s="3"/>
      <c r="H435" s="3"/>
      <c r="I435" s="44"/>
      <c r="J435" s="14"/>
      <c r="K435" s="22" t="s">
        <v>453</v>
      </c>
      <c r="L435" s="3"/>
      <c r="M435" s="8"/>
      <c r="N435" s="8"/>
      <c r="O435" s="2"/>
      <c r="P435" s="2"/>
      <c r="Q435" s="20" t="s">
        <v>453</v>
      </c>
      <c r="R435" s="3"/>
    </row>
    <row r="436" spans="1:18">
      <c r="A436" s="14"/>
      <c r="B436" s="9"/>
      <c r="C436" s="10" t="str">
        <f t="shared" si="75"/>
        <v/>
      </c>
      <c r="D436" s="9"/>
      <c r="E436" s="9" t="str">
        <f t="shared" si="76"/>
        <v>NAYEON LEE</v>
      </c>
      <c r="F436" s="9"/>
      <c r="G436" s="3"/>
      <c r="H436" s="3"/>
      <c r="I436" s="44"/>
      <c r="J436" s="14"/>
      <c r="K436" s="22" t="s">
        <v>452</v>
      </c>
      <c r="L436" s="3"/>
      <c r="M436" s="8"/>
      <c r="N436" s="8"/>
      <c r="O436" s="2"/>
      <c r="P436" s="2"/>
      <c r="Q436" s="3" t="s">
        <v>903</v>
      </c>
      <c r="R436" s="3"/>
    </row>
    <row r="437" spans="1:18">
      <c r="A437" s="14"/>
      <c r="B437" s="9"/>
      <c r="C437" s="10" t="str">
        <f t="shared" si="75"/>
        <v/>
      </c>
      <c r="D437" s="9"/>
      <c r="E437" s="9" t="str">
        <f t="shared" si="76"/>
        <v>BUMPIZ</v>
      </c>
      <c r="F437" s="9"/>
      <c r="G437" s="3"/>
      <c r="H437" s="3"/>
      <c r="I437" s="44"/>
      <c r="J437" s="14"/>
      <c r="K437" s="22" t="s">
        <v>456</v>
      </c>
      <c r="L437" s="3"/>
      <c r="M437" s="8"/>
      <c r="N437" s="8"/>
      <c r="O437" s="2"/>
      <c r="P437" s="2"/>
      <c r="Q437" s="3" t="s">
        <v>456</v>
      </c>
      <c r="R437" s="3"/>
    </row>
    <row r="438" spans="1:18">
      <c r="A438" s="14"/>
      <c r="B438" s="9"/>
      <c r="C438" s="10" t="str">
        <f t="shared" si="75"/>
        <v/>
      </c>
      <c r="D438" s="9"/>
      <c r="E438" s="9" t="str">
        <f t="shared" si="76"/>
        <v>SOYOUNG KWON</v>
      </c>
      <c r="F438" s="9"/>
      <c r="G438" s="3"/>
      <c r="H438" s="3"/>
      <c r="I438" s="44"/>
      <c r="J438" s="14"/>
      <c r="K438" s="22" t="s">
        <v>455</v>
      </c>
      <c r="L438" s="3"/>
      <c r="M438" s="8"/>
      <c r="N438" s="8"/>
      <c r="O438" s="36"/>
      <c r="P438" s="2"/>
      <c r="Q438" s="2" t="s">
        <v>905</v>
      </c>
      <c r="R438" s="3"/>
    </row>
    <row r="439" spans="1:18">
      <c r="A439" s="14"/>
      <c r="B439" s="9"/>
      <c r="C439" s="10" t="str">
        <f t="shared" si="75"/>
        <v/>
      </c>
      <c r="D439" s="9"/>
      <c r="E439" s="9" t="str">
        <f t="shared" si="76"/>
        <v/>
      </c>
      <c r="F439" s="9"/>
      <c r="G439" s="3"/>
      <c r="H439" s="3"/>
      <c r="I439" s="44"/>
      <c r="J439" s="14"/>
      <c r="K439" s="22"/>
      <c r="L439" s="3"/>
      <c r="M439" s="8"/>
      <c r="N439" s="8"/>
      <c r="O439" s="36"/>
      <c r="P439" s="2"/>
      <c r="Q439" s="2"/>
      <c r="R439" s="3"/>
    </row>
    <row r="440" spans="1:18">
      <c r="A440" s="14"/>
      <c r="B440" s="9"/>
      <c r="C440" s="10" t="str">
        <f t="shared" si="75"/>
        <v>RECORDING STUDIO</v>
      </c>
      <c r="D440" s="9"/>
      <c r="E440" s="9" t="str">
        <f t="shared" si="76"/>
        <v>DOONG SOUND</v>
      </c>
      <c r="F440" s="9"/>
      <c r="G440" s="3"/>
      <c r="H440" s="3"/>
      <c r="I440" s="30" t="s">
        <v>465</v>
      </c>
      <c r="J440" s="14"/>
      <c r="K440" s="22" t="s">
        <v>437</v>
      </c>
      <c r="L440" s="3"/>
      <c r="M440" s="8"/>
      <c r="N440" s="8"/>
      <c r="O440" s="36" t="s">
        <v>882</v>
      </c>
      <c r="P440" s="2"/>
      <c r="Q440" s="2" t="s">
        <v>883</v>
      </c>
      <c r="R440" s="3"/>
    </row>
    <row r="441" spans="1:18">
      <c r="A441" s="14"/>
      <c r="B441" s="9"/>
      <c r="C441" s="10" t="str">
        <f t="shared" si="75"/>
        <v/>
      </c>
      <c r="D441" s="9"/>
      <c r="E441" s="9" t="str">
        <f t="shared" si="76"/>
        <v/>
      </c>
      <c r="F441" s="9"/>
      <c r="G441" s="3"/>
      <c r="H441" s="3"/>
      <c r="I441" s="30"/>
      <c r="J441" s="14"/>
      <c r="K441" s="22"/>
      <c r="L441" s="3"/>
      <c r="M441" s="8"/>
      <c r="N441" s="8"/>
      <c r="O441" s="36"/>
      <c r="P441" s="2"/>
      <c r="Q441" s="2"/>
      <c r="R441" s="3"/>
    </row>
    <row r="442" spans="1:18">
      <c r="A442" s="14"/>
      <c r="B442" s="9"/>
      <c r="C442" s="10" t="str">
        <f t="shared" si="75"/>
        <v>RECORDING ENGINEER</v>
      </c>
      <c r="D442" s="9"/>
      <c r="E442" s="9" t="str">
        <f t="shared" si="76"/>
        <v>HYEJEONG HWANG</v>
      </c>
      <c r="F442" s="9"/>
      <c r="G442" s="3"/>
      <c r="H442" s="3"/>
      <c r="I442" s="30" t="s">
        <v>427</v>
      </c>
      <c r="J442" s="14"/>
      <c r="K442" s="22" t="s">
        <v>441</v>
      </c>
      <c r="L442" s="3"/>
      <c r="M442" s="8"/>
      <c r="N442" s="8"/>
      <c r="O442" s="36" t="s">
        <v>886</v>
      </c>
      <c r="P442" s="2"/>
      <c r="Q442" s="2" t="s">
        <v>885</v>
      </c>
      <c r="R442" s="3"/>
    </row>
    <row r="443" spans="1:18">
      <c r="A443" s="14"/>
      <c r="B443" s="9"/>
      <c r="C443" s="10" t="str">
        <f t="shared" si="75"/>
        <v/>
      </c>
      <c r="D443" s="9"/>
      <c r="E443" s="9" t="str">
        <f t="shared" si="76"/>
        <v>Q6</v>
      </c>
      <c r="F443" s="9"/>
      <c r="G443" s="3"/>
      <c r="H443" s="3"/>
      <c r="I443" s="44"/>
      <c r="J443" s="14"/>
      <c r="K443" s="22" t="s">
        <v>466</v>
      </c>
      <c r="L443" s="3"/>
      <c r="M443" s="8"/>
      <c r="N443" s="8"/>
      <c r="O443" s="2"/>
      <c r="P443" s="2"/>
      <c r="Q443" s="2" t="s">
        <v>466</v>
      </c>
      <c r="R443" s="3"/>
    </row>
    <row r="444" spans="1:18">
      <c r="A444" s="14"/>
      <c r="B444" s="9"/>
      <c r="C444" s="10" t="str">
        <f t="shared" si="75"/>
        <v/>
      </c>
      <c r="D444" s="9"/>
      <c r="E444" s="9" t="str">
        <f t="shared" si="76"/>
        <v>BUMPIZ</v>
      </c>
      <c r="F444" s="9"/>
      <c r="G444" s="3"/>
      <c r="H444" s="3"/>
      <c r="I444" s="44"/>
      <c r="J444" s="14"/>
      <c r="K444" s="22" t="s">
        <v>456</v>
      </c>
      <c r="L444" s="3"/>
      <c r="M444" s="8"/>
      <c r="N444" s="8"/>
      <c r="O444" s="2"/>
      <c r="P444" s="2"/>
      <c r="Q444" s="2" t="s">
        <v>456</v>
      </c>
      <c r="R444" s="3"/>
    </row>
    <row r="445" spans="1:18">
      <c r="A445" s="14"/>
      <c r="B445" s="9"/>
      <c r="C445" s="9" t="str">
        <f t="shared" si="75"/>
        <v/>
      </c>
      <c r="D445" s="9"/>
      <c r="E445" s="9" t="str">
        <f t="shared" si="76"/>
        <v/>
      </c>
      <c r="F445" s="9"/>
      <c r="G445" s="3"/>
      <c r="H445" s="3"/>
      <c r="I445" s="8"/>
      <c r="J445" s="3"/>
      <c r="K445" s="3"/>
      <c r="L445" s="3"/>
      <c r="M445" s="8"/>
      <c r="N445" s="8"/>
      <c r="O445" s="8"/>
      <c r="P445" s="3"/>
      <c r="Q445" s="3"/>
      <c r="R445" s="3"/>
    </row>
    <row r="446" spans="1:18">
      <c r="A446" s="14"/>
      <c r="B446" s="11"/>
      <c r="C446" s="11"/>
      <c r="D446" s="11"/>
      <c r="E446" s="11"/>
      <c r="F446" s="11"/>
      <c r="G446" s="3"/>
      <c r="H446" s="3"/>
      <c r="I446" s="8"/>
      <c r="J446" s="3"/>
      <c r="K446" s="3"/>
      <c r="L446" s="3"/>
      <c r="M446" s="8"/>
      <c r="N446" s="8"/>
      <c r="O446" s="8"/>
      <c r="P446" s="3"/>
      <c r="Q446" s="3"/>
      <c r="R446" s="3"/>
    </row>
    <row r="447" spans="1:18">
      <c r="A447" s="14"/>
      <c r="B447" s="6"/>
      <c r="C447" s="6"/>
      <c r="D447" s="6"/>
      <c r="E447" s="6"/>
      <c r="F447" s="6"/>
      <c r="G447" s="3"/>
      <c r="H447" s="74"/>
      <c r="I447" s="5"/>
      <c r="J447" s="5"/>
      <c r="K447" s="5"/>
      <c r="L447" s="74"/>
      <c r="M447" s="8"/>
      <c r="N447" s="8"/>
      <c r="O447" s="8"/>
      <c r="P447" s="3"/>
      <c r="Q447" s="3"/>
      <c r="R447" s="3"/>
    </row>
    <row r="448" spans="1:18">
      <c r="A448" s="14"/>
      <c r="B448" s="150" t="str">
        <f t="shared" ref="B448:B450" si="77">UPPER(H448)</f>
        <v>POST PRODUCTION / ORIGINAL SCORES &amp; SONGS</v>
      </c>
      <c r="C448" s="141"/>
      <c r="D448" s="141"/>
      <c r="E448" s="141"/>
      <c r="F448" s="141"/>
      <c r="G448" s="28"/>
      <c r="H448" s="167" t="s">
        <v>435</v>
      </c>
      <c r="I448" s="141"/>
      <c r="J448" s="141"/>
      <c r="K448" s="141"/>
      <c r="L448" s="141"/>
      <c r="M448" s="29"/>
      <c r="N448" s="161" t="s">
        <v>888</v>
      </c>
      <c r="O448" s="141"/>
      <c r="P448" s="141"/>
      <c r="Q448" s="141"/>
      <c r="R448" s="141"/>
    </row>
    <row r="449" spans="1:18">
      <c r="A449" s="14"/>
      <c r="B449" s="146" t="str">
        <f t="shared" si="77"/>
        <v>WE R THE HEROES</v>
      </c>
      <c r="C449" s="141"/>
      <c r="D449" s="141"/>
      <c r="E449" s="141"/>
      <c r="F449" s="141"/>
      <c r="G449" s="3"/>
      <c r="H449" s="151" t="s">
        <v>467</v>
      </c>
      <c r="I449" s="141"/>
      <c r="J449" s="141"/>
      <c r="K449" s="141"/>
      <c r="L449" s="141"/>
      <c r="M449" s="8"/>
      <c r="N449" s="159" t="s">
        <v>467</v>
      </c>
      <c r="O449" s="141"/>
      <c r="P449" s="141"/>
      <c r="Q449" s="141"/>
      <c r="R449" s="141"/>
    </row>
    <row r="450" spans="1:18">
      <c r="A450" s="14"/>
      <c r="B450" s="158" t="str">
        <f t="shared" si="77"/>
        <v>OPENING SONG</v>
      </c>
      <c r="C450" s="141"/>
      <c r="D450" s="141"/>
      <c r="E450" s="141"/>
      <c r="F450" s="141"/>
      <c r="G450" s="3"/>
      <c r="H450" s="170" t="s">
        <v>468</v>
      </c>
      <c r="I450" s="141"/>
      <c r="J450" s="141"/>
      <c r="K450" s="141"/>
      <c r="L450" s="141"/>
      <c r="M450" s="8"/>
      <c r="N450" s="160" t="s">
        <v>914</v>
      </c>
      <c r="O450" s="141"/>
      <c r="P450" s="141"/>
      <c r="Q450" s="141"/>
      <c r="R450" s="141"/>
    </row>
    <row r="451" spans="1:18">
      <c r="A451" s="14"/>
      <c r="B451" s="9"/>
      <c r="C451" s="10" t="str">
        <f t="shared" ref="C451:C459" si="78">UPPER(I451)</f>
        <v>COMPOSER &amp; ARRANGER</v>
      </c>
      <c r="D451" s="9"/>
      <c r="E451" s="9" t="str">
        <f t="shared" ref="E451:E459" si="79">UPPER(K451)</f>
        <v>DOLLY HWANG</v>
      </c>
      <c r="F451" s="9"/>
      <c r="G451" s="3"/>
      <c r="H451" s="8"/>
      <c r="I451" s="8" t="s">
        <v>469</v>
      </c>
      <c r="J451" s="3"/>
      <c r="K451" s="3" t="s">
        <v>453</v>
      </c>
      <c r="L451" s="3"/>
      <c r="M451" s="8"/>
      <c r="N451" s="2"/>
      <c r="O451" s="36" t="s">
        <v>915</v>
      </c>
      <c r="P451" s="2"/>
      <c r="Q451" s="2" t="s">
        <v>453</v>
      </c>
      <c r="R451" s="2"/>
    </row>
    <row r="452" spans="1:18">
      <c r="A452" s="14"/>
      <c r="B452" s="9"/>
      <c r="C452" s="10" t="str">
        <f t="shared" si="78"/>
        <v>LYRICS</v>
      </c>
      <c r="D452" s="9"/>
      <c r="E452" s="9" t="str">
        <f t="shared" si="79"/>
        <v>DOLLY HWANG</v>
      </c>
      <c r="F452" s="9"/>
      <c r="G452" s="3"/>
      <c r="H452" s="8"/>
      <c r="I452" s="8" t="s">
        <v>470</v>
      </c>
      <c r="J452" s="3"/>
      <c r="K452" s="3" t="s">
        <v>453</v>
      </c>
      <c r="L452" s="3"/>
      <c r="M452" s="8"/>
      <c r="N452" s="2"/>
      <c r="O452" s="36" t="s">
        <v>916</v>
      </c>
      <c r="P452" s="2"/>
      <c r="Q452" s="2" t="s">
        <v>453</v>
      </c>
      <c r="R452" s="2"/>
    </row>
    <row r="453" spans="1:18">
      <c r="A453" s="14"/>
      <c r="B453" s="9"/>
      <c r="C453" s="10" t="str">
        <f t="shared" si="78"/>
        <v/>
      </c>
      <c r="D453" s="9"/>
      <c r="E453" s="9" t="str">
        <f t="shared" si="79"/>
        <v/>
      </c>
      <c r="F453" s="9"/>
      <c r="G453" s="3"/>
      <c r="H453" s="171"/>
      <c r="I453" s="141"/>
      <c r="J453" s="141"/>
      <c r="K453" s="141"/>
      <c r="L453" s="141"/>
      <c r="M453" s="8"/>
      <c r="N453" s="2"/>
      <c r="O453" s="2"/>
      <c r="P453" s="2"/>
      <c r="Q453" s="2"/>
      <c r="R453" s="2"/>
    </row>
    <row r="454" spans="1:18">
      <c r="A454" s="14"/>
      <c r="B454" s="9"/>
      <c r="C454" s="10" t="str">
        <f t="shared" si="78"/>
        <v>VOCAL</v>
      </c>
      <c r="D454" s="9"/>
      <c r="E454" s="9" t="str">
        <f t="shared" si="79"/>
        <v>DOLLY HWANG</v>
      </c>
      <c r="F454" s="9"/>
      <c r="G454" s="3"/>
      <c r="H454" s="8"/>
      <c r="I454" s="8" t="s">
        <v>471</v>
      </c>
      <c r="J454" s="3"/>
      <c r="K454" s="3" t="s">
        <v>453</v>
      </c>
      <c r="L454" s="3"/>
      <c r="M454" s="8"/>
      <c r="N454" s="2"/>
      <c r="O454" s="36" t="s">
        <v>917</v>
      </c>
      <c r="P454" s="2"/>
      <c r="Q454" s="2" t="s">
        <v>453</v>
      </c>
      <c r="R454" s="2"/>
    </row>
    <row r="455" spans="1:18">
      <c r="A455" s="14"/>
      <c r="B455" s="9"/>
      <c r="C455" s="10" t="str">
        <f t="shared" si="78"/>
        <v>GUITAR</v>
      </c>
      <c r="D455" s="9"/>
      <c r="E455" s="9" t="str">
        <f t="shared" si="79"/>
        <v>DOLLY HWANG</v>
      </c>
      <c r="F455" s="9"/>
      <c r="G455" s="3"/>
      <c r="H455" s="8"/>
      <c r="I455" s="8" t="s">
        <v>460</v>
      </c>
      <c r="J455" s="3"/>
      <c r="K455" s="3" t="s">
        <v>453</v>
      </c>
      <c r="L455" s="3"/>
      <c r="M455" s="8"/>
      <c r="N455" s="2"/>
      <c r="O455" s="36" t="s">
        <v>909</v>
      </c>
      <c r="P455" s="2"/>
      <c r="Q455" s="2" t="s">
        <v>453</v>
      </c>
      <c r="R455" s="2"/>
    </row>
    <row r="456" spans="1:18">
      <c r="A456" s="14"/>
      <c r="B456" s="9"/>
      <c r="C456" s="10" t="str">
        <f t="shared" si="78"/>
        <v>BASS</v>
      </c>
      <c r="D456" s="9"/>
      <c r="E456" s="9" t="str">
        <f t="shared" si="79"/>
        <v>DOLLY HWANG</v>
      </c>
      <c r="F456" s="9"/>
      <c r="G456" s="3"/>
      <c r="H456" s="8"/>
      <c r="I456" s="8" t="s">
        <v>461</v>
      </c>
      <c r="J456" s="3"/>
      <c r="K456" s="3" t="s">
        <v>453</v>
      </c>
      <c r="L456" s="3"/>
      <c r="M456" s="8"/>
      <c r="N456" s="2"/>
      <c r="O456" s="36" t="s">
        <v>910</v>
      </c>
      <c r="P456" s="2"/>
      <c r="Q456" s="2" t="s">
        <v>453</v>
      </c>
      <c r="R456" s="2"/>
    </row>
    <row r="457" spans="1:18">
      <c r="A457" s="14"/>
      <c r="B457" s="9"/>
      <c r="C457" s="10" t="str">
        <f t="shared" si="78"/>
        <v>RECORDING STUDIO</v>
      </c>
      <c r="D457" s="9"/>
      <c r="E457" s="9" t="str">
        <f t="shared" si="79"/>
        <v>PURPLE MOON</v>
      </c>
      <c r="F457" s="9"/>
      <c r="G457" s="3"/>
      <c r="H457" s="8"/>
      <c r="I457" s="8" t="s">
        <v>465</v>
      </c>
      <c r="J457" s="3"/>
      <c r="K457" s="3" t="s">
        <v>472</v>
      </c>
      <c r="L457" s="3"/>
      <c r="M457" s="8"/>
      <c r="N457" s="2"/>
      <c r="O457" s="36" t="s">
        <v>882</v>
      </c>
      <c r="P457" s="2"/>
      <c r="Q457" s="2" t="s">
        <v>472</v>
      </c>
      <c r="R457" s="2"/>
    </row>
    <row r="458" spans="1:18">
      <c r="A458" s="14"/>
      <c r="B458" s="9"/>
      <c r="C458" s="10" t="str">
        <f t="shared" si="78"/>
        <v>RECORDING ENGINEER</v>
      </c>
      <c r="D458" s="9"/>
      <c r="E458" s="9" t="str">
        <f t="shared" si="79"/>
        <v>DOLLY HWANG</v>
      </c>
      <c r="F458" s="9"/>
      <c r="G458" s="3"/>
      <c r="H458" s="8"/>
      <c r="I458" s="8" t="s">
        <v>427</v>
      </c>
      <c r="J458" s="3"/>
      <c r="K458" s="3" t="s">
        <v>453</v>
      </c>
      <c r="L458" s="3"/>
      <c r="M458" s="8"/>
      <c r="N458" s="2"/>
      <c r="O458" s="36" t="s">
        <v>886</v>
      </c>
      <c r="P458" s="2"/>
      <c r="Q458" s="2" t="s">
        <v>453</v>
      </c>
      <c r="R458" s="2"/>
    </row>
    <row r="459" spans="1:18">
      <c r="A459" s="14"/>
      <c r="B459" s="9"/>
      <c r="C459" s="9" t="str">
        <f t="shared" si="78"/>
        <v/>
      </c>
      <c r="D459" s="9"/>
      <c r="E459" s="9" t="str">
        <f t="shared" si="79"/>
        <v/>
      </c>
      <c r="F459" s="9"/>
      <c r="G459" s="3"/>
      <c r="H459" s="8"/>
      <c r="I459" s="8"/>
      <c r="J459" s="3"/>
      <c r="K459" s="3"/>
      <c r="L459" s="3"/>
      <c r="M459" s="8"/>
      <c r="N459" s="2"/>
      <c r="O459" s="2"/>
      <c r="P459" s="2"/>
      <c r="Q459" s="2"/>
      <c r="R459" s="2"/>
    </row>
    <row r="460" spans="1:18">
      <c r="A460" s="14"/>
      <c r="B460" s="146" t="str">
        <f t="shared" ref="B460:B461" si="80">UPPER(H460)</f>
        <v>TEENAGE DREAMING</v>
      </c>
      <c r="C460" s="141"/>
      <c r="D460" s="141"/>
      <c r="E460" s="141"/>
      <c r="F460" s="141"/>
      <c r="G460" s="3"/>
      <c r="H460" s="161" t="s">
        <v>473</v>
      </c>
      <c r="I460" s="141"/>
      <c r="J460" s="141"/>
      <c r="K460" s="141"/>
      <c r="L460" s="141"/>
      <c r="M460" s="8"/>
      <c r="N460" s="161" t="s">
        <v>473</v>
      </c>
      <c r="O460" s="141"/>
      <c r="P460" s="141"/>
      <c r="Q460" s="141"/>
      <c r="R460" s="141"/>
    </row>
    <row r="461" spans="1:18">
      <c r="A461" s="14"/>
      <c r="B461" s="158" t="str">
        <f t="shared" si="80"/>
        <v>ENDING SONG</v>
      </c>
      <c r="C461" s="141"/>
      <c r="D461" s="141"/>
      <c r="E461" s="141"/>
      <c r="F461" s="141"/>
      <c r="G461" s="3"/>
      <c r="H461" s="162" t="s">
        <v>474</v>
      </c>
      <c r="I461" s="141"/>
      <c r="J461" s="141"/>
      <c r="K461" s="141"/>
      <c r="L461" s="141"/>
      <c r="M461" s="8"/>
      <c r="N461" s="162" t="s">
        <v>918</v>
      </c>
      <c r="O461" s="141"/>
      <c r="P461" s="141"/>
      <c r="Q461" s="141"/>
      <c r="R461" s="141"/>
    </row>
    <row r="462" spans="1:18">
      <c r="A462" s="14"/>
      <c r="B462" s="9"/>
      <c r="C462" s="10" t="str">
        <f t="shared" ref="C462:C470" si="81">UPPER(I462)</f>
        <v>COMPOSER &amp; ARRANGER</v>
      </c>
      <c r="D462" s="9"/>
      <c r="E462" s="9" t="str">
        <f t="shared" ref="E462:E470" si="82">UPPER(K462)</f>
        <v>DOLLY HWANG</v>
      </c>
      <c r="F462" s="9"/>
      <c r="G462" s="3"/>
      <c r="H462" s="55"/>
      <c r="I462" s="36" t="s">
        <v>469</v>
      </c>
      <c r="J462" s="55"/>
      <c r="K462" s="2" t="s">
        <v>453</v>
      </c>
      <c r="L462" s="55"/>
      <c r="M462" s="8"/>
      <c r="N462" s="2"/>
      <c r="O462" s="36" t="s">
        <v>915</v>
      </c>
      <c r="P462" s="2"/>
      <c r="Q462" s="2" t="s">
        <v>453</v>
      </c>
      <c r="R462" s="2"/>
    </row>
    <row r="463" spans="1:18">
      <c r="A463" s="14"/>
      <c r="B463" s="9"/>
      <c r="C463" s="10" t="str">
        <f t="shared" si="81"/>
        <v>LYRICS</v>
      </c>
      <c r="D463" s="9"/>
      <c r="E463" s="9" t="str">
        <f t="shared" si="82"/>
        <v>PAUL Y. KIM</v>
      </c>
      <c r="F463" s="9"/>
      <c r="G463" s="3"/>
      <c r="H463" s="55"/>
      <c r="I463" s="36" t="s">
        <v>470</v>
      </c>
      <c r="J463" s="55"/>
      <c r="K463" s="2" t="s">
        <v>475</v>
      </c>
      <c r="L463" s="55"/>
      <c r="M463" s="8"/>
      <c r="N463" s="2"/>
      <c r="O463" s="36" t="s">
        <v>916</v>
      </c>
      <c r="P463" s="2"/>
      <c r="Q463" s="2" t="s">
        <v>475</v>
      </c>
      <c r="R463" s="2"/>
    </row>
    <row r="464" spans="1:18">
      <c r="A464" s="14"/>
      <c r="B464" s="9"/>
      <c r="C464" s="10" t="str">
        <f t="shared" si="81"/>
        <v/>
      </c>
      <c r="D464" s="9"/>
      <c r="E464" s="9" t="str">
        <f t="shared" si="82"/>
        <v/>
      </c>
      <c r="F464" s="9"/>
      <c r="G464" s="3"/>
      <c r="H464" s="171"/>
      <c r="I464" s="141"/>
      <c r="J464" s="141"/>
      <c r="K464" s="141"/>
      <c r="L464" s="141"/>
      <c r="M464" s="8"/>
      <c r="N464" s="2"/>
      <c r="O464" s="2"/>
      <c r="P464" s="2"/>
      <c r="Q464" s="2"/>
      <c r="R464" s="2"/>
    </row>
    <row r="465" spans="1:18">
      <c r="A465" s="14"/>
      <c r="B465" s="9"/>
      <c r="C465" s="10" t="str">
        <f t="shared" si="81"/>
        <v>VOCAL</v>
      </c>
      <c r="D465" s="9"/>
      <c r="E465" s="9" t="str">
        <f t="shared" si="82"/>
        <v>DOLLY HWANG</v>
      </c>
      <c r="F465" s="9"/>
      <c r="G465" s="3"/>
      <c r="H465" s="55"/>
      <c r="I465" s="36" t="s">
        <v>471</v>
      </c>
      <c r="J465" s="55"/>
      <c r="K465" s="2" t="s">
        <v>453</v>
      </c>
      <c r="L465" s="55"/>
      <c r="M465" s="8"/>
      <c r="N465" s="2"/>
      <c r="O465" s="36" t="s">
        <v>917</v>
      </c>
      <c r="P465" s="2"/>
      <c r="Q465" s="2" t="s">
        <v>453</v>
      </c>
      <c r="R465" s="2"/>
    </row>
    <row r="466" spans="1:18">
      <c r="A466" s="14"/>
      <c r="B466" s="9"/>
      <c r="C466" s="10" t="str">
        <f t="shared" si="81"/>
        <v>GUITAR</v>
      </c>
      <c r="D466" s="9"/>
      <c r="E466" s="9" t="str">
        <f t="shared" si="82"/>
        <v>DOLLY HWANG</v>
      </c>
      <c r="F466" s="9"/>
      <c r="G466" s="3"/>
      <c r="H466" s="55"/>
      <c r="I466" s="36" t="s">
        <v>460</v>
      </c>
      <c r="J466" s="55"/>
      <c r="K466" s="2" t="s">
        <v>453</v>
      </c>
      <c r="L466" s="55"/>
      <c r="M466" s="8"/>
      <c r="N466" s="2"/>
      <c r="O466" s="36" t="s">
        <v>909</v>
      </c>
      <c r="P466" s="2"/>
      <c r="Q466" s="2" t="s">
        <v>453</v>
      </c>
      <c r="R466" s="2"/>
    </row>
    <row r="467" spans="1:18">
      <c r="A467" s="14"/>
      <c r="B467" s="9"/>
      <c r="C467" s="10" t="str">
        <f t="shared" si="81"/>
        <v>BASS</v>
      </c>
      <c r="D467" s="9"/>
      <c r="E467" s="9" t="str">
        <f t="shared" si="82"/>
        <v>DOLLY HWANG</v>
      </c>
      <c r="F467" s="9"/>
      <c r="G467" s="3"/>
      <c r="H467" s="55"/>
      <c r="I467" s="36" t="s">
        <v>461</v>
      </c>
      <c r="J467" s="55"/>
      <c r="K467" s="2" t="s">
        <v>453</v>
      </c>
      <c r="L467" s="55"/>
      <c r="M467" s="8"/>
      <c r="N467" s="2"/>
      <c r="O467" s="36" t="s">
        <v>910</v>
      </c>
      <c r="P467" s="2"/>
      <c r="Q467" s="2" t="s">
        <v>453</v>
      </c>
      <c r="R467" s="2"/>
    </row>
    <row r="468" spans="1:18">
      <c r="A468" s="14"/>
      <c r="B468" s="9"/>
      <c r="C468" s="10" t="str">
        <f t="shared" si="81"/>
        <v>RECORDING STUDIO</v>
      </c>
      <c r="D468" s="9"/>
      <c r="E468" s="9" t="str">
        <f t="shared" si="82"/>
        <v>PURPLE MOON</v>
      </c>
      <c r="F468" s="9"/>
      <c r="G468" s="3"/>
      <c r="H468" s="55"/>
      <c r="I468" s="36" t="s">
        <v>465</v>
      </c>
      <c r="J468" s="55"/>
      <c r="K468" s="2" t="s">
        <v>472</v>
      </c>
      <c r="L468" s="55"/>
      <c r="M468" s="8"/>
      <c r="N468" s="2"/>
      <c r="O468" s="36" t="s">
        <v>882</v>
      </c>
      <c r="P468" s="2"/>
      <c r="Q468" s="2" t="s">
        <v>472</v>
      </c>
      <c r="R468" s="2"/>
    </row>
    <row r="469" spans="1:18">
      <c r="A469" s="14"/>
      <c r="B469" s="9"/>
      <c r="C469" s="10" t="str">
        <f t="shared" si="81"/>
        <v>RECORDING ENGINEER</v>
      </c>
      <c r="D469" s="9"/>
      <c r="E469" s="9" t="str">
        <f t="shared" si="82"/>
        <v>DOLLY HWANG</v>
      </c>
      <c r="F469" s="9"/>
      <c r="G469" s="3"/>
      <c r="H469" s="55"/>
      <c r="I469" s="36" t="s">
        <v>427</v>
      </c>
      <c r="J469" s="55"/>
      <c r="K469" s="2" t="s">
        <v>453</v>
      </c>
      <c r="L469" s="55"/>
      <c r="M469" s="8"/>
      <c r="N469" s="2"/>
      <c r="O469" s="36" t="s">
        <v>886</v>
      </c>
      <c r="P469" s="2"/>
      <c r="Q469" s="2" t="s">
        <v>453</v>
      </c>
      <c r="R469" s="2"/>
    </row>
    <row r="470" spans="1:18">
      <c r="A470" s="14"/>
      <c r="B470" s="9"/>
      <c r="C470" s="9" t="str">
        <f t="shared" si="81"/>
        <v/>
      </c>
      <c r="D470" s="9"/>
      <c r="E470" s="9" t="str">
        <f t="shared" si="82"/>
        <v/>
      </c>
      <c r="F470" s="9"/>
      <c r="G470" s="3"/>
      <c r="H470" s="3"/>
      <c r="I470" s="8"/>
      <c r="J470" s="3"/>
      <c r="K470" s="3"/>
      <c r="L470" s="3"/>
      <c r="M470" s="8"/>
      <c r="N470" s="8"/>
      <c r="O470" s="8"/>
      <c r="P470" s="3"/>
      <c r="Q470" s="3"/>
      <c r="R470" s="3"/>
    </row>
    <row r="471" spans="1:18">
      <c r="A471" s="14"/>
      <c r="B471" s="11"/>
      <c r="C471" s="11"/>
      <c r="D471" s="11"/>
      <c r="E471" s="11"/>
      <c r="F471" s="11"/>
      <c r="G471" s="3"/>
      <c r="H471" s="3"/>
      <c r="I471" s="8"/>
      <c r="J471" s="3"/>
      <c r="K471" s="3"/>
      <c r="L471" s="3"/>
      <c r="M471" s="8"/>
      <c r="N471" s="8"/>
      <c r="O471" s="8"/>
      <c r="P471" s="3"/>
      <c r="Q471" s="3"/>
      <c r="R471" s="3"/>
    </row>
    <row r="472" spans="1:18">
      <c r="A472" s="14"/>
      <c r="B472" s="6"/>
      <c r="C472" s="6"/>
      <c r="D472" s="6"/>
      <c r="E472" s="6"/>
      <c r="F472" s="6"/>
      <c r="G472" s="3"/>
      <c r="H472" s="5"/>
      <c r="I472" s="5"/>
      <c r="J472" s="5"/>
      <c r="K472" s="5"/>
      <c r="L472" s="5"/>
      <c r="M472" s="8"/>
      <c r="N472" s="8"/>
      <c r="O472" s="8"/>
      <c r="P472" s="3"/>
      <c r="Q472" s="3"/>
      <c r="R472" s="3"/>
    </row>
    <row r="473" spans="1:18">
      <c r="A473" s="14"/>
      <c r="B473" s="150" t="str">
        <f t="shared" ref="B473:B475" si="83">UPPER(H473)</f>
        <v>POST PRODUCTION / ORIGINAL SCORES &amp; SONGS</v>
      </c>
      <c r="C473" s="141"/>
      <c r="D473" s="141"/>
      <c r="E473" s="141"/>
      <c r="F473" s="141"/>
      <c r="G473" s="28"/>
      <c r="H473" s="167" t="s">
        <v>435</v>
      </c>
      <c r="I473" s="141"/>
      <c r="J473" s="141"/>
      <c r="K473" s="141"/>
      <c r="L473" s="141"/>
      <c r="M473" s="29"/>
      <c r="N473" s="149" t="s">
        <v>888</v>
      </c>
      <c r="O473" s="141"/>
      <c r="P473" s="141"/>
      <c r="Q473" s="141"/>
      <c r="R473" s="141"/>
    </row>
    <row r="474" spans="1:18">
      <c r="A474" s="14"/>
      <c r="B474" s="146" t="str">
        <f t="shared" si="83"/>
        <v>MUSIC BY EPISODE</v>
      </c>
      <c r="C474" s="141"/>
      <c r="D474" s="141"/>
      <c r="E474" s="141"/>
      <c r="F474" s="141"/>
      <c r="G474" s="3"/>
      <c r="H474" s="149" t="s">
        <v>476</v>
      </c>
      <c r="I474" s="141"/>
      <c r="J474" s="141"/>
      <c r="K474" s="141"/>
      <c r="L474" s="141"/>
      <c r="M474" s="8"/>
      <c r="N474" s="149" t="s">
        <v>919</v>
      </c>
      <c r="O474" s="141"/>
      <c r="P474" s="141"/>
      <c r="Q474" s="141"/>
      <c r="R474" s="141"/>
    </row>
    <row r="475" spans="1:18">
      <c r="A475" s="14"/>
      <c r="B475" s="6" t="str">
        <f t="shared" si="83"/>
        <v/>
      </c>
      <c r="C475" s="10" t="str">
        <f t="shared" ref="C475:C487" si="84">UPPER(I475)</f>
        <v/>
      </c>
      <c r="D475" s="42"/>
      <c r="E475" s="57" t="str">
        <f t="shared" ref="E475:E487" si="85">UPPER(K475)</f>
        <v/>
      </c>
      <c r="F475" s="6"/>
      <c r="G475" s="3"/>
      <c r="H475" s="75"/>
      <c r="I475" s="30"/>
      <c r="J475" s="24"/>
      <c r="K475" s="22"/>
      <c r="L475" s="75"/>
      <c r="M475" s="8"/>
      <c r="N475" s="149"/>
      <c r="O475" s="141"/>
      <c r="P475" s="141"/>
      <c r="Q475" s="141"/>
      <c r="R475" s="141"/>
    </row>
    <row r="476" spans="1:18">
      <c r="A476" s="14"/>
      <c r="B476" s="6"/>
      <c r="C476" s="10" t="str">
        <f t="shared" si="84"/>
        <v>MUSIC SUPERVISOR</v>
      </c>
      <c r="D476" s="42"/>
      <c r="E476" s="57" t="str">
        <f t="shared" si="85"/>
        <v>YOONHO KIM</v>
      </c>
      <c r="F476" s="6"/>
      <c r="G476" s="3"/>
      <c r="H476" s="14"/>
      <c r="I476" s="30" t="s">
        <v>447</v>
      </c>
      <c r="J476" s="24"/>
      <c r="K476" s="22" t="s">
        <v>448</v>
      </c>
      <c r="L476" s="14"/>
      <c r="M476" s="8"/>
      <c r="N476" s="3"/>
      <c r="O476" s="8" t="s">
        <v>898</v>
      </c>
      <c r="P476" s="3"/>
      <c r="Q476" s="3" t="s">
        <v>899</v>
      </c>
      <c r="R476" s="3"/>
    </row>
    <row r="477" spans="1:18">
      <c r="A477" s="14"/>
      <c r="B477" s="6"/>
      <c r="C477" s="10" t="str">
        <f t="shared" si="84"/>
        <v/>
      </c>
      <c r="D477" s="42"/>
      <c r="E477" s="57" t="str">
        <f t="shared" si="85"/>
        <v/>
      </c>
      <c r="F477" s="6"/>
      <c r="G477" s="3"/>
      <c r="H477" s="14"/>
      <c r="I477" s="44"/>
      <c r="J477" s="14"/>
      <c r="K477" s="14"/>
      <c r="L477" s="14"/>
      <c r="M477" s="8"/>
      <c r="N477" s="3"/>
      <c r="O477" s="8"/>
      <c r="P477" s="3"/>
      <c r="Q477" s="3"/>
      <c r="R477" s="3"/>
    </row>
    <row r="478" spans="1:18">
      <c r="A478" s="14"/>
      <c r="B478" s="6"/>
      <c r="C478" s="10" t="str">
        <f t="shared" si="84"/>
        <v>LEAD COMPOSER</v>
      </c>
      <c r="D478" s="42"/>
      <c r="E478" s="57" t="str">
        <f t="shared" si="85"/>
        <v>SIEUN KIM</v>
      </c>
      <c r="F478" s="6"/>
      <c r="G478" s="3"/>
      <c r="H478" s="75"/>
      <c r="I478" s="30" t="s">
        <v>449</v>
      </c>
      <c r="J478" s="24"/>
      <c r="K478" s="22" t="s">
        <v>463</v>
      </c>
      <c r="L478" s="75"/>
      <c r="M478" s="8"/>
      <c r="N478" s="3"/>
      <c r="O478" s="8" t="s">
        <v>900</v>
      </c>
      <c r="P478" s="3"/>
      <c r="Q478" s="3" t="s">
        <v>901</v>
      </c>
      <c r="R478" s="3"/>
    </row>
    <row r="479" spans="1:18">
      <c r="A479" s="14"/>
      <c r="B479" s="6"/>
      <c r="C479" s="10" t="str">
        <f t="shared" si="84"/>
        <v/>
      </c>
      <c r="D479" s="42"/>
      <c r="E479" s="57" t="str">
        <f t="shared" si="85"/>
        <v/>
      </c>
      <c r="F479" s="6"/>
      <c r="G479" s="3"/>
      <c r="H479" s="14"/>
      <c r="I479" s="75"/>
      <c r="J479" s="75"/>
      <c r="K479" s="75"/>
      <c r="L479" s="14"/>
      <c r="M479" s="8"/>
      <c r="N479" s="3"/>
      <c r="O479" s="8"/>
      <c r="P479" s="3"/>
      <c r="Q479" s="3"/>
      <c r="R479" s="3"/>
    </row>
    <row r="480" spans="1:18">
      <c r="A480" s="14"/>
      <c r="B480" s="6"/>
      <c r="C480" s="10" t="str">
        <f t="shared" si="84"/>
        <v>ADDITIONAL COMPOSER</v>
      </c>
      <c r="D480" s="42"/>
      <c r="E480" s="57" t="str">
        <f t="shared" si="85"/>
        <v>NAYEON LEE</v>
      </c>
      <c r="F480" s="6"/>
      <c r="G480" s="3"/>
      <c r="H480" s="14"/>
      <c r="I480" s="30" t="s">
        <v>451</v>
      </c>
      <c r="J480" s="24"/>
      <c r="K480" s="22" t="s">
        <v>640</v>
      </c>
      <c r="L480" s="14"/>
      <c r="M480" s="8"/>
      <c r="N480" s="3"/>
      <c r="O480" s="8" t="s">
        <v>902</v>
      </c>
      <c r="P480" s="3"/>
      <c r="Q480" s="3" t="s">
        <v>903</v>
      </c>
      <c r="R480" s="3"/>
    </row>
    <row r="481" spans="1:18">
      <c r="A481" s="14"/>
      <c r="B481" s="6"/>
      <c r="C481" s="10" t="str">
        <f t="shared" si="84"/>
        <v/>
      </c>
      <c r="D481" s="42"/>
      <c r="E481" s="57" t="str">
        <f t="shared" si="85"/>
        <v>DOLLY HWANG</v>
      </c>
      <c r="F481" s="6"/>
      <c r="G481" s="3"/>
      <c r="H481" s="14"/>
      <c r="I481" s="30"/>
      <c r="J481" s="24"/>
      <c r="K481" s="22" t="s">
        <v>453</v>
      </c>
      <c r="L481" s="14"/>
      <c r="M481" s="8"/>
      <c r="N481" s="3"/>
      <c r="O481" s="8"/>
      <c r="P481" s="3"/>
      <c r="Q481" s="2" t="s">
        <v>453</v>
      </c>
      <c r="R481" s="3"/>
    </row>
    <row r="482" spans="1:18">
      <c r="A482" s="14"/>
      <c r="B482" s="6"/>
      <c r="C482" s="10" t="str">
        <f t="shared" si="84"/>
        <v/>
      </c>
      <c r="D482" s="42"/>
      <c r="E482" s="57" t="str">
        <f t="shared" si="85"/>
        <v>BUMPIZ</v>
      </c>
      <c r="F482" s="6"/>
      <c r="G482" s="3"/>
      <c r="H482" s="14"/>
      <c r="I482" s="30"/>
      <c r="J482" s="24"/>
      <c r="K482" s="22" t="s">
        <v>456</v>
      </c>
      <c r="L482" s="14"/>
      <c r="M482" s="8"/>
      <c r="N482" s="3"/>
      <c r="O482" s="8"/>
      <c r="P482" s="3"/>
      <c r="Q482" s="2" t="s">
        <v>456</v>
      </c>
      <c r="R482" s="3"/>
    </row>
    <row r="483" spans="1:18">
      <c r="A483" s="14"/>
      <c r="B483" s="6"/>
      <c r="C483" s="10" t="str">
        <f t="shared" si="84"/>
        <v/>
      </c>
      <c r="D483" s="42"/>
      <c r="E483" s="57" t="str">
        <f t="shared" si="85"/>
        <v/>
      </c>
      <c r="F483" s="6"/>
      <c r="G483" s="3"/>
      <c r="H483" s="14"/>
      <c r="I483" s="44"/>
      <c r="J483" s="14"/>
      <c r="K483" s="14"/>
      <c r="L483" s="14"/>
      <c r="M483" s="8"/>
      <c r="N483" s="3"/>
      <c r="O483" s="8"/>
      <c r="P483" s="3"/>
      <c r="Q483" s="3"/>
      <c r="R483" s="3"/>
    </row>
    <row r="484" spans="1:18">
      <c r="A484" s="14"/>
      <c r="B484" s="6"/>
      <c r="C484" s="10" t="str">
        <f t="shared" si="84"/>
        <v>LEAD SOUND DESIGNER</v>
      </c>
      <c r="D484" s="42"/>
      <c r="E484" s="57" t="str">
        <f t="shared" si="85"/>
        <v>HYEJEONG HWANG</v>
      </c>
      <c r="F484" s="6"/>
      <c r="G484" s="3"/>
      <c r="H484" s="14"/>
      <c r="I484" s="30" t="s">
        <v>478</v>
      </c>
      <c r="J484" s="24"/>
      <c r="K484" s="22" t="s">
        <v>441</v>
      </c>
      <c r="L484" s="14"/>
      <c r="M484" s="8"/>
      <c r="N484" s="3"/>
      <c r="O484" s="8" t="s">
        <v>920</v>
      </c>
      <c r="P484" s="3"/>
      <c r="Q484" s="3" t="s">
        <v>885</v>
      </c>
      <c r="R484" s="3"/>
    </row>
    <row r="485" spans="1:18">
      <c r="A485" s="14"/>
      <c r="B485" s="6"/>
      <c r="C485" s="10" t="str">
        <f t="shared" si="84"/>
        <v/>
      </c>
      <c r="D485" s="42"/>
      <c r="E485" s="57" t="str">
        <f t="shared" si="85"/>
        <v/>
      </c>
      <c r="F485" s="6"/>
      <c r="G485" s="3"/>
      <c r="H485" s="14"/>
      <c r="I485" s="44"/>
      <c r="J485" s="14"/>
      <c r="K485" s="14"/>
      <c r="L485" s="14"/>
      <c r="M485" s="8"/>
      <c r="N485" s="3"/>
      <c r="O485" s="8"/>
      <c r="P485" s="3"/>
      <c r="Q485" s="3"/>
      <c r="R485" s="3"/>
    </row>
    <row r="486" spans="1:18">
      <c r="A486" s="14"/>
      <c r="B486" s="6"/>
      <c r="C486" s="10" t="str">
        <f t="shared" si="84"/>
        <v>FOLEY DESIGNER</v>
      </c>
      <c r="D486" s="42"/>
      <c r="E486" s="57" t="str">
        <f t="shared" si="85"/>
        <v>HYEJEONG HWANG</v>
      </c>
      <c r="F486" s="6"/>
      <c r="G486" s="3"/>
      <c r="H486" s="3"/>
      <c r="I486" s="30" t="s">
        <v>479</v>
      </c>
      <c r="J486" s="24"/>
      <c r="K486" s="22" t="s">
        <v>441</v>
      </c>
      <c r="L486" s="3"/>
      <c r="M486" s="8"/>
      <c r="N486" s="8"/>
      <c r="O486" s="8" t="s">
        <v>921</v>
      </c>
      <c r="P486" s="3"/>
      <c r="Q486" s="3" t="s">
        <v>885</v>
      </c>
      <c r="R486" s="3"/>
    </row>
    <row r="487" spans="1:18">
      <c r="A487" s="14"/>
      <c r="B487" s="42"/>
      <c r="C487" s="42" t="str">
        <f t="shared" si="84"/>
        <v/>
      </c>
      <c r="D487" s="42"/>
      <c r="E487" s="57" t="str">
        <f t="shared" si="85"/>
        <v/>
      </c>
      <c r="F487" s="42"/>
      <c r="G487" s="3"/>
      <c r="H487" s="3"/>
      <c r="I487" s="8"/>
      <c r="J487" s="3"/>
      <c r="K487" s="3"/>
      <c r="L487" s="3"/>
      <c r="M487" s="8"/>
      <c r="N487" s="8"/>
      <c r="O487" s="8"/>
      <c r="P487" s="3"/>
      <c r="Q487" s="3"/>
      <c r="R487" s="3"/>
    </row>
    <row r="488" spans="1:18">
      <c r="A488" s="14"/>
      <c r="B488" s="3"/>
      <c r="C488" s="3"/>
      <c r="D488" s="3"/>
      <c r="E488" s="80"/>
      <c r="F488" s="3"/>
      <c r="G488" s="3"/>
      <c r="H488" s="3"/>
      <c r="I488" s="8"/>
      <c r="J488" s="3"/>
      <c r="K488" s="3"/>
      <c r="L488" s="3"/>
      <c r="M488" s="8"/>
      <c r="N488" s="8"/>
      <c r="O488" s="8"/>
      <c r="P488" s="3"/>
      <c r="Q488" s="3"/>
      <c r="R488" s="3"/>
    </row>
    <row r="489" spans="1:18">
      <c r="A489" s="14"/>
      <c r="B489" s="6"/>
      <c r="C489" s="6"/>
      <c r="D489" s="6"/>
      <c r="E489" s="6"/>
      <c r="F489" s="6"/>
      <c r="G489" s="3"/>
      <c r="H489" s="5"/>
      <c r="I489" s="5"/>
      <c r="J489" s="5"/>
      <c r="K489" s="5"/>
      <c r="L489" s="5"/>
      <c r="M489" s="8"/>
      <c r="N489" s="8"/>
      <c r="O489" s="8"/>
      <c r="P489" s="3"/>
      <c r="Q489" s="3"/>
      <c r="R489" s="3"/>
    </row>
    <row r="490" spans="1:18">
      <c r="A490" s="14"/>
      <c r="B490" s="150" t="str">
        <f t="shared" ref="B490:B493" si="86">UPPER(H490)</f>
        <v>POST PRODUCTION / ORIGINAL SCORES &amp; SONGS</v>
      </c>
      <c r="C490" s="141"/>
      <c r="D490" s="141"/>
      <c r="E490" s="141"/>
      <c r="F490" s="141"/>
      <c r="G490" s="28"/>
      <c r="H490" s="167" t="s">
        <v>435</v>
      </c>
      <c r="I490" s="141"/>
      <c r="J490" s="141"/>
      <c r="K490" s="141"/>
      <c r="L490" s="141"/>
      <c r="M490" s="29"/>
      <c r="N490" s="161" t="s">
        <v>888</v>
      </c>
      <c r="O490" s="141"/>
      <c r="P490" s="141"/>
      <c r="Q490" s="141"/>
      <c r="R490" s="141"/>
    </row>
    <row r="491" spans="1:18">
      <c r="A491" s="14"/>
      <c r="B491" s="146" t="str">
        <f t="shared" si="86"/>
        <v>SONGS BY EPISODE</v>
      </c>
      <c r="C491" s="141"/>
      <c r="D491" s="141"/>
      <c r="E491" s="141"/>
      <c r="F491" s="141"/>
      <c r="G491" s="3"/>
      <c r="H491" s="149" t="s">
        <v>641</v>
      </c>
      <c r="I491" s="141"/>
      <c r="J491" s="141"/>
      <c r="K491" s="141"/>
      <c r="L491" s="141"/>
      <c r="M491" s="8"/>
      <c r="N491" s="161" t="s">
        <v>919</v>
      </c>
      <c r="O491" s="141"/>
      <c r="P491" s="141"/>
      <c r="Q491" s="141"/>
      <c r="R491" s="141"/>
    </row>
    <row r="492" spans="1:18">
      <c r="A492" s="14"/>
      <c r="B492" s="146" t="str">
        <f t="shared" si="86"/>
        <v/>
      </c>
      <c r="C492" s="141"/>
      <c r="D492" s="141"/>
      <c r="E492" s="141"/>
      <c r="F492" s="141"/>
      <c r="G492" s="3"/>
      <c r="H492" s="169"/>
      <c r="I492" s="141"/>
      <c r="J492" s="141"/>
      <c r="K492" s="141"/>
      <c r="L492" s="141"/>
      <c r="M492" s="8"/>
      <c r="N492" s="161"/>
      <c r="O492" s="141"/>
      <c r="P492" s="141"/>
      <c r="Q492" s="141"/>
      <c r="R492" s="141"/>
    </row>
    <row r="493" spans="1:18">
      <c r="A493" s="14"/>
      <c r="B493" s="146" t="str">
        <f t="shared" si="86"/>
        <v>CRY FOR YOU</v>
      </c>
      <c r="C493" s="141"/>
      <c r="D493" s="141"/>
      <c r="E493" s="141"/>
      <c r="F493" s="141"/>
      <c r="G493" s="3"/>
      <c r="H493" s="169" t="s">
        <v>673</v>
      </c>
      <c r="I493" s="141"/>
      <c r="J493" s="141"/>
      <c r="K493" s="141"/>
      <c r="L493" s="141"/>
      <c r="M493" s="8"/>
      <c r="N493" s="161" t="s">
        <v>673</v>
      </c>
      <c r="O493" s="141"/>
      <c r="P493" s="141"/>
      <c r="Q493" s="141"/>
      <c r="R493" s="141"/>
    </row>
    <row r="494" spans="1:18">
      <c r="A494" s="14"/>
      <c r="B494" s="42"/>
      <c r="C494" s="10" t="str">
        <f t="shared" ref="C494:C510" si="87">UPPER(I494)</f>
        <v/>
      </c>
      <c r="D494" s="42"/>
      <c r="E494" s="57" t="str">
        <f t="shared" ref="E494:E510" si="88">UPPER(K494)</f>
        <v/>
      </c>
      <c r="F494" s="42"/>
      <c r="G494" s="3"/>
      <c r="H494" s="14"/>
      <c r="I494" s="30"/>
      <c r="J494" s="24"/>
      <c r="K494" s="22"/>
      <c r="L494" s="14"/>
      <c r="M494" s="8"/>
      <c r="N494" s="2"/>
      <c r="O494" s="36"/>
      <c r="P494" s="2"/>
      <c r="Q494" s="2"/>
      <c r="R494" s="2"/>
    </row>
    <row r="495" spans="1:18">
      <c r="A495" s="14"/>
      <c r="B495" s="42"/>
      <c r="C495" s="10" t="str">
        <f t="shared" si="87"/>
        <v>COMPOSER &amp; ARRANGER</v>
      </c>
      <c r="D495" s="42"/>
      <c r="E495" s="57" t="str">
        <f t="shared" si="88"/>
        <v>BUMPIZ</v>
      </c>
      <c r="F495" s="42"/>
      <c r="G495" s="3"/>
      <c r="H495" s="75"/>
      <c r="I495" s="30" t="s">
        <v>469</v>
      </c>
      <c r="J495" s="24"/>
      <c r="K495" s="22" t="s">
        <v>456</v>
      </c>
      <c r="L495" s="75"/>
      <c r="M495" s="8"/>
      <c r="N495" s="2"/>
      <c r="O495" s="36" t="s">
        <v>915</v>
      </c>
      <c r="P495" s="2"/>
      <c r="Q495" s="2" t="s">
        <v>456</v>
      </c>
      <c r="R495" s="2"/>
    </row>
    <row r="496" spans="1:18">
      <c r="A496" s="14"/>
      <c r="B496" s="42"/>
      <c r="C496" s="10" t="str">
        <f t="shared" si="87"/>
        <v/>
      </c>
      <c r="D496" s="42"/>
      <c r="E496" s="57" t="str">
        <f t="shared" si="88"/>
        <v/>
      </c>
      <c r="F496" s="42"/>
      <c r="G496" s="3"/>
      <c r="H496" s="14"/>
      <c r="I496" s="30"/>
      <c r="J496" s="24"/>
      <c r="K496" s="22"/>
      <c r="L496" s="14"/>
      <c r="M496" s="8"/>
      <c r="N496" s="2"/>
      <c r="O496" s="36"/>
      <c r="P496" s="2"/>
      <c r="Q496" s="2"/>
      <c r="R496" s="2"/>
    </row>
    <row r="497" spans="1:18">
      <c r="A497" s="14"/>
      <c r="B497" s="42"/>
      <c r="C497" s="10" t="str">
        <f t="shared" si="87"/>
        <v>LYRICS</v>
      </c>
      <c r="D497" s="42"/>
      <c r="E497" s="57" t="str">
        <f t="shared" si="88"/>
        <v>BUMPIZ</v>
      </c>
      <c r="F497" s="42"/>
      <c r="G497" s="3"/>
      <c r="H497" s="14"/>
      <c r="I497" s="30" t="s">
        <v>470</v>
      </c>
      <c r="J497" s="24"/>
      <c r="K497" s="22" t="s">
        <v>456</v>
      </c>
      <c r="L497" s="14"/>
      <c r="M497" s="8"/>
      <c r="N497" s="2"/>
      <c r="O497" s="36" t="s">
        <v>916</v>
      </c>
      <c r="P497" s="2"/>
      <c r="Q497" s="2" t="s">
        <v>456</v>
      </c>
      <c r="R497" s="2"/>
    </row>
    <row r="498" spans="1:18">
      <c r="A498" s="14"/>
      <c r="B498" s="42"/>
      <c r="C498" s="10" t="str">
        <f t="shared" si="87"/>
        <v/>
      </c>
      <c r="D498" s="42"/>
      <c r="E498" s="57" t="str">
        <f t="shared" si="88"/>
        <v/>
      </c>
      <c r="F498" s="42"/>
      <c r="G498" s="3"/>
      <c r="H498" s="14"/>
      <c r="I498" s="30"/>
      <c r="J498" s="75"/>
      <c r="K498" s="22"/>
      <c r="L498" s="14"/>
      <c r="M498" s="8"/>
      <c r="N498" s="2"/>
      <c r="O498" s="36"/>
      <c r="P498" s="2"/>
      <c r="Q498" s="2"/>
      <c r="R498" s="2"/>
    </row>
    <row r="499" spans="1:18">
      <c r="A499" s="14"/>
      <c r="B499" s="42"/>
      <c r="C499" s="10" t="str">
        <f t="shared" si="87"/>
        <v>VOCAL</v>
      </c>
      <c r="D499" s="42"/>
      <c r="E499" s="57" t="str">
        <f t="shared" si="88"/>
        <v>XYZ</v>
      </c>
      <c r="F499" s="42"/>
      <c r="G499" s="3"/>
      <c r="H499" s="14"/>
      <c r="I499" s="30" t="s">
        <v>471</v>
      </c>
      <c r="J499" s="24"/>
      <c r="K499" s="22" t="s">
        <v>674</v>
      </c>
      <c r="L499" s="14"/>
      <c r="M499" s="8"/>
      <c r="N499" s="2"/>
      <c r="O499" s="36" t="s">
        <v>917</v>
      </c>
      <c r="P499" s="2"/>
      <c r="Q499" s="2" t="s">
        <v>674</v>
      </c>
      <c r="R499" s="2"/>
    </row>
    <row r="500" spans="1:18">
      <c r="A500" s="14"/>
      <c r="B500" s="42"/>
      <c r="C500" s="10" t="str">
        <f t="shared" si="87"/>
        <v/>
      </c>
      <c r="D500" s="42"/>
      <c r="E500" s="57" t="str">
        <f t="shared" si="88"/>
        <v/>
      </c>
      <c r="F500" s="42"/>
      <c r="G500" s="3"/>
      <c r="H500" s="14"/>
      <c r="I500" s="44"/>
      <c r="J500" s="14"/>
      <c r="K500" s="22"/>
      <c r="L500" s="14"/>
      <c r="M500" s="8"/>
      <c r="N500" s="2"/>
      <c r="O500" s="36"/>
      <c r="P500" s="2"/>
      <c r="Q500" s="2"/>
      <c r="R500" s="2"/>
    </row>
    <row r="501" spans="1:18">
      <c r="A501" s="14"/>
      <c r="B501" s="42"/>
      <c r="C501" s="10" t="str">
        <f t="shared" si="87"/>
        <v>GUITAR</v>
      </c>
      <c r="D501" s="42"/>
      <c r="E501" s="57" t="str">
        <f t="shared" si="88"/>
        <v>BUMPIZ</v>
      </c>
      <c r="F501" s="42"/>
      <c r="G501" s="3"/>
      <c r="H501" s="14"/>
      <c r="I501" s="30" t="s">
        <v>460</v>
      </c>
      <c r="J501" s="24"/>
      <c r="K501" s="22" t="s">
        <v>456</v>
      </c>
      <c r="L501" s="14"/>
      <c r="M501" s="8"/>
      <c r="N501" s="8"/>
      <c r="O501" s="36" t="s">
        <v>909</v>
      </c>
      <c r="P501" s="2"/>
      <c r="Q501" s="2" t="s">
        <v>456</v>
      </c>
      <c r="R501" s="3"/>
    </row>
    <row r="502" spans="1:18">
      <c r="A502" s="14"/>
      <c r="B502" s="42"/>
      <c r="C502" s="10" t="str">
        <f t="shared" si="87"/>
        <v/>
      </c>
      <c r="D502" s="42"/>
      <c r="E502" s="57" t="str">
        <f t="shared" si="88"/>
        <v/>
      </c>
      <c r="F502" s="42"/>
      <c r="G502" s="3"/>
      <c r="H502" s="14"/>
      <c r="I502" s="30"/>
      <c r="J502" s="24"/>
      <c r="K502" s="22"/>
      <c r="L502" s="14"/>
      <c r="M502" s="8"/>
      <c r="N502" s="8"/>
      <c r="O502" s="8"/>
      <c r="P502" s="3"/>
      <c r="Q502" s="3"/>
      <c r="R502" s="3"/>
    </row>
    <row r="503" spans="1:18">
      <c r="A503" s="14"/>
      <c r="B503" s="42"/>
      <c r="C503" s="10" t="str">
        <f t="shared" si="87"/>
        <v>RECORDING STUDIO</v>
      </c>
      <c r="D503" s="42"/>
      <c r="E503" s="57" t="str">
        <f t="shared" si="88"/>
        <v>DOONG SOUND &amp; WAON STUDIO</v>
      </c>
      <c r="F503" s="42"/>
      <c r="G503" s="3"/>
      <c r="H503" s="14"/>
      <c r="I503" s="30" t="s">
        <v>465</v>
      </c>
      <c r="J503" s="24"/>
      <c r="K503" s="24" t="s">
        <v>675</v>
      </c>
      <c r="L503" s="14"/>
      <c r="M503" s="8"/>
      <c r="N503" s="8"/>
      <c r="O503" s="36" t="s">
        <v>882</v>
      </c>
      <c r="P503" s="2"/>
      <c r="Q503" s="2" t="s">
        <v>963</v>
      </c>
      <c r="R503" s="3"/>
    </row>
    <row r="504" spans="1:18">
      <c r="A504" s="14"/>
      <c r="B504" s="42"/>
      <c r="C504" s="10" t="str">
        <f t="shared" si="87"/>
        <v/>
      </c>
      <c r="D504" s="42"/>
      <c r="E504" s="57" t="str">
        <f t="shared" si="88"/>
        <v/>
      </c>
      <c r="F504" s="42"/>
      <c r="G504" s="3"/>
      <c r="H504" s="14"/>
      <c r="I504" s="44"/>
      <c r="J504" s="14"/>
      <c r="K504" s="14"/>
      <c r="L504" s="14"/>
      <c r="M504" s="8"/>
      <c r="N504" s="8"/>
      <c r="O504" s="8"/>
      <c r="P504" s="3"/>
      <c r="Q504" s="3"/>
      <c r="R504" s="3"/>
    </row>
    <row r="505" spans="1:18">
      <c r="A505" s="14"/>
      <c r="B505" s="42"/>
      <c r="C505" s="10" t="str">
        <f t="shared" si="87"/>
        <v>RECORDING ENGINEER</v>
      </c>
      <c r="D505" s="42"/>
      <c r="E505" s="57" t="str">
        <f t="shared" si="88"/>
        <v>BUMPIZ &amp; XYZ</v>
      </c>
      <c r="F505" s="42"/>
      <c r="G505" s="3"/>
      <c r="H505" s="14"/>
      <c r="I505" s="30" t="s">
        <v>427</v>
      </c>
      <c r="J505" s="24"/>
      <c r="K505" s="22" t="s">
        <v>676</v>
      </c>
      <c r="L505" s="14"/>
      <c r="M505" s="8"/>
      <c r="N505" s="8"/>
      <c r="O505" s="36" t="s">
        <v>886</v>
      </c>
      <c r="P505" s="2"/>
      <c r="Q505" s="2" t="s">
        <v>676</v>
      </c>
      <c r="R505" s="3"/>
    </row>
    <row r="506" spans="1:18">
      <c r="A506" s="14"/>
      <c r="B506" s="42"/>
      <c r="C506" s="10" t="str">
        <f t="shared" si="87"/>
        <v/>
      </c>
      <c r="D506" s="42"/>
      <c r="E506" s="57" t="str">
        <f t="shared" si="88"/>
        <v/>
      </c>
      <c r="F506" s="42"/>
      <c r="G506" s="3"/>
      <c r="H506" s="14"/>
      <c r="I506" s="30"/>
      <c r="J506" s="24"/>
      <c r="K506" s="22"/>
      <c r="L506" s="14"/>
      <c r="M506" s="8"/>
      <c r="N506" s="8"/>
      <c r="O506" s="8"/>
      <c r="P506" s="3"/>
      <c r="Q506" s="3"/>
      <c r="R506" s="3"/>
    </row>
    <row r="507" spans="1:18">
      <c r="A507" s="14"/>
      <c r="B507" s="42"/>
      <c r="C507" s="10" t="str">
        <f t="shared" si="87"/>
        <v>LEAD SOUND DESIGNER</v>
      </c>
      <c r="D507" s="42"/>
      <c r="E507" s="57" t="str">
        <f t="shared" si="88"/>
        <v>HYEJEONG HWANG</v>
      </c>
      <c r="F507" s="42"/>
      <c r="G507" s="3"/>
      <c r="H507" s="14"/>
      <c r="I507" s="30" t="s">
        <v>478</v>
      </c>
      <c r="J507" s="24"/>
      <c r="K507" s="22" t="s">
        <v>441</v>
      </c>
      <c r="L507" s="14"/>
      <c r="M507" s="8"/>
      <c r="N507" s="8"/>
      <c r="O507" s="8" t="s">
        <v>920</v>
      </c>
      <c r="P507" s="3"/>
      <c r="Q507" s="3" t="s">
        <v>885</v>
      </c>
      <c r="R507" s="3"/>
    </row>
    <row r="508" spans="1:18">
      <c r="A508" s="14"/>
      <c r="B508" s="42"/>
      <c r="C508" s="10" t="str">
        <f t="shared" si="87"/>
        <v/>
      </c>
      <c r="D508" s="42"/>
      <c r="E508" s="57" t="str">
        <f t="shared" si="88"/>
        <v/>
      </c>
      <c r="F508" s="42"/>
      <c r="G508" s="3"/>
      <c r="H508" s="3"/>
      <c r="I508" s="30"/>
      <c r="J508" s="24"/>
      <c r="K508" s="22"/>
      <c r="L508" s="3"/>
      <c r="M508" s="8"/>
      <c r="N508" s="8"/>
      <c r="O508" s="8"/>
      <c r="P508" s="3"/>
      <c r="Q508" s="3"/>
      <c r="R508" s="3"/>
    </row>
    <row r="509" spans="1:18">
      <c r="A509" s="14"/>
      <c r="B509" s="42"/>
      <c r="C509" s="10" t="str">
        <f t="shared" si="87"/>
        <v>FOLEY DESIGNER</v>
      </c>
      <c r="D509" s="42"/>
      <c r="E509" s="57" t="str">
        <f t="shared" si="88"/>
        <v>HYEJEONG HWANG</v>
      </c>
      <c r="F509" s="42"/>
      <c r="G509" s="3"/>
      <c r="H509" s="3"/>
      <c r="I509" s="30" t="s">
        <v>479</v>
      </c>
      <c r="J509" s="24"/>
      <c r="K509" s="22" t="s">
        <v>441</v>
      </c>
      <c r="L509" s="3"/>
      <c r="M509" s="8"/>
      <c r="N509" s="8"/>
      <c r="O509" s="8" t="s">
        <v>921</v>
      </c>
      <c r="P509" s="3"/>
      <c r="Q509" s="3" t="s">
        <v>885</v>
      </c>
      <c r="R509" s="3"/>
    </row>
    <row r="510" spans="1:18">
      <c r="A510" s="14"/>
      <c r="B510" s="42"/>
      <c r="C510" s="42" t="str">
        <f t="shared" si="87"/>
        <v/>
      </c>
      <c r="D510" s="42"/>
      <c r="E510" s="57" t="str">
        <f t="shared" si="88"/>
        <v/>
      </c>
      <c r="F510" s="42"/>
      <c r="G510" s="3"/>
      <c r="H510" s="3"/>
      <c r="I510" s="8"/>
      <c r="J510" s="3"/>
      <c r="K510" s="3"/>
      <c r="L510" s="3"/>
      <c r="M510" s="8"/>
      <c r="N510" s="8"/>
      <c r="O510" s="8"/>
      <c r="P510" s="3"/>
      <c r="Q510" s="3"/>
      <c r="R510" s="3"/>
    </row>
    <row r="511" spans="1:18">
      <c r="A511" s="14"/>
      <c r="B511" s="11"/>
      <c r="C511" s="11"/>
      <c r="D511" s="11"/>
      <c r="E511" s="11"/>
      <c r="F511" s="11"/>
      <c r="G511" s="3"/>
      <c r="H511" s="3"/>
      <c r="I511" s="8"/>
      <c r="J511" s="3"/>
      <c r="K511" s="3"/>
      <c r="L511" s="3"/>
      <c r="M511" s="8"/>
      <c r="N511" s="8"/>
      <c r="O511" s="8"/>
      <c r="P511" s="3"/>
      <c r="Q511" s="3"/>
      <c r="R511" s="3"/>
    </row>
    <row r="512" spans="1:18">
      <c r="A512" s="14"/>
      <c r="B512" s="58"/>
      <c r="C512" s="58"/>
      <c r="D512" s="58"/>
      <c r="E512" s="58"/>
      <c r="F512" s="58"/>
      <c r="G512" s="3"/>
      <c r="H512" s="5"/>
      <c r="I512" s="5"/>
      <c r="J512" s="5"/>
      <c r="K512" s="5"/>
      <c r="L512" s="5"/>
      <c r="M512" s="8"/>
      <c r="N512" s="8"/>
      <c r="O512" s="8"/>
      <c r="P512" s="3"/>
      <c r="Q512" s="3"/>
      <c r="R512" s="3"/>
    </row>
    <row r="513" spans="1:18">
      <c r="A513" s="14"/>
      <c r="B513" s="153" t="str">
        <f>UPPER(H513)</f>
        <v>MASTERING</v>
      </c>
      <c r="C513" s="141"/>
      <c r="D513" s="141"/>
      <c r="E513" s="141"/>
      <c r="F513" s="141"/>
      <c r="G513" s="28"/>
      <c r="H513" s="167" t="s">
        <v>481</v>
      </c>
      <c r="I513" s="141"/>
      <c r="J513" s="141"/>
      <c r="K513" s="141"/>
      <c r="L513" s="141"/>
      <c r="M513" s="29"/>
      <c r="N513" s="149" t="s">
        <v>923</v>
      </c>
      <c r="O513" s="141"/>
      <c r="P513" s="141"/>
      <c r="Q513" s="141"/>
      <c r="R513" s="141"/>
    </row>
    <row r="514" spans="1:18">
      <c r="A514" s="14"/>
      <c r="B514" s="42"/>
      <c r="C514" s="10"/>
      <c r="D514" s="42"/>
      <c r="E514" s="57"/>
      <c r="F514" s="59"/>
      <c r="G514" s="3"/>
      <c r="H514" s="3"/>
      <c r="I514" s="8"/>
      <c r="J514" s="3"/>
      <c r="K514" s="3"/>
      <c r="L514" s="3"/>
      <c r="M514" s="8"/>
      <c r="N514" s="3"/>
      <c r="O514" s="8"/>
      <c r="P514" s="3"/>
      <c r="Q514" s="3"/>
      <c r="R514" s="3"/>
    </row>
    <row r="515" spans="1:18">
      <c r="A515" s="14"/>
      <c r="B515" s="42" t="str">
        <f t="shared" ref="B515:C515" si="89">UPPER(H515)</f>
        <v/>
      </c>
      <c r="C515" s="10" t="str">
        <f t="shared" si="89"/>
        <v>STUDIO</v>
      </c>
      <c r="D515" s="42"/>
      <c r="E515" s="57" t="str">
        <f>UPPER(K515)</f>
        <v>SBA</v>
      </c>
      <c r="F515" s="59"/>
      <c r="G515" s="3"/>
      <c r="H515" s="3"/>
      <c r="I515" s="8" t="s">
        <v>482</v>
      </c>
      <c r="J515" s="3"/>
      <c r="K515" s="3" t="s">
        <v>483</v>
      </c>
      <c r="L515" s="3"/>
      <c r="M515" s="8"/>
      <c r="N515" s="3"/>
      <c r="O515" s="8" t="s">
        <v>924</v>
      </c>
      <c r="P515" s="3"/>
      <c r="Q515" s="3" t="s">
        <v>483</v>
      </c>
      <c r="R515" s="3"/>
    </row>
    <row r="516" spans="1:18">
      <c r="A516" s="14"/>
      <c r="B516" s="42"/>
      <c r="C516" s="10"/>
      <c r="D516" s="42"/>
      <c r="E516" s="57"/>
      <c r="F516" s="59"/>
      <c r="G516" s="3"/>
      <c r="H516" s="3"/>
      <c r="I516" s="8"/>
      <c r="J516" s="3"/>
      <c r="K516" s="3"/>
      <c r="L516" s="3"/>
      <c r="M516" s="8"/>
      <c r="N516" s="3"/>
      <c r="O516" s="3"/>
      <c r="P516" s="3"/>
      <c r="Q516" s="3"/>
      <c r="R516" s="3"/>
    </row>
    <row r="517" spans="1:18">
      <c r="A517" s="14"/>
      <c r="B517" s="42"/>
      <c r="C517" s="10" t="str">
        <f>UPPER(I517)</f>
        <v>STUDIO DEPT. DIRECTOR</v>
      </c>
      <c r="D517" s="42"/>
      <c r="E517" s="57" t="str">
        <f>UPPER(K517)</f>
        <v>JONGMIN HAHM</v>
      </c>
      <c r="F517" s="59"/>
      <c r="G517" s="3"/>
      <c r="H517" s="3"/>
      <c r="I517" s="8" t="s">
        <v>484</v>
      </c>
      <c r="J517" s="3"/>
      <c r="K517" s="3" t="s">
        <v>485</v>
      </c>
      <c r="L517" s="3"/>
      <c r="M517" s="8"/>
      <c r="N517" s="3"/>
      <c r="O517" s="8" t="s">
        <v>925</v>
      </c>
      <c r="P517" s="3"/>
      <c r="Q517" s="3" t="s">
        <v>926</v>
      </c>
      <c r="R517" s="3"/>
    </row>
    <row r="518" spans="1:18">
      <c r="A518" s="14"/>
      <c r="B518" s="42"/>
      <c r="C518" s="10"/>
      <c r="D518" s="42"/>
      <c r="E518" s="57"/>
      <c r="F518" s="59"/>
      <c r="G518" s="3"/>
      <c r="H518" s="3"/>
      <c r="I518" s="8"/>
      <c r="J518" s="3"/>
      <c r="K518" s="3"/>
      <c r="L518" s="3"/>
      <c r="M518" s="8"/>
      <c r="N518" s="3"/>
      <c r="O518" s="3"/>
      <c r="P518" s="3"/>
      <c r="Q518" s="3"/>
      <c r="R518" s="3"/>
    </row>
    <row r="519" spans="1:18">
      <c r="A519" s="14"/>
      <c r="B519" s="42" t="str">
        <f t="shared" ref="B519:C519" si="90">UPPER(H519)</f>
        <v/>
      </c>
      <c r="C519" s="10" t="str">
        <f t="shared" si="90"/>
        <v>STUDIO MANAGER</v>
      </c>
      <c r="D519" s="42"/>
      <c r="E519" s="57" t="str">
        <f t="shared" ref="E519:E520" si="91">UPPER(K519)</f>
        <v>MYUNGHOON LEE</v>
      </c>
      <c r="F519" s="59"/>
      <c r="G519" s="3"/>
      <c r="H519" s="3"/>
      <c r="I519" s="8" t="s">
        <v>486</v>
      </c>
      <c r="J519" s="3"/>
      <c r="K519" s="3" t="s">
        <v>487</v>
      </c>
      <c r="L519" s="3"/>
      <c r="M519" s="8"/>
      <c r="N519" s="3"/>
      <c r="O519" s="8" t="s">
        <v>927</v>
      </c>
      <c r="P519" s="3"/>
      <c r="Q519" s="3" t="s">
        <v>928</v>
      </c>
      <c r="R519" s="3"/>
    </row>
    <row r="520" spans="1:18">
      <c r="A520" s="14"/>
      <c r="B520" s="42" t="str">
        <f t="shared" ref="B520:C520" si="92">UPPER(H520)</f>
        <v/>
      </c>
      <c r="C520" s="10" t="str">
        <f t="shared" si="92"/>
        <v/>
      </c>
      <c r="D520" s="42"/>
      <c r="E520" s="57" t="str">
        <f t="shared" si="91"/>
        <v>HAESU JEON</v>
      </c>
      <c r="F520" s="59"/>
      <c r="G520" s="3"/>
      <c r="H520" s="3"/>
      <c r="I520" s="8"/>
      <c r="J520" s="3"/>
      <c r="K520" s="3" t="s">
        <v>488</v>
      </c>
      <c r="L520" s="3"/>
      <c r="M520" s="8"/>
      <c r="N520" s="8"/>
      <c r="O520" s="3"/>
      <c r="P520" s="3"/>
      <c r="Q520" s="3" t="s">
        <v>929</v>
      </c>
      <c r="R520" s="3"/>
    </row>
    <row r="521" spans="1:18">
      <c r="A521" s="14"/>
      <c r="B521" s="42"/>
      <c r="C521" s="10"/>
      <c r="D521" s="42"/>
      <c r="E521" s="57"/>
      <c r="F521" s="59"/>
      <c r="G521" s="3"/>
      <c r="H521" s="3"/>
      <c r="I521" s="8"/>
      <c r="J521" s="3"/>
      <c r="K521" s="3"/>
      <c r="L521" s="3"/>
      <c r="M521" s="8"/>
      <c r="N521" s="8"/>
      <c r="O521" s="8"/>
      <c r="P521" s="3"/>
      <c r="Q521" s="3"/>
      <c r="R521" s="3"/>
    </row>
    <row r="522" spans="1:18">
      <c r="A522" s="14"/>
      <c r="B522" s="11"/>
      <c r="C522" s="12" t="str">
        <f>UPPER(I522)</f>
        <v/>
      </c>
      <c r="D522" s="11"/>
      <c r="E522" s="11" t="str">
        <f>UPPER(K522)</f>
        <v/>
      </c>
      <c r="F522" s="11"/>
      <c r="G522" s="3"/>
      <c r="H522" s="3"/>
      <c r="I522" s="8"/>
      <c r="J522" s="3"/>
      <c r="K522" s="13"/>
      <c r="L522" s="3"/>
      <c r="M522" s="8"/>
      <c r="N522" s="8"/>
      <c r="O522" s="8"/>
      <c r="P522" s="3"/>
      <c r="Q522" s="3"/>
      <c r="R522" s="3"/>
    </row>
    <row r="523" spans="1:18">
      <c r="A523" s="14"/>
      <c r="B523" s="58"/>
      <c r="C523" s="58"/>
      <c r="D523" s="58"/>
      <c r="E523" s="58"/>
      <c r="F523" s="58"/>
      <c r="G523" s="3"/>
      <c r="H523" s="5"/>
      <c r="I523" s="5"/>
      <c r="J523" s="5"/>
      <c r="K523" s="5"/>
      <c r="L523" s="5"/>
      <c r="M523" s="8"/>
      <c r="N523" s="8"/>
      <c r="O523" s="8"/>
      <c r="P523" s="3"/>
      <c r="Q523" s="3"/>
      <c r="R523" s="3"/>
    </row>
    <row r="524" spans="1:18">
      <c r="A524" s="14"/>
      <c r="B524" s="153" t="str">
        <f t="shared" ref="B524:B526" si="93">UPPER(H524)</f>
        <v>MASTERING</v>
      </c>
      <c r="C524" s="141"/>
      <c r="D524" s="141"/>
      <c r="E524" s="141"/>
      <c r="F524" s="141"/>
      <c r="G524" s="28"/>
      <c r="H524" s="167" t="s">
        <v>481</v>
      </c>
      <c r="I524" s="141"/>
      <c r="J524" s="141"/>
      <c r="K524" s="141"/>
      <c r="L524" s="141"/>
      <c r="M524" s="8"/>
      <c r="N524" s="149" t="s">
        <v>923</v>
      </c>
      <c r="O524" s="141"/>
      <c r="P524" s="141"/>
      <c r="Q524" s="141"/>
      <c r="R524" s="141"/>
    </row>
    <row r="525" spans="1:18">
      <c r="A525" s="14"/>
      <c r="B525" s="146" t="str">
        <f t="shared" si="93"/>
        <v>IYUNO</v>
      </c>
      <c r="C525" s="141"/>
      <c r="D525" s="141"/>
      <c r="E525" s="141"/>
      <c r="F525" s="141"/>
      <c r="G525" s="3"/>
      <c r="H525" s="169" t="s">
        <v>489</v>
      </c>
      <c r="I525" s="141"/>
      <c r="J525" s="141"/>
      <c r="K525" s="141"/>
      <c r="L525" s="141"/>
      <c r="M525" s="8"/>
      <c r="N525" s="155" t="s">
        <v>489</v>
      </c>
      <c r="O525" s="141"/>
      <c r="P525" s="141"/>
      <c r="Q525" s="141"/>
      <c r="R525" s="141"/>
    </row>
    <row r="526" spans="1:18">
      <c r="A526" s="14"/>
      <c r="B526" s="42" t="str">
        <f t="shared" si="93"/>
        <v/>
      </c>
      <c r="C526" s="10" t="str">
        <f t="shared" ref="C526:C529" si="94">UPPER(I526)</f>
        <v/>
      </c>
      <c r="D526" s="42"/>
      <c r="E526" s="57" t="str">
        <f t="shared" ref="E526:E535" si="95">UPPER(K526)</f>
        <v/>
      </c>
      <c r="F526" s="59"/>
      <c r="G526" s="3"/>
      <c r="H526" s="3"/>
      <c r="I526" s="8"/>
      <c r="J526" s="3"/>
      <c r="K526" s="3"/>
      <c r="L526" s="3"/>
      <c r="M526" s="8"/>
      <c r="N526" s="8"/>
      <c r="O526" s="21"/>
      <c r="P526" s="3"/>
      <c r="Q526" s="3"/>
      <c r="R526" s="3"/>
    </row>
    <row r="527" spans="1:18">
      <c r="A527" s="14"/>
      <c r="B527" s="42"/>
      <c r="C527" s="10" t="str">
        <f t="shared" si="94"/>
        <v>MEDIA OPERATIONS SUPERVISOR</v>
      </c>
      <c r="D527" s="42"/>
      <c r="E527" s="57" t="str">
        <f t="shared" si="95"/>
        <v>JINWOO YANG</v>
      </c>
      <c r="F527" s="59"/>
      <c r="G527" s="3"/>
      <c r="H527" s="3"/>
      <c r="I527" s="8" t="s">
        <v>490</v>
      </c>
      <c r="J527" s="3"/>
      <c r="K527" s="3" t="s">
        <v>491</v>
      </c>
      <c r="L527" s="3"/>
      <c r="M527" s="8"/>
      <c r="N527" s="8"/>
      <c r="O527" s="21" t="s">
        <v>930</v>
      </c>
      <c r="P527" s="3"/>
      <c r="Q527" s="3" t="s">
        <v>931</v>
      </c>
      <c r="R527" s="3"/>
    </row>
    <row r="528" spans="1:18">
      <c r="A528" s="14"/>
      <c r="B528" s="42"/>
      <c r="C528" s="10" t="str">
        <f t="shared" si="94"/>
        <v/>
      </c>
      <c r="D528" s="42"/>
      <c r="E528" s="57" t="str">
        <f t="shared" si="95"/>
        <v/>
      </c>
      <c r="F528" s="59"/>
      <c r="G528" s="3"/>
      <c r="H528" s="3"/>
      <c r="I528" s="8"/>
      <c r="J528" s="3"/>
      <c r="K528" s="3"/>
      <c r="L528" s="3"/>
      <c r="M528" s="8"/>
      <c r="N528" s="8"/>
      <c r="O528" s="21"/>
      <c r="P528" s="3"/>
      <c r="Q528" s="3"/>
      <c r="R528" s="3"/>
    </row>
    <row r="529" spans="1:18">
      <c r="A529" s="14"/>
      <c r="B529" s="42"/>
      <c r="C529" s="10" t="str">
        <f t="shared" si="94"/>
        <v>PROJECT MANAGER</v>
      </c>
      <c r="D529" s="42"/>
      <c r="E529" s="57" t="str">
        <f t="shared" si="95"/>
        <v>WONJEONG SONG</v>
      </c>
      <c r="F529" s="59"/>
      <c r="G529" s="3"/>
      <c r="H529" s="3"/>
      <c r="I529" s="8" t="s">
        <v>492</v>
      </c>
      <c r="J529" s="3"/>
      <c r="K529" s="3" t="s">
        <v>493</v>
      </c>
      <c r="L529" s="3"/>
      <c r="M529" s="8"/>
      <c r="N529" s="8"/>
      <c r="O529" s="21" t="s">
        <v>932</v>
      </c>
      <c r="P529" s="3"/>
      <c r="Q529" s="3" t="s">
        <v>933</v>
      </c>
      <c r="R529" s="3"/>
    </row>
    <row r="530" spans="1:18">
      <c r="A530" s="14"/>
      <c r="B530" s="42" t="str">
        <f t="shared" ref="B530:C530" si="96">UPPER(H530)</f>
        <v/>
      </c>
      <c r="C530" s="10" t="str">
        <f t="shared" si="96"/>
        <v/>
      </c>
      <c r="D530" s="42"/>
      <c r="E530" s="57" t="str">
        <f t="shared" si="95"/>
        <v/>
      </c>
      <c r="F530" s="59"/>
      <c r="G530" s="3"/>
      <c r="H530" s="3"/>
      <c r="I530" s="8"/>
      <c r="J530" s="3"/>
      <c r="K530" s="3"/>
      <c r="L530" s="3"/>
      <c r="M530" s="8"/>
      <c r="N530" s="8"/>
      <c r="O530" s="21"/>
      <c r="P530" s="3"/>
      <c r="Q530" s="3"/>
      <c r="R530" s="3"/>
    </row>
    <row r="531" spans="1:18">
      <c r="A531" s="14"/>
      <c r="B531" s="42" t="str">
        <f t="shared" ref="B531:C531" si="97">UPPER(H531)</f>
        <v/>
      </c>
      <c r="C531" s="10" t="str">
        <f t="shared" si="97"/>
        <v>VIDEO EDITOR</v>
      </c>
      <c r="D531" s="42"/>
      <c r="E531" s="57" t="str">
        <f t="shared" si="95"/>
        <v>SANGYOUNG CHO</v>
      </c>
      <c r="F531" s="59"/>
      <c r="G531" s="3"/>
      <c r="H531" s="3"/>
      <c r="I531" s="8" t="s">
        <v>494</v>
      </c>
      <c r="J531" s="3"/>
      <c r="K531" s="3" t="s">
        <v>495</v>
      </c>
      <c r="L531" s="3"/>
      <c r="M531" s="8"/>
      <c r="N531" s="8"/>
      <c r="O531" s="21" t="s">
        <v>934</v>
      </c>
      <c r="P531" s="3"/>
      <c r="Q531" s="3" t="s">
        <v>935</v>
      </c>
      <c r="R531" s="3"/>
    </row>
    <row r="532" spans="1:18">
      <c r="A532" s="14"/>
      <c r="B532" s="42"/>
      <c r="C532" s="10" t="str">
        <f t="shared" ref="C532:C535" si="98">UPPER(I532)</f>
        <v/>
      </c>
      <c r="D532" s="42"/>
      <c r="E532" s="57" t="str">
        <f t="shared" si="95"/>
        <v>JINAH JEONG</v>
      </c>
      <c r="F532" s="59"/>
      <c r="G532" s="3"/>
      <c r="H532" s="3"/>
      <c r="I532" s="8"/>
      <c r="J532" s="3"/>
      <c r="K532" s="3" t="s">
        <v>496</v>
      </c>
      <c r="L532" s="3"/>
      <c r="M532" s="8"/>
      <c r="N532" s="8"/>
      <c r="O532" s="21"/>
      <c r="P532" s="3"/>
      <c r="Q532" s="3" t="s">
        <v>936</v>
      </c>
      <c r="R532" s="3"/>
    </row>
    <row r="533" spans="1:18">
      <c r="A533" s="14"/>
      <c r="B533" s="42"/>
      <c r="C533" s="10" t="str">
        <f t="shared" si="98"/>
        <v/>
      </c>
      <c r="D533" s="42"/>
      <c r="E533" s="57" t="str">
        <f t="shared" si="95"/>
        <v>SONGI YOON</v>
      </c>
      <c r="F533" s="59"/>
      <c r="G533" s="3"/>
      <c r="H533" s="3"/>
      <c r="I533" s="8"/>
      <c r="J533" s="3"/>
      <c r="K533" s="3" t="s">
        <v>497</v>
      </c>
      <c r="L533" s="3"/>
      <c r="M533" s="8"/>
      <c r="N533" s="8"/>
      <c r="O533" s="21"/>
      <c r="P533" s="3"/>
      <c r="Q533" s="3" t="s">
        <v>937</v>
      </c>
      <c r="R533" s="3"/>
    </row>
    <row r="534" spans="1:18">
      <c r="A534" s="14"/>
      <c r="B534" s="42"/>
      <c r="C534" s="10" t="str">
        <f t="shared" si="98"/>
        <v/>
      </c>
      <c r="D534" s="42"/>
      <c r="E534" s="57" t="str">
        <f t="shared" si="95"/>
        <v/>
      </c>
      <c r="F534" s="59"/>
      <c r="G534" s="3"/>
      <c r="H534" s="3"/>
      <c r="I534" s="8"/>
      <c r="J534" s="3"/>
      <c r="K534" s="3"/>
      <c r="L534" s="3"/>
      <c r="M534" s="8"/>
      <c r="N534" s="8"/>
      <c r="O534" s="21"/>
      <c r="P534" s="3"/>
      <c r="Q534" s="3"/>
      <c r="R534" s="3"/>
    </row>
    <row r="535" spans="1:18">
      <c r="A535" s="14"/>
      <c r="B535" s="42"/>
      <c r="C535" s="10" t="str">
        <f t="shared" si="98"/>
        <v>ASSET MANAGER</v>
      </c>
      <c r="D535" s="42"/>
      <c r="E535" s="57" t="str">
        <f t="shared" si="95"/>
        <v>SANGMIN PARK</v>
      </c>
      <c r="F535" s="59"/>
      <c r="G535" s="3"/>
      <c r="H535" s="3"/>
      <c r="I535" s="8" t="s">
        <v>498</v>
      </c>
      <c r="J535" s="3"/>
      <c r="K535" s="3" t="s">
        <v>499</v>
      </c>
      <c r="L535" s="3"/>
      <c r="M535" s="8"/>
      <c r="N535" s="8"/>
      <c r="O535" s="21" t="s">
        <v>938</v>
      </c>
      <c r="P535" s="3"/>
      <c r="Q535" s="3" t="s">
        <v>939</v>
      </c>
      <c r="R535" s="3"/>
    </row>
    <row r="536" spans="1:18">
      <c r="A536" s="14"/>
      <c r="B536" s="9"/>
      <c r="C536" s="9"/>
      <c r="D536" s="9"/>
      <c r="E536" s="9"/>
      <c r="F536" s="9"/>
      <c r="G536" s="3"/>
      <c r="H536" s="3"/>
      <c r="I536" s="8"/>
      <c r="J536" s="3"/>
      <c r="K536" s="3"/>
      <c r="L536" s="3"/>
      <c r="M536" s="8"/>
      <c r="N536" s="8"/>
      <c r="O536" s="8"/>
      <c r="P536" s="3"/>
      <c r="Q536" s="3"/>
      <c r="R536" s="3"/>
    </row>
    <row r="537" spans="1:18">
      <c r="A537" s="14"/>
      <c r="B537" s="11"/>
      <c r="C537" s="12"/>
      <c r="D537" s="11"/>
      <c r="E537" s="11"/>
      <c r="F537" s="11"/>
      <c r="G537" s="3"/>
      <c r="H537" s="3"/>
      <c r="I537" s="8"/>
      <c r="J537" s="3"/>
      <c r="K537" s="13"/>
      <c r="L537" s="3"/>
      <c r="M537" s="8"/>
      <c r="N537" s="8"/>
      <c r="O537" s="8"/>
      <c r="P537" s="3"/>
      <c r="Q537" s="3"/>
      <c r="R537" s="3"/>
    </row>
    <row r="538" spans="1:18">
      <c r="A538" s="14"/>
      <c r="B538" s="6"/>
      <c r="C538" s="6"/>
      <c r="D538" s="6"/>
      <c r="E538" s="6"/>
      <c r="F538" s="6"/>
      <c r="G538" s="3"/>
      <c r="H538" s="5"/>
      <c r="I538" s="5"/>
      <c r="J538" s="5"/>
      <c r="K538" s="5"/>
      <c r="L538" s="5"/>
      <c r="M538" s="8"/>
      <c r="N538" s="8"/>
      <c r="O538" s="8"/>
      <c r="P538" s="3"/>
      <c r="Q538" s="3"/>
      <c r="R538" s="3"/>
    </row>
    <row r="539" spans="1:18">
      <c r="A539" s="14"/>
      <c r="B539" s="150" t="str">
        <f>UPPER(H539)</f>
        <v>TENCENT VIDEO</v>
      </c>
      <c r="C539" s="141"/>
      <c r="D539" s="141"/>
      <c r="E539" s="141"/>
      <c r="F539" s="141"/>
      <c r="G539" s="28"/>
      <c r="H539" s="167" t="s">
        <v>500</v>
      </c>
      <c r="I539" s="141"/>
      <c r="J539" s="141"/>
      <c r="K539" s="141"/>
      <c r="L539" s="141"/>
      <c r="M539" s="29"/>
      <c r="N539" s="149" t="s">
        <v>500</v>
      </c>
      <c r="O539" s="141"/>
      <c r="P539" s="141"/>
      <c r="Q539" s="141"/>
      <c r="R539" s="141"/>
    </row>
    <row r="540" spans="1:18">
      <c r="A540" s="14"/>
      <c r="B540" s="9"/>
      <c r="C540" s="10" t="str">
        <f t="shared" ref="C540:C560" si="99">UPPER(I540)</f>
        <v>BUSINESS DIRECTOR</v>
      </c>
      <c r="D540" s="9"/>
      <c r="E540" s="9" t="str">
        <f t="shared" ref="E540:E562" si="100">UPPER(K540)</f>
        <v>VERN WANG</v>
      </c>
      <c r="F540" s="9"/>
      <c r="G540" s="3"/>
      <c r="H540" s="3"/>
      <c r="I540" s="8" t="s">
        <v>501</v>
      </c>
      <c r="J540" s="3"/>
      <c r="K540" s="2" t="s">
        <v>502</v>
      </c>
      <c r="L540" s="3"/>
      <c r="M540" s="8"/>
      <c r="N540" s="8"/>
      <c r="O540" s="8" t="s">
        <v>501</v>
      </c>
      <c r="P540" s="3"/>
      <c r="Q540" s="2" t="s">
        <v>502</v>
      </c>
      <c r="R540" s="3"/>
    </row>
    <row r="541" spans="1:18">
      <c r="A541" s="14"/>
      <c r="B541" s="9"/>
      <c r="C541" s="10" t="str">
        <f t="shared" si="99"/>
        <v/>
      </c>
      <c r="D541" s="9"/>
      <c r="E541" s="9" t="str">
        <f t="shared" si="100"/>
        <v>ANN WANG</v>
      </c>
      <c r="F541" s="9"/>
      <c r="G541" s="3"/>
      <c r="H541" s="3"/>
      <c r="I541" s="8"/>
      <c r="J541" s="3"/>
      <c r="K541" s="2" t="s">
        <v>503</v>
      </c>
      <c r="L541" s="7"/>
      <c r="M541" s="7"/>
      <c r="N541" s="7"/>
      <c r="O541" s="8"/>
      <c r="P541" s="3"/>
      <c r="Q541" s="2" t="s">
        <v>503</v>
      </c>
      <c r="R541" s="3"/>
    </row>
    <row r="542" spans="1:18">
      <c r="A542" s="14"/>
      <c r="B542" s="9"/>
      <c r="C542" s="10" t="str">
        <f t="shared" si="99"/>
        <v>PRODUCER</v>
      </c>
      <c r="D542" s="9"/>
      <c r="E542" s="9" t="str">
        <f t="shared" si="100"/>
        <v>LEEGER LIU</v>
      </c>
      <c r="F542" s="9"/>
      <c r="G542" s="3"/>
      <c r="H542" s="3"/>
      <c r="I542" s="36" t="s">
        <v>504</v>
      </c>
      <c r="J542" s="3"/>
      <c r="K542" s="2" t="s">
        <v>505</v>
      </c>
      <c r="L542" s="7"/>
      <c r="M542" s="7"/>
      <c r="N542" s="7"/>
      <c r="O542" s="36" t="s">
        <v>504</v>
      </c>
      <c r="P542" s="3"/>
      <c r="Q542" s="2" t="s">
        <v>505</v>
      </c>
      <c r="R542" s="3"/>
    </row>
    <row r="543" spans="1:18">
      <c r="A543" s="14"/>
      <c r="B543" s="9"/>
      <c r="C543" s="10" t="str">
        <f t="shared" si="99"/>
        <v/>
      </c>
      <c r="D543" s="9"/>
      <c r="E543" s="9" t="str">
        <f t="shared" si="100"/>
        <v>ANGEL GENG</v>
      </c>
      <c r="F543" s="9"/>
      <c r="G543" s="3"/>
      <c r="H543" s="3"/>
      <c r="I543" s="8"/>
      <c r="J543" s="3"/>
      <c r="K543" s="2" t="s">
        <v>506</v>
      </c>
      <c r="L543" s="7"/>
      <c r="M543" s="7"/>
      <c r="N543" s="7"/>
      <c r="O543" s="8"/>
      <c r="P543" s="3"/>
      <c r="Q543" s="2" t="s">
        <v>506</v>
      </c>
      <c r="R543" s="3"/>
    </row>
    <row r="544" spans="1:18">
      <c r="A544" s="14"/>
      <c r="B544" s="9"/>
      <c r="C544" s="10" t="str">
        <f t="shared" si="99"/>
        <v/>
      </c>
      <c r="D544" s="9"/>
      <c r="E544" s="9" t="str">
        <f t="shared" si="100"/>
        <v>LILLIANS LI</v>
      </c>
      <c r="F544" s="9"/>
      <c r="G544" s="3"/>
      <c r="H544" s="3"/>
      <c r="I544" s="8"/>
      <c r="J544" s="3"/>
      <c r="K544" s="2" t="s">
        <v>507</v>
      </c>
      <c r="L544" s="60"/>
      <c r="M544" s="60"/>
      <c r="N544" s="60"/>
      <c r="O544" s="8"/>
      <c r="P544" s="3"/>
      <c r="Q544" s="2" t="s">
        <v>507</v>
      </c>
      <c r="R544" s="3"/>
    </row>
    <row r="545" spans="1:18">
      <c r="A545" s="14"/>
      <c r="B545" s="9"/>
      <c r="C545" s="10" t="str">
        <f t="shared" si="99"/>
        <v>PROGRAMMING EDITOR</v>
      </c>
      <c r="D545" s="9"/>
      <c r="E545" s="9" t="str">
        <f t="shared" si="100"/>
        <v>XINCI CHANG</v>
      </c>
      <c r="F545" s="9"/>
      <c r="G545" s="3"/>
      <c r="H545" s="3"/>
      <c r="I545" s="36" t="s">
        <v>508</v>
      </c>
      <c r="J545" s="3"/>
      <c r="K545" s="2" t="s">
        <v>509</v>
      </c>
      <c r="L545" s="7"/>
      <c r="M545" s="7"/>
      <c r="N545" s="7"/>
      <c r="O545" s="36" t="s">
        <v>508</v>
      </c>
      <c r="P545" s="3"/>
      <c r="Q545" s="2" t="s">
        <v>509</v>
      </c>
      <c r="R545" s="3"/>
    </row>
    <row r="546" spans="1:18">
      <c r="A546" s="14"/>
      <c r="B546" s="9"/>
      <c r="C546" s="10" t="str">
        <f t="shared" si="99"/>
        <v/>
      </c>
      <c r="D546" s="9"/>
      <c r="E546" s="9" t="str">
        <f t="shared" si="100"/>
        <v>NAIYUE HU</v>
      </c>
      <c r="F546" s="9"/>
      <c r="G546" s="3"/>
      <c r="H546" s="3"/>
      <c r="I546" s="8"/>
      <c r="J546" s="3"/>
      <c r="K546" s="2" t="s">
        <v>510</v>
      </c>
      <c r="L546" s="7"/>
      <c r="M546" s="7"/>
      <c r="N546" s="7"/>
      <c r="O546" s="8"/>
      <c r="P546" s="3"/>
      <c r="Q546" s="2" t="s">
        <v>510</v>
      </c>
      <c r="R546" s="3"/>
    </row>
    <row r="547" spans="1:18">
      <c r="A547" s="14"/>
      <c r="B547" s="9"/>
      <c r="C547" s="10" t="str">
        <f t="shared" si="99"/>
        <v/>
      </c>
      <c r="D547" s="9"/>
      <c r="E547" s="9" t="str">
        <f t="shared" si="100"/>
        <v>JING LIN</v>
      </c>
      <c r="F547" s="9"/>
      <c r="G547" s="3"/>
      <c r="H547" s="3"/>
      <c r="I547" s="8"/>
      <c r="J547" s="3"/>
      <c r="K547" s="2" t="s">
        <v>511</v>
      </c>
      <c r="L547" s="7"/>
      <c r="M547" s="7"/>
      <c r="N547" s="7"/>
      <c r="O547" s="8"/>
      <c r="P547" s="3"/>
      <c r="Q547" s="2" t="s">
        <v>511</v>
      </c>
      <c r="R547" s="3"/>
    </row>
    <row r="548" spans="1:18">
      <c r="A548" s="14"/>
      <c r="B548" s="9"/>
      <c r="C548" s="10" t="str">
        <f t="shared" si="99"/>
        <v/>
      </c>
      <c r="D548" s="9"/>
      <c r="E548" s="9" t="str">
        <f t="shared" si="100"/>
        <v>YOYO GAO</v>
      </c>
      <c r="F548" s="9"/>
      <c r="G548" s="3"/>
      <c r="H548" s="3"/>
      <c r="I548" s="8"/>
      <c r="J548" s="3"/>
      <c r="K548" s="2" t="s">
        <v>512</v>
      </c>
      <c r="L548" s="7"/>
      <c r="M548" s="7"/>
      <c r="N548" s="7"/>
      <c r="O548" s="8"/>
      <c r="P548" s="3"/>
      <c r="Q548" s="2" t="s">
        <v>512</v>
      </c>
      <c r="R548" s="3"/>
    </row>
    <row r="549" spans="1:18">
      <c r="A549" s="14"/>
      <c r="B549" s="9"/>
      <c r="C549" s="10" t="str">
        <f t="shared" si="99"/>
        <v/>
      </c>
      <c r="D549" s="9"/>
      <c r="E549" s="9" t="str">
        <f t="shared" si="100"/>
        <v>KRYSTAL YANG</v>
      </c>
      <c r="F549" s="9"/>
      <c r="G549" s="3"/>
      <c r="H549" s="3"/>
      <c r="I549" s="8"/>
      <c r="J549" s="3"/>
      <c r="K549" s="2" t="s">
        <v>513</v>
      </c>
      <c r="L549" s="7"/>
      <c r="M549" s="7"/>
      <c r="N549" s="7"/>
      <c r="O549" s="8"/>
      <c r="P549" s="3"/>
      <c r="Q549" s="2" t="s">
        <v>513</v>
      </c>
      <c r="R549" s="3"/>
    </row>
    <row r="550" spans="1:18">
      <c r="A550" s="14"/>
      <c r="B550" s="9"/>
      <c r="C550" s="10" t="str">
        <f t="shared" si="99"/>
        <v/>
      </c>
      <c r="D550" s="9"/>
      <c r="E550" s="9" t="str">
        <f t="shared" si="100"/>
        <v>BETTY MEI</v>
      </c>
      <c r="F550" s="9"/>
      <c r="G550" s="3"/>
      <c r="H550" s="3"/>
      <c r="I550" s="8"/>
      <c r="J550" s="3"/>
      <c r="K550" s="2" t="s">
        <v>514</v>
      </c>
      <c r="L550" s="7"/>
      <c r="M550" s="7"/>
      <c r="N550" s="7"/>
      <c r="O550" s="8"/>
      <c r="P550" s="3"/>
      <c r="Q550" s="2" t="s">
        <v>514</v>
      </c>
      <c r="R550" s="3"/>
    </row>
    <row r="551" spans="1:18">
      <c r="A551" s="14"/>
      <c r="B551" s="9"/>
      <c r="C551" s="10" t="str">
        <f t="shared" si="99"/>
        <v/>
      </c>
      <c r="D551" s="9"/>
      <c r="E551" s="9" t="str">
        <f t="shared" si="100"/>
        <v>RHEA LIU</v>
      </c>
      <c r="F551" s="9"/>
      <c r="G551" s="3"/>
      <c r="H551" s="3"/>
      <c r="I551" s="8"/>
      <c r="J551" s="3"/>
      <c r="K551" s="2" t="s">
        <v>515</v>
      </c>
      <c r="L551" s="7"/>
      <c r="M551" s="7"/>
      <c r="N551" s="7"/>
      <c r="O551" s="8"/>
      <c r="P551" s="3"/>
      <c r="Q551" s="2" t="s">
        <v>515</v>
      </c>
      <c r="R551" s="3"/>
    </row>
    <row r="552" spans="1:18">
      <c r="A552" s="14"/>
      <c r="B552" s="9"/>
      <c r="C552" s="10" t="str">
        <f t="shared" si="99"/>
        <v/>
      </c>
      <c r="D552" s="9"/>
      <c r="E552" s="9" t="str">
        <f t="shared" si="100"/>
        <v>ZHENGDAO CHEN</v>
      </c>
      <c r="F552" s="9"/>
      <c r="G552" s="3"/>
      <c r="H552" s="3"/>
      <c r="I552" s="8"/>
      <c r="J552" s="3"/>
      <c r="K552" s="2" t="s">
        <v>516</v>
      </c>
      <c r="L552" s="3"/>
      <c r="M552" s="8"/>
      <c r="N552" s="8"/>
      <c r="O552" s="8"/>
      <c r="P552" s="3"/>
      <c r="Q552" s="2" t="s">
        <v>516</v>
      </c>
      <c r="R552" s="3"/>
    </row>
    <row r="553" spans="1:18">
      <c r="A553" s="14"/>
      <c r="B553" s="9"/>
      <c r="C553" s="10" t="str">
        <f t="shared" si="99"/>
        <v>BUSINESS EDITOR</v>
      </c>
      <c r="D553" s="9"/>
      <c r="E553" s="9" t="str">
        <f t="shared" si="100"/>
        <v>LAINEY LIU</v>
      </c>
      <c r="F553" s="9"/>
      <c r="G553" s="3"/>
      <c r="H553" s="3"/>
      <c r="I553" s="36" t="s">
        <v>517</v>
      </c>
      <c r="J553" s="3"/>
      <c r="K553" s="2" t="s">
        <v>518</v>
      </c>
      <c r="L553" s="3"/>
      <c r="M553" s="8"/>
      <c r="N553" s="8"/>
      <c r="O553" s="36" t="s">
        <v>517</v>
      </c>
      <c r="P553" s="3"/>
      <c r="Q553" s="2" t="s">
        <v>518</v>
      </c>
      <c r="R553" s="3"/>
    </row>
    <row r="554" spans="1:18">
      <c r="A554" s="14"/>
      <c r="B554" s="9"/>
      <c r="C554" s="10" t="str">
        <f t="shared" si="99"/>
        <v/>
      </c>
      <c r="D554" s="9"/>
      <c r="E554" s="9" t="str">
        <f t="shared" si="100"/>
        <v>DEE ZHANG</v>
      </c>
      <c r="F554" s="9"/>
      <c r="G554" s="3"/>
      <c r="H554" s="3"/>
      <c r="I554" s="8"/>
      <c r="J554" s="3"/>
      <c r="K554" s="2" t="s">
        <v>519</v>
      </c>
      <c r="L554" s="3"/>
      <c r="M554" s="8"/>
      <c r="N554" s="8"/>
      <c r="O554" s="8"/>
      <c r="P554" s="3"/>
      <c r="Q554" s="2" t="s">
        <v>519</v>
      </c>
      <c r="R554" s="3"/>
    </row>
    <row r="555" spans="1:18">
      <c r="A555" s="14"/>
      <c r="B555" s="9"/>
      <c r="C555" s="10" t="str">
        <f t="shared" si="99"/>
        <v>LEGAL</v>
      </c>
      <c r="D555" s="9"/>
      <c r="E555" s="9" t="str">
        <f t="shared" si="100"/>
        <v>KAN ZHANG</v>
      </c>
      <c r="F555" s="9"/>
      <c r="G555" s="3"/>
      <c r="H555" s="3"/>
      <c r="I555" s="36" t="s">
        <v>520</v>
      </c>
      <c r="J555" s="3"/>
      <c r="K555" s="2" t="s">
        <v>521</v>
      </c>
      <c r="L555" s="3"/>
      <c r="M555" s="8"/>
      <c r="N555" s="8"/>
      <c r="O555" s="36" t="s">
        <v>520</v>
      </c>
      <c r="P555" s="3"/>
      <c r="Q555" s="2" t="s">
        <v>521</v>
      </c>
      <c r="R555" s="3"/>
    </row>
    <row r="556" spans="1:18">
      <c r="A556" s="14"/>
      <c r="B556" s="9"/>
      <c r="C556" s="10" t="str">
        <f t="shared" si="99"/>
        <v>FINANCE &amp; TAX</v>
      </c>
      <c r="D556" s="9"/>
      <c r="E556" s="9" t="str">
        <f t="shared" si="100"/>
        <v xml:space="preserve">XIAOCHEN ZHANG </v>
      </c>
      <c r="F556" s="9"/>
      <c r="G556" s="3"/>
      <c r="H556" s="3"/>
      <c r="I556" s="36" t="s">
        <v>522</v>
      </c>
      <c r="J556" s="3"/>
      <c r="K556" s="2" t="s">
        <v>523</v>
      </c>
      <c r="L556" s="3"/>
      <c r="M556" s="8"/>
      <c r="N556" s="8"/>
      <c r="O556" s="36" t="s">
        <v>522</v>
      </c>
      <c r="P556" s="3"/>
      <c r="Q556" s="2" t="s">
        <v>523</v>
      </c>
      <c r="R556" s="3"/>
    </row>
    <row r="557" spans="1:18">
      <c r="A557" s="14"/>
      <c r="B557" s="9"/>
      <c r="C557" s="10" t="str">
        <f t="shared" si="99"/>
        <v/>
      </c>
      <c r="D557" s="9"/>
      <c r="E557" s="9" t="str">
        <f t="shared" si="100"/>
        <v>YING CHEN</v>
      </c>
      <c r="F557" s="9"/>
      <c r="G557" s="3"/>
      <c r="H557" s="3"/>
      <c r="I557" s="2"/>
      <c r="J557" s="3"/>
      <c r="K557" s="2" t="s">
        <v>524</v>
      </c>
      <c r="L557" s="3"/>
      <c r="M557" s="8"/>
      <c r="N557" s="8"/>
      <c r="O557" s="2"/>
      <c r="P557" s="3"/>
      <c r="Q557" s="2" t="s">
        <v>524</v>
      </c>
      <c r="R557" s="3"/>
    </row>
    <row r="558" spans="1:18">
      <c r="A558" s="14"/>
      <c r="B558" s="9"/>
      <c r="C558" s="10" t="str">
        <f t="shared" si="99"/>
        <v>MARKETING</v>
      </c>
      <c r="D558" s="9"/>
      <c r="E558" s="9" t="str">
        <f t="shared" si="100"/>
        <v>TRACY CUI</v>
      </c>
      <c r="F558" s="9"/>
      <c r="G558" s="3"/>
      <c r="H558" s="3"/>
      <c r="I558" s="36" t="s">
        <v>525</v>
      </c>
      <c r="J558" s="3"/>
      <c r="K558" s="2" t="s">
        <v>526</v>
      </c>
      <c r="L558" s="3"/>
      <c r="M558" s="8"/>
      <c r="N558" s="8"/>
      <c r="O558" s="36" t="s">
        <v>525</v>
      </c>
      <c r="P558" s="3"/>
      <c r="Q558" s="2" t="s">
        <v>526</v>
      </c>
      <c r="R558" s="3"/>
    </row>
    <row r="559" spans="1:18">
      <c r="A559" s="14"/>
      <c r="B559" s="9"/>
      <c r="C559" s="10" t="str">
        <f t="shared" si="99"/>
        <v/>
      </c>
      <c r="D559" s="9"/>
      <c r="E559" s="9" t="str">
        <f t="shared" si="100"/>
        <v>MENGJIE HE</v>
      </c>
      <c r="F559" s="9"/>
      <c r="G559" s="3"/>
      <c r="H559" s="3"/>
      <c r="I559" s="8"/>
      <c r="J559" s="3"/>
      <c r="K559" s="2" t="s">
        <v>527</v>
      </c>
      <c r="L559" s="3"/>
      <c r="M559" s="8"/>
      <c r="N559" s="8"/>
      <c r="O559" s="8"/>
      <c r="P559" s="3"/>
      <c r="Q559" s="2" t="s">
        <v>527</v>
      </c>
      <c r="R559" s="3"/>
    </row>
    <row r="560" spans="1:18">
      <c r="A560" s="14"/>
      <c r="B560" s="9"/>
      <c r="C560" s="10" t="str">
        <f t="shared" si="99"/>
        <v/>
      </c>
      <c r="D560" s="9"/>
      <c r="E560" s="9" t="str">
        <f t="shared" si="100"/>
        <v>IRIS ZHANG</v>
      </c>
      <c r="F560" s="9"/>
      <c r="G560" s="3"/>
      <c r="H560" s="3"/>
      <c r="I560" s="8"/>
      <c r="J560" s="3"/>
      <c r="K560" s="2" t="s">
        <v>528</v>
      </c>
      <c r="L560" s="3"/>
      <c r="M560" s="8"/>
      <c r="N560" s="8"/>
      <c r="O560" s="8"/>
      <c r="P560" s="3"/>
      <c r="Q560" s="2" t="s">
        <v>528</v>
      </c>
      <c r="R560" s="3"/>
    </row>
    <row r="561" spans="1:18">
      <c r="A561" s="14"/>
      <c r="B561" s="9"/>
      <c r="C561" s="10"/>
      <c r="D561" s="9"/>
      <c r="E561" s="9" t="str">
        <f t="shared" si="100"/>
        <v>AARON YU</v>
      </c>
      <c r="F561" s="9"/>
      <c r="G561" s="3"/>
      <c r="H561" s="3"/>
      <c r="I561" s="8"/>
      <c r="J561" s="3"/>
      <c r="K561" s="2" t="s">
        <v>529</v>
      </c>
      <c r="L561" s="3"/>
      <c r="M561" s="8"/>
      <c r="N561" s="8"/>
      <c r="O561" s="8"/>
      <c r="P561" s="3"/>
      <c r="Q561" s="2" t="s">
        <v>529</v>
      </c>
      <c r="R561" s="3"/>
    </row>
    <row r="562" spans="1:18">
      <c r="A562" s="14"/>
      <c r="B562" s="9"/>
      <c r="C562" s="9"/>
      <c r="D562" s="9"/>
      <c r="E562" s="9" t="str">
        <f t="shared" si="100"/>
        <v/>
      </c>
      <c r="F562" s="9"/>
      <c r="G562" s="3"/>
      <c r="H562" s="3"/>
      <c r="I562" s="8"/>
      <c r="J562" s="3"/>
      <c r="K562" s="2"/>
      <c r="L562" s="3"/>
      <c r="M562" s="8"/>
      <c r="N562" s="8"/>
      <c r="O562" s="8"/>
      <c r="P562" s="3"/>
      <c r="Q562" s="3"/>
      <c r="R562" s="3"/>
    </row>
    <row r="563" spans="1:18">
      <c r="A563" s="14"/>
      <c r="B563" s="11"/>
      <c r="C563" s="12"/>
      <c r="D563" s="11"/>
      <c r="E563" s="11"/>
      <c r="F563" s="11"/>
      <c r="G563" s="3"/>
      <c r="H563" s="3"/>
      <c r="I563" s="8"/>
      <c r="J563" s="3"/>
      <c r="K563" s="13"/>
      <c r="L563" s="3"/>
      <c r="M563" s="8"/>
      <c r="N563" s="8"/>
      <c r="O563" s="8"/>
      <c r="P563" s="3"/>
      <c r="Q563" s="3"/>
      <c r="R563" s="3"/>
    </row>
    <row r="564" spans="1:18">
      <c r="A564" s="14"/>
      <c r="B564" s="61"/>
      <c r="C564" s="61"/>
      <c r="D564" s="61"/>
      <c r="E564" s="61"/>
      <c r="F564" s="61"/>
      <c r="G564" s="3"/>
      <c r="H564" s="7"/>
      <c r="I564" s="7"/>
      <c r="J564" s="7"/>
      <c r="K564" s="7"/>
      <c r="L564" s="7"/>
      <c r="M564" s="8"/>
      <c r="N564" s="8"/>
      <c r="O564" s="8"/>
      <c r="P564" s="3"/>
      <c r="Q564" s="3"/>
      <c r="R564" s="3"/>
    </row>
    <row r="565" spans="1:18">
      <c r="A565" s="14"/>
      <c r="B565" s="143" t="str">
        <f t="shared" ref="B565:B568" si="101">UPPER(H565)</f>
        <v>PRODUCTION SERVICES PROVIDED BY</v>
      </c>
      <c r="C565" s="141"/>
      <c r="D565" s="141"/>
      <c r="E565" s="141"/>
      <c r="F565" s="141"/>
      <c r="G565" s="3"/>
      <c r="H565" s="145" t="s">
        <v>530</v>
      </c>
      <c r="I565" s="141"/>
      <c r="J565" s="141"/>
      <c r="K565" s="141"/>
      <c r="L565" s="141"/>
      <c r="M565" s="8"/>
      <c r="N565" s="145" t="s">
        <v>940</v>
      </c>
      <c r="O565" s="141"/>
      <c r="P565" s="141"/>
      <c r="Q565" s="141"/>
      <c r="R565" s="141"/>
    </row>
    <row r="566" spans="1:18">
      <c r="A566" s="14"/>
      <c r="B566" s="146" t="str">
        <f t="shared" si="101"/>
        <v>THE MONK STUDIOS</v>
      </c>
      <c r="C566" s="141"/>
      <c r="D566" s="141"/>
      <c r="E566" s="141"/>
      <c r="F566" s="141"/>
      <c r="G566" s="8"/>
      <c r="H566" s="149" t="s">
        <v>202</v>
      </c>
      <c r="I566" s="141"/>
      <c r="J566" s="141"/>
      <c r="K566" s="141"/>
      <c r="L566" s="141"/>
      <c r="M566" s="8"/>
      <c r="N566" s="149" t="s">
        <v>202</v>
      </c>
      <c r="O566" s="141"/>
      <c r="P566" s="141"/>
      <c r="Q566" s="141"/>
      <c r="R566" s="141"/>
    </row>
    <row r="567" spans="1:18">
      <c r="A567" s="14"/>
      <c r="B567" s="9" t="str">
        <f t="shared" si="101"/>
        <v/>
      </c>
      <c r="C567" s="10" t="str">
        <f>UPPER(I567)</f>
        <v/>
      </c>
      <c r="D567" s="9"/>
      <c r="E567" s="9" t="str">
        <f>UPPER(K567)</f>
        <v/>
      </c>
      <c r="F567" s="9"/>
      <c r="G567" s="3"/>
      <c r="H567" s="76"/>
      <c r="I567" s="8"/>
      <c r="J567" s="3"/>
      <c r="K567" s="13"/>
      <c r="L567" s="3"/>
      <c r="M567" s="8"/>
      <c r="N567" s="76"/>
      <c r="O567" s="8"/>
      <c r="P567" s="3"/>
      <c r="Q567" s="13"/>
      <c r="R567" s="3"/>
    </row>
    <row r="568" spans="1:18">
      <c r="A568" s="14"/>
      <c r="B568" s="146" t="str">
        <f t="shared" si="101"/>
        <v>MANAGEMENT</v>
      </c>
      <c r="C568" s="141"/>
      <c r="D568" s="141"/>
      <c r="E568" s="141"/>
      <c r="F568" s="141"/>
      <c r="G568" s="3"/>
      <c r="H568" s="151" t="s">
        <v>392</v>
      </c>
      <c r="I568" s="141"/>
      <c r="J568" s="141"/>
      <c r="K568" s="141"/>
      <c r="L568" s="141"/>
      <c r="M568" s="8"/>
      <c r="N568" s="151" t="s">
        <v>392</v>
      </c>
      <c r="O568" s="141"/>
      <c r="P568" s="141"/>
      <c r="Q568" s="141"/>
      <c r="R568" s="141"/>
    </row>
    <row r="569" spans="1:18">
      <c r="A569" s="14"/>
      <c r="B569" s="9"/>
      <c r="C569" s="10" t="str">
        <f t="shared" ref="C569:C590" si="102">UPPER(I569)</f>
        <v>PRODUCTION EXECUTIVE</v>
      </c>
      <c r="D569" s="9"/>
      <c r="E569" s="9" t="str">
        <f t="shared" ref="E569:E590" si="103">UPPER(K569)</f>
        <v>JUCK SOMSAMAN</v>
      </c>
      <c r="F569" s="9"/>
      <c r="G569" s="3"/>
      <c r="H569" s="13"/>
      <c r="I569" s="36" t="s">
        <v>531</v>
      </c>
      <c r="J569" s="3"/>
      <c r="K569" s="31" t="s">
        <v>532</v>
      </c>
      <c r="L569" s="3"/>
      <c r="M569" s="63"/>
      <c r="N569" s="13"/>
      <c r="O569" s="36" t="s">
        <v>531</v>
      </c>
      <c r="P569" s="3"/>
      <c r="Q569" s="31" t="s">
        <v>532</v>
      </c>
      <c r="R569" s="3"/>
    </row>
    <row r="570" spans="1:18">
      <c r="A570" s="14"/>
      <c r="B570" s="9"/>
      <c r="C570" s="10" t="str">
        <f t="shared" si="102"/>
        <v/>
      </c>
      <c r="D570" s="9"/>
      <c r="E570" s="9" t="str">
        <f t="shared" si="103"/>
        <v/>
      </c>
      <c r="F570" s="9"/>
      <c r="G570" s="3"/>
      <c r="H570" s="13"/>
      <c r="I570" s="36"/>
      <c r="J570" s="3"/>
      <c r="K570" s="31"/>
      <c r="L570" s="3"/>
      <c r="M570" s="8"/>
      <c r="N570" s="13"/>
      <c r="O570" s="36"/>
      <c r="P570" s="3"/>
      <c r="Q570" s="31"/>
      <c r="R570" s="3"/>
    </row>
    <row r="571" spans="1:18">
      <c r="A571" s="14"/>
      <c r="B571" s="9"/>
      <c r="C571" s="10" t="str">
        <f t="shared" si="102"/>
        <v>PRODUCTION MANAGER</v>
      </c>
      <c r="D571" s="9"/>
      <c r="E571" s="9" t="str">
        <f t="shared" si="103"/>
        <v>NAPASSARA CHAISUKDAMRONG</v>
      </c>
      <c r="F571" s="9"/>
      <c r="G571" s="3"/>
      <c r="H571" s="13"/>
      <c r="I571" s="36" t="s">
        <v>152</v>
      </c>
      <c r="J571" s="3"/>
      <c r="K571" s="31" t="s">
        <v>533</v>
      </c>
      <c r="L571" s="3"/>
      <c r="M571" s="8"/>
      <c r="N571" s="13"/>
      <c r="O571" s="36" t="s">
        <v>152</v>
      </c>
      <c r="P571" s="3"/>
      <c r="Q571" s="31" t="s">
        <v>533</v>
      </c>
      <c r="R571" s="3"/>
    </row>
    <row r="572" spans="1:18">
      <c r="A572" s="14"/>
      <c r="B572" s="9"/>
      <c r="C572" s="10" t="str">
        <f t="shared" si="102"/>
        <v/>
      </c>
      <c r="D572" s="9"/>
      <c r="E572" s="9" t="str">
        <f t="shared" si="103"/>
        <v>RUJIRA POKSOMBOONKIJ</v>
      </c>
      <c r="F572" s="9"/>
      <c r="G572" s="3"/>
      <c r="H572" s="13"/>
      <c r="I572" s="36"/>
      <c r="J572" s="3"/>
      <c r="K572" s="31" t="s">
        <v>534</v>
      </c>
      <c r="L572" s="3"/>
      <c r="M572" s="8"/>
      <c r="N572" s="13"/>
      <c r="O572" s="36"/>
      <c r="P572" s="3"/>
      <c r="Q572" s="31" t="s">
        <v>534</v>
      </c>
      <c r="R572" s="3"/>
    </row>
    <row r="573" spans="1:18">
      <c r="A573" s="14"/>
      <c r="B573" s="9"/>
      <c r="C573" s="10" t="str">
        <f t="shared" si="102"/>
        <v/>
      </c>
      <c r="D573" s="9"/>
      <c r="E573" s="9" t="str">
        <f t="shared" si="103"/>
        <v/>
      </c>
      <c r="F573" s="9"/>
      <c r="G573" s="3"/>
      <c r="H573" s="13"/>
      <c r="I573" s="36"/>
      <c r="J573" s="3"/>
      <c r="K573" s="65"/>
      <c r="L573" s="3"/>
      <c r="M573" s="8"/>
      <c r="N573" s="13"/>
      <c r="O573" s="36"/>
      <c r="P573" s="3"/>
      <c r="Q573" s="31"/>
      <c r="R573" s="3"/>
    </row>
    <row r="574" spans="1:18">
      <c r="A574" s="14"/>
      <c r="B574" s="9"/>
      <c r="C574" s="10" t="str">
        <f t="shared" si="102"/>
        <v>CG SUPEVISOR</v>
      </c>
      <c r="D574" s="9"/>
      <c r="E574" s="9" t="str">
        <f t="shared" si="103"/>
        <v>KATHA NA BADALUNG</v>
      </c>
      <c r="F574" s="9"/>
      <c r="G574" s="3"/>
      <c r="H574" s="13"/>
      <c r="I574" s="36" t="s">
        <v>535</v>
      </c>
      <c r="J574" s="3"/>
      <c r="K574" s="65" t="s">
        <v>536</v>
      </c>
      <c r="L574" s="3"/>
      <c r="M574" s="8"/>
      <c r="N574" s="13"/>
      <c r="O574" s="36" t="s">
        <v>535</v>
      </c>
      <c r="P574" s="3"/>
      <c r="Q574" s="31" t="s">
        <v>536</v>
      </c>
      <c r="R574" s="3"/>
    </row>
    <row r="575" spans="1:18">
      <c r="A575" s="14"/>
      <c r="B575" s="9"/>
      <c r="C575" s="10" t="str">
        <f t="shared" si="102"/>
        <v/>
      </c>
      <c r="D575" s="9"/>
      <c r="E575" s="9" t="str">
        <f t="shared" si="103"/>
        <v/>
      </c>
      <c r="F575" s="9"/>
      <c r="G575" s="3"/>
      <c r="H575" s="13"/>
      <c r="I575" s="36"/>
      <c r="J575" s="3"/>
      <c r="K575" s="31"/>
      <c r="L575" s="3"/>
      <c r="M575" s="8"/>
      <c r="N575" s="13"/>
      <c r="O575" s="36"/>
      <c r="P575" s="3"/>
      <c r="Q575" s="31"/>
      <c r="R575" s="3"/>
    </row>
    <row r="576" spans="1:18">
      <c r="A576" s="14"/>
      <c r="B576" s="9"/>
      <c r="C576" s="10" t="str">
        <f t="shared" si="102"/>
        <v>PRODUCER</v>
      </c>
      <c r="D576" s="9"/>
      <c r="E576" s="9" t="str">
        <f t="shared" si="103"/>
        <v>BUDSARIN PANOMMA</v>
      </c>
      <c r="F576" s="9"/>
      <c r="G576" s="3"/>
      <c r="H576" s="13"/>
      <c r="I576" s="36" t="s">
        <v>504</v>
      </c>
      <c r="J576" s="3"/>
      <c r="K576" s="31" t="s">
        <v>537</v>
      </c>
      <c r="L576" s="3"/>
      <c r="M576" s="8"/>
      <c r="N576" s="13"/>
      <c r="O576" s="36" t="s">
        <v>504</v>
      </c>
      <c r="P576" s="3"/>
      <c r="Q576" s="31" t="s">
        <v>537</v>
      </c>
      <c r="R576" s="3"/>
    </row>
    <row r="577" spans="1:18">
      <c r="A577" s="14"/>
      <c r="B577" s="9"/>
      <c r="C577" s="10" t="str">
        <f t="shared" si="102"/>
        <v/>
      </c>
      <c r="D577" s="9"/>
      <c r="E577" s="9" t="str">
        <f t="shared" si="103"/>
        <v/>
      </c>
      <c r="F577" s="9"/>
      <c r="G577" s="3"/>
      <c r="H577" s="13"/>
      <c r="I577" s="36"/>
      <c r="J577" s="3"/>
      <c r="K577" s="65"/>
      <c r="L577" s="3"/>
      <c r="M577" s="63"/>
      <c r="N577" s="13"/>
      <c r="O577" s="36"/>
      <c r="P577" s="3"/>
      <c r="Q577" s="31"/>
      <c r="R577" s="3"/>
    </row>
    <row r="578" spans="1:18">
      <c r="A578" s="14"/>
      <c r="B578" s="9"/>
      <c r="C578" s="10" t="str">
        <f t="shared" si="102"/>
        <v>ASSET MANAGER</v>
      </c>
      <c r="D578" s="9"/>
      <c r="E578" s="9" t="str">
        <f t="shared" si="103"/>
        <v>PALAPAS NIMAWAN</v>
      </c>
      <c r="F578" s="9"/>
      <c r="G578" s="3"/>
      <c r="H578" s="13"/>
      <c r="I578" s="36" t="s">
        <v>498</v>
      </c>
      <c r="J578" s="3"/>
      <c r="K578" s="65" t="s">
        <v>538</v>
      </c>
      <c r="L578" s="3"/>
      <c r="M578" s="63"/>
      <c r="N578" s="13"/>
      <c r="O578" s="36" t="s">
        <v>498</v>
      </c>
      <c r="P578" s="3"/>
      <c r="Q578" s="31" t="s">
        <v>538</v>
      </c>
      <c r="R578" s="3"/>
    </row>
    <row r="579" spans="1:18">
      <c r="A579" s="14"/>
      <c r="B579" s="9"/>
      <c r="C579" s="10" t="str">
        <f t="shared" si="102"/>
        <v>ANIMATION MANAGER</v>
      </c>
      <c r="D579" s="9"/>
      <c r="E579" s="9" t="str">
        <f t="shared" si="103"/>
        <v>PARINYA PONGSANGIAM</v>
      </c>
      <c r="F579" s="9"/>
      <c r="G579" s="3"/>
      <c r="H579" s="13"/>
      <c r="I579" s="36" t="s">
        <v>539</v>
      </c>
      <c r="J579" s="3"/>
      <c r="K579" s="65" t="s">
        <v>540</v>
      </c>
      <c r="L579" s="3"/>
      <c r="M579" s="8"/>
      <c r="N579" s="13"/>
      <c r="O579" s="36" t="s">
        <v>539</v>
      </c>
      <c r="P579" s="3"/>
      <c r="Q579" s="31" t="s">
        <v>540</v>
      </c>
      <c r="R579" s="3"/>
    </row>
    <row r="580" spans="1:18">
      <c r="A580" s="14"/>
      <c r="B580" s="9"/>
      <c r="C580" s="10" t="str">
        <f t="shared" si="102"/>
        <v>CG MANAGER</v>
      </c>
      <c r="D580" s="9"/>
      <c r="E580" s="9" t="str">
        <f t="shared" si="103"/>
        <v>SASIPORN PANOMMA</v>
      </c>
      <c r="F580" s="9"/>
      <c r="G580" s="3"/>
      <c r="H580" s="13"/>
      <c r="I580" s="36" t="s">
        <v>541</v>
      </c>
      <c r="J580" s="3"/>
      <c r="K580" s="31" t="s">
        <v>542</v>
      </c>
      <c r="L580" s="3"/>
      <c r="M580" s="63"/>
      <c r="N580" s="13"/>
      <c r="O580" s="36" t="s">
        <v>541</v>
      </c>
      <c r="P580" s="3"/>
      <c r="Q580" s="31" t="s">
        <v>542</v>
      </c>
      <c r="R580" s="3"/>
    </row>
    <row r="581" spans="1:18">
      <c r="A581" s="14"/>
      <c r="B581" s="9"/>
      <c r="C581" s="10" t="str">
        <f t="shared" si="102"/>
        <v/>
      </c>
      <c r="D581" s="9"/>
      <c r="E581" s="9" t="str">
        <f t="shared" si="103"/>
        <v/>
      </c>
      <c r="F581" s="9"/>
      <c r="G581" s="3"/>
      <c r="H581" s="13"/>
      <c r="I581" s="36"/>
      <c r="J581" s="3"/>
      <c r="K581" s="31"/>
      <c r="L581" s="3"/>
      <c r="M581" s="8"/>
      <c r="N581" s="13"/>
      <c r="O581" s="36"/>
      <c r="P581" s="3"/>
      <c r="Q581" s="31"/>
      <c r="R581" s="3"/>
    </row>
    <row r="582" spans="1:18">
      <c r="A582" s="14"/>
      <c r="B582" s="9"/>
      <c r="C582" s="10" t="str">
        <f t="shared" si="102"/>
        <v>ASSET COORDINATOR</v>
      </c>
      <c r="D582" s="9"/>
      <c r="E582" s="9" t="str">
        <f t="shared" si="103"/>
        <v>CHUTCHAPHOL KHANTASOPHON</v>
      </c>
      <c r="F582" s="9"/>
      <c r="G582" s="3"/>
      <c r="H582" s="13"/>
      <c r="I582" s="36" t="s">
        <v>543</v>
      </c>
      <c r="J582" s="3"/>
      <c r="K582" s="31" t="s">
        <v>544</v>
      </c>
      <c r="L582" s="3"/>
      <c r="M582" s="8"/>
      <c r="N582" s="13"/>
      <c r="O582" s="36" t="s">
        <v>543</v>
      </c>
      <c r="P582" s="3"/>
      <c r="Q582" s="31" t="s">
        <v>544</v>
      </c>
      <c r="R582" s="3"/>
    </row>
    <row r="583" spans="1:18">
      <c r="A583" s="14"/>
      <c r="B583" s="9"/>
      <c r="C583" s="10" t="str">
        <f t="shared" si="102"/>
        <v/>
      </c>
      <c r="D583" s="9"/>
      <c r="E583" s="9" t="str">
        <f t="shared" si="103"/>
        <v>WARISSARA PETSAKUL</v>
      </c>
      <c r="F583" s="9"/>
      <c r="G583" s="3"/>
      <c r="H583" s="13"/>
      <c r="I583" s="36"/>
      <c r="J583" s="3"/>
      <c r="K583" s="31" t="s">
        <v>545</v>
      </c>
      <c r="L583" s="3"/>
      <c r="M583" s="63"/>
      <c r="N583" s="13"/>
      <c r="O583" s="36"/>
      <c r="P583" s="3"/>
      <c r="Q583" s="31" t="s">
        <v>545</v>
      </c>
      <c r="R583" s="3"/>
    </row>
    <row r="584" spans="1:18">
      <c r="A584" s="14"/>
      <c r="B584" s="9"/>
      <c r="C584" s="10" t="str">
        <f t="shared" si="102"/>
        <v>LAYOUT COORDINATOR</v>
      </c>
      <c r="D584" s="9"/>
      <c r="E584" s="9" t="str">
        <f t="shared" si="103"/>
        <v>PATSAWAN CHUASRITRAKUL</v>
      </c>
      <c r="F584" s="9"/>
      <c r="G584" s="3"/>
      <c r="H584" s="13"/>
      <c r="I584" s="36" t="s">
        <v>546</v>
      </c>
      <c r="J584" s="3"/>
      <c r="K584" s="31" t="s">
        <v>547</v>
      </c>
      <c r="L584" s="3"/>
      <c r="M584" s="8"/>
      <c r="N584" s="13"/>
      <c r="O584" s="36" t="s">
        <v>546</v>
      </c>
      <c r="P584" s="3"/>
      <c r="Q584" s="31" t="s">
        <v>547</v>
      </c>
      <c r="R584" s="3"/>
    </row>
    <row r="585" spans="1:18">
      <c r="A585" s="14"/>
      <c r="B585" s="9"/>
      <c r="C585" s="10" t="str">
        <f t="shared" si="102"/>
        <v>ANIMATION COORDINATOR</v>
      </c>
      <c r="D585" s="9"/>
      <c r="E585" s="9" t="str">
        <f t="shared" si="103"/>
        <v>SAWITA STARPITCHAYANANT</v>
      </c>
      <c r="F585" s="9"/>
      <c r="G585" s="3"/>
      <c r="H585" s="13"/>
      <c r="I585" s="36" t="s">
        <v>548</v>
      </c>
      <c r="J585" s="3"/>
      <c r="K585" s="31" t="s">
        <v>549</v>
      </c>
      <c r="L585" s="3"/>
      <c r="M585" s="8"/>
      <c r="N585" s="13"/>
      <c r="O585" s="36" t="s">
        <v>548</v>
      </c>
      <c r="P585" s="3"/>
      <c r="Q585" s="31" t="s">
        <v>549</v>
      </c>
      <c r="R585" s="3"/>
    </row>
    <row r="586" spans="1:18">
      <c r="A586" s="14"/>
      <c r="B586" s="9"/>
      <c r="C586" s="10" t="str">
        <f t="shared" si="102"/>
        <v/>
      </c>
      <c r="D586" s="9"/>
      <c r="E586" s="9" t="str">
        <f t="shared" si="103"/>
        <v>KUNLAPHAT JEERAMANEEMAI</v>
      </c>
      <c r="F586" s="9"/>
      <c r="G586" s="3"/>
      <c r="H586" s="13"/>
      <c r="I586" s="36"/>
      <c r="J586" s="3"/>
      <c r="K586" s="31" t="s">
        <v>550</v>
      </c>
      <c r="L586" s="3"/>
      <c r="M586" s="8"/>
      <c r="N586" s="13"/>
      <c r="O586" s="36"/>
      <c r="P586" s="3"/>
      <c r="Q586" s="31" t="s">
        <v>550</v>
      </c>
      <c r="R586" s="3"/>
    </row>
    <row r="587" spans="1:18">
      <c r="A587" s="14"/>
      <c r="B587" s="9"/>
      <c r="C587" s="10" t="str">
        <f t="shared" si="102"/>
        <v/>
      </c>
      <c r="D587" s="9"/>
      <c r="E587" s="9" t="str">
        <f t="shared" si="103"/>
        <v>PUNYAWEE TUNGJAISUE</v>
      </c>
      <c r="F587" s="9"/>
      <c r="G587" s="3"/>
      <c r="H587" s="13"/>
      <c r="I587" s="36"/>
      <c r="J587" s="3"/>
      <c r="K587" s="31" t="s">
        <v>551</v>
      </c>
      <c r="L587" s="3"/>
      <c r="M587" s="8"/>
      <c r="N587" s="13"/>
      <c r="O587" s="36"/>
      <c r="P587" s="3"/>
      <c r="Q587" s="31" t="s">
        <v>551</v>
      </c>
      <c r="R587" s="3"/>
    </row>
    <row r="588" spans="1:18">
      <c r="A588" s="14"/>
      <c r="B588" s="9"/>
      <c r="C588" s="10" t="str">
        <f t="shared" si="102"/>
        <v>FX COORDINATOR</v>
      </c>
      <c r="D588" s="9"/>
      <c r="E588" s="9" t="str">
        <f t="shared" si="103"/>
        <v>NAVIPAS SUTTICHONSAKUL</v>
      </c>
      <c r="F588" s="9"/>
      <c r="G588" s="3"/>
      <c r="H588" s="13"/>
      <c r="I588" s="36" t="s">
        <v>552</v>
      </c>
      <c r="J588" s="3"/>
      <c r="K588" s="31" t="s">
        <v>553</v>
      </c>
      <c r="L588" s="3"/>
      <c r="M588" s="8"/>
      <c r="N588" s="13"/>
      <c r="O588" s="36" t="s">
        <v>552</v>
      </c>
      <c r="P588" s="3"/>
      <c r="Q588" s="31" t="s">
        <v>553</v>
      </c>
      <c r="R588" s="3"/>
    </row>
    <row r="589" spans="1:18">
      <c r="A589" s="14"/>
      <c r="B589" s="9"/>
      <c r="C589" s="10" t="str">
        <f t="shared" si="102"/>
        <v>LRC COORDINATOR</v>
      </c>
      <c r="D589" s="9"/>
      <c r="E589" s="9" t="str">
        <f t="shared" si="103"/>
        <v>SUNIDA DANGTHONGKUM</v>
      </c>
      <c r="F589" s="9"/>
      <c r="G589" s="3"/>
      <c r="H589" s="13"/>
      <c r="I589" s="36" t="s">
        <v>554</v>
      </c>
      <c r="J589" s="3"/>
      <c r="K589" s="31" t="s">
        <v>555</v>
      </c>
      <c r="L589" s="3"/>
      <c r="M589" s="8"/>
      <c r="N589" s="13"/>
      <c r="O589" s="36" t="s">
        <v>554</v>
      </c>
      <c r="P589" s="3"/>
      <c r="Q589" s="31" t="s">
        <v>555</v>
      </c>
      <c r="R589" s="3"/>
    </row>
    <row r="590" spans="1:18">
      <c r="A590" s="14"/>
      <c r="B590" s="9"/>
      <c r="C590" s="10" t="str">
        <f t="shared" si="102"/>
        <v>PIPELINE&amp;TD COORDINATOR</v>
      </c>
      <c r="D590" s="9"/>
      <c r="E590" s="9" t="str">
        <f t="shared" si="103"/>
        <v>DANUPHOL JONGARIYAKUL</v>
      </c>
      <c r="F590" s="9"/>
      <c r="G590" s="3"/>
      <c r="H590" s="13"/>
      <c r="I590" s="36" t="s">
        <v>556</v>
      </c>
      <c r="J590" s="3"/>
      <c r="K590" s="31" t="s">
        <v>557</v>
      </c>
      <c r="L590" s="3"/>
      <c r="M590" s="8"/>
      <c r="N590" s="13"/>
      <c r="O590" s="36" t="s">
        <v>556</v>
      </c>
      <c r="P590" s="3"/>
      <c r="Q590" s="31" t="s">
        <v>557</v>
      </c>
      <c r="R590" s="3"/>
    </row>
    <row r="591" spans="1:18">
      <c r="A591" s="14"/>
      <c r="B591" s="9"/>
      <c r="C591" s="10"/>
      <c r="D591" s="9"/>
      <c r="E591" s="9"/>
      <c r="F591" s="9"/>
      <c r="G591" s="3"/>
      <c r="H591" s="13"/>
      <c r="I591" s="36"/>
      <c r="J591" s="3"/>
      <c r="K591" s="31"/>
      <c r="L591" s="3"/>
      <c r="M591" s="8"/>
      <c r="N591" s="13"/>
      <c r="O591" s="8"/>
      <c r="P591" s="3"/>
      <c r="Q591" s="13"/>
      <c r="R591" s="3"/>
    </row>
    <row r="592" spans="1:18">
      <c r="A592" s="14"/>
      <c r="B592" s="11"/>
      <c r="C592" s="12" t="str">
        <f>UPPER(I592)</f>
        <v/>
      </c>
      <c r="D592" s="11"/>
      <c r="E592" s="11" t="str">
        <f>UPPER(K592)</f>
        <v/>
      </c>
      <c r="F592" s="11"/>
      <c r="G592" s="3"/>
      <c r="H592" s="13"/>
      <c r="I592" s="8"/>
      <c r="J592" s="3"/>
      <c r="K592" s="13"/>
      <c r="L592" s="3"/>
      <c r="M592" s="8"/>
      <c r="N592" s="8"/>
      <c r="O592" s="8"/>
      <c r="P592" s="3"/>
      <c r="Q592" s="3"/>
      <c r="R592" s="3"/>
    </row>
    <row r="593" spans="1:18">
      <c r="A593" s="14"/>
      <c r="B593" s="6"/>
      <c r="C593" s="6"/>
      <c r="D593" s="6"/>
      <c r="E593" s="6"/>
      <c r="F593" s="6"/>
      <c r="G593" s="3"/>
      <c r="H593" s="74"/>
      <c r="I593" s="5"/>
      <c r="J593" s="5"/>
      <c r="K593" s="5"/>
      <c r="L593" s="74"/>
      <c r="M593" s="8"/>
      <c r="N593" s="8"/>
      <c r="O593" s="8"/>
      <c r="P593" s="3"/>
      <c r="Q593" s="3"/>
      <c r="R593" s="3"/>
    </row>
    <row r="594" spans="1:18">
      <c r="A594" s="14"/>
      <c r="B594" s="143" t="str">
        <f t="shared" ref="B594:B595" si="104">UPPER(H594)</f>
        <v>PRODUCTION SERVICES PROVIDED BY</v>
      </c>
      <c r="C594" s="141"/>
      <c r="D594" s="141"/>
      <c r="E594" s="141"/>
      <c r="F594" s="141"/>
      <c r="G594" s="3"/>
      <c r="H594" s="145" t="s">
        <v>530</v>
      </c>
      <c r="I594" s="141"/>
      <c r="J594" s="141"/>
      <c r="K594" s="141"/>
      <c r="L594" s="141"/>
      <c r="M594" s="8"/>
      <c r="N594" s="145" t="s">
        <v>940</v>
      </c>
      <c r="O594" s="141"/>
      <c r="P594" s="141"/>
      <c r="Q594" s="141"/>
      <c r="R594" s="141"/>
    </row>
    <row r="595" spans="1:18">
      <c r="A595" s="14"/>
      <c r="B595" s="146" t="str">
        <f t="shared" si="104"/>
        <v>THE MONK STUDIOS</v>
      </c>
      <c r="C595" s="141"/>
      <c r="D595" s="141"/>
      <c r="E595" s="141"/>
      <c r="F595" s="141"/>
      <c r="G595" s="8"/>
      <c r="H595" s="149" t="s">
        <v>202</v>
      </c>
      <c r="I595" s="141"/>
      <c r="J595" s="141"/>
      <c r="K595" s="141"/>
      <c r="L595" s="141"/>
      <c r="M595" s="8"/>
      <c r="N595" s="149" t="s">
        <v>202</v>
      </c>
      <c r="O595" s="141"/>
      <c r="P595" s="141"/>
      <c r="Q595" s="141"/>
      <c r="R595" s="141"/>
    </row>
    <row r="596" spans="1:18">
      <c r="A596" s="14"/>
      <c r="B596" s="6"/>
      <c r="C596" s="6"/>
      <c r="D596" s="6"/>
      <c r="E596" s="6"/>
      <c r="F596" s="6"/>
      <c r="G596" s="3"/>
      <c r="H596" s="74"/>
      <c r="I596" s="5"/>
      <c r="J596" s="5"/>
      <c r="K596" s="5"/>
      <c r="L596" s="74"/>
      <c r="M596" s="8"/>
      <c r="N596" s="74"/>
      <c r="O596" s="5"/>
      <c r="P596" s="5"/>
      <c r="Q596" s="5"/>
      <c r="R596" s="74"/>
    </row>
    <row r="597" spans="1:18">
      <c r="A597" s="14"/>
      <c r="B597" s="146" t="str">
        <f>UPPER(H597)</f>
        <v>PIPELINE &amp; TD</v>
      </c>
      <c r="C597" s="141"/>
      <c r="D597" s="141"/>
      <c r="E597" s="141"/>
      <c r="F597" s="141"/>
      <c r="G597" s="3"/>
      <c r="H597" s="151" t="s">
        <v>558</v>
      </c>
      <c r="I597" s="141"/>
      <c r="J597" s="141"/>
      <c r="K597" s="141"/>
      <c r="L597" s="141"/>
      <c r="M597" s="8"/>
      <c r="N597" s="151" t="s">
        <v>558</v>
      </c>
      <c r="O597" s="141"/>
      <c r="P597" s="141"/>
      <c r="Q597" s="141"/>
      <c r="R597" s="141"/>
    </row>
    <row r="598" spans="1:18">
      <c r="A598" s="14"/>
      <c r="B598" s="9"/>
      <c r="C598" s="10" t="str">
        <f>UPPER(I598)</f>
        <v>HEAD OF PIPELINE</v>
      </c>
      <c r="D598" s="9"/>
      <c r="E598" s="9" t="str">
        <f t="shared" ref="E598:E616" si="105">UPPER(K598)</f>
        <v>MICHAEL ISARASAK KHANTHAROD</v>
      </c>
      <c r="F598" s="9"/>
      <c r="G598" s="3"/>
      <c r="H598" s="13"/>
      <c r="I598" s="36" t="s">
        <v>561</v>
      </c>
      <c r="J598" s="3"/>
      <c r="K598" s="31" t="s">
        <v>562</v>
      </c>
      <c r="L598" s="3"/>
      <c r="M598" s="8"/>
      <c r="N598" s="13"/>
      <c r="O598" s="36" t="s">
        <v>561</v>
      </c>
      <c r="P598" s="3"/>
      <c r="Q598" s="31" t="s">
        <v>562</v>
      </c>
      <c r="R598" s="3"/>
    </row>
    <row r="599" spans="1:18">
      <c r="A599" s="14"/>
      <c r="B599" s="9"/>
      <c r="C599" s="10"/>
      <c r="D599" s="9"/>
      <c r="E599" s="9" t="str">
        <f t="shared" si="105"/>
        <v/>
      </c>
      <c r="F599" s="9"/>
      <c r="G599" s="3"/>
      <c r="H599" s="13"/>
      <c r="I599" s="36"/>
      <c r="J599" s="3"/>
      <c r="K599" s="31"/>
      <c r="L599" s="3"/>
      <c r="M599" s="8"/>
      <c r="N599" s="13"/>
      <c r="O599" s="36"/>
      <c r="P599" s="3"/>
      <c r="Q599" s="31"/>
      <c r="R599" s="3"/>
    </row>
    <row r="600" spans="1:18">
      <c r="A600" s="14"/>
      <c r="B600" s="9"/>
      <c r="C600" s="10" t="str">
        <f>UPPER(I600)</f>
        <v>LEAD PIPELINE</v>
      </c>
      <c r="D600" s="9"/>
      <c r="E600" s="9" t="str">
        <f t="shared" si="105"/>
        <v>SARINPORN PINTUSOPON</v>
      </c>
      <c r="F600" s="9"/>
      <c r="G600" s="3"/>
      <c r="H600" s="13"/>
      <c r="I600" s="36" t="s">
        <v>563</v>
      </c>
      <c r="J600" s="3"/>
      <c r="K600" s="31" t="s">
        <v>564</v>
      </c>
      <c r="L600" s="3"/>
      <c r="M600" s="8"/>
      <c r="N600" s="13"/>
      <c r="O600" s="36" t="s">
        <v>563</v>
      </c>
      <c r="P600" s="3"/>
      <c r="Q600" s="31" t="s">
        <v>564</v>
      </c>
      <c r="R600" s="3"/>
    </row>
    <row r="601" spans="1:18">
      <c r="A601" s="14"/>
      <c r="B601" s="9"/>
      <c r="C601" s="10"/>
      <c r="D601" s="9"/>
      <c r="E601" s="9" t="str">
        <f t="shared" si="105"/>
        <v/>
      </c>
      <c r="F601" s="9"/>
      <c r="G601" s="3"/>
      <c r="H601" s="13"/>
      <c r="I601" s="36"/>
      <c r="J601" s="3"/>
      <c r="K601" s="31"/>
      <c r="L601" s="3"/>
      <c r="M601" s="8"/>
      <c r="N601" s="13"/>
      <c r="O601" s="36"/>
      <c r="P601" s="3"/>
      <c r="Q601" s="31"/>
      <c r="R601" s="3"/>
    </row>
    <row r="602" spans="1:18">
      <c r="A602" s="14"/>
      <c r="B602" s="9"/>
      <c r="C602" s="10" t="str">
        <f>UPPER(I602)</f>
        <v>PIPELINE DEVELOPER</v>
      </c>
      <c r="D602" s="9"/>
      <c r="E602" s="9" t="str">
        <f t="shared" si="105"/>
        <v>TANARAT LUANG-ON</v>
      </c>
      <c r="F602" s="9"/>
      <c r="G602" s="3"/>
      <c r="H602" s="13"/>
      <c r="I602" s="36" t="s">
        <v>565</v>
      </c>
      <c r="J602" s="3"/>
      <c r="K602" s="31" t="s">
        <v>566</v>
      </c>
      <c r="L602" s="3"/>
      <c r="M602" s="8"/>
      <c r="N602" s="13"/>
      <c r="O602" s="36" t="s">
        <v>565</v>
      </c>
      <c r="P602" s="3"/>
      <c r="Q602" s="31" t="s">
        <v>566</v>
      </c>
      <c r="R602" s="3"/>
    </row>
    <row r="603" spans="1:18">
      <c r="A603" s="14"/>
      <c r="B603" s="9"/>
      <c r="C603" s="10"/>
      <c r="D603" s="9"/>
      <c r="E603" s="9" t="str">
        <f t="shared" si="105"/>
        <v>THANYATHON TAYANGKHANON</v>
      </c>
      <c r="F603" s="9"/>
      <c r="G603" s="3"/>
      <c r="H603" s="13"/>
      <c r="I603" s="36"/>
      <c r="J603" s="3"/>
      <c r="K603" s="31" t="s">
        <v>567</v>
      </c>
      <c r="L603" s="3"/>
      <c r="M603" s="8"/>
      <c r="N603" s="13"/>
      <c r="O603" s="36"/>
      <c r="P603" s="3"/>
      <c r="Q603" s="31" t="s">
        <v>567</v>
      </c>
      <c r="R603" s="3"/>
    </row>
    <row r="604" spans="1:18">
      <c r="A604" s="14"/>
      <c r="B604" s="9"/>
      <c r="C604" s="10" t="str">
        <f t="shared" ref="C604:C607" si="106">UPPER(I604)</f>
        <v/>
      </c>
      <c r="D604" s="9"/>
      <c r="E604" s="9" t="str">
        <f t="shared" si="105"/>
        <v>NUTTAPON VANAKITTISTIEN</v>
      </c>
      <c r="F604" s="9"/>
      <c r="G604" s="3"/>
      <c r="H604" s="13"/>
      <c r="I604" s="36"/>
      <c r="J604" s="3"/>
      <c r="K604" s="31" t="s">
        <v>568</v>
      </c>
      <c r="L604" s="3"/>
      <c r="M604" s="8"/>
      <c r="N604" s="13"/>
      <c r="O604" s="36"/>
      <c r="P604" s="3"/>
      <c r="Q604" s="31" t="s">
        <v>568</v>
      </c>
      <c r="R604" s="3"/>
    </row>
    <row r="605" spans="1:18">
      <c r="A605" s="14"/>
      <c r="B605" s="9"/>
      <c r="C605" s="10" t="str">
        <f t="shared" si="106"/>
        <v/>
      </c>
      <c r="D605" s="9"/>
      <c r="E605" s="9" t="str">
        <f t="shared" si="105"/>
        <v>APISIT SENLUANG</v>
      </c>
      <c r="F605" s="9"/>
      <c r="G605" s="3"/>
      <c r="H605" s="13"/>
      <c r="I605" s="36"/>
      <c r="J605" s="3"/>
      <c r="K605" s="31" t="s">
        <v>569</v>
      </c>
      <c r="L605" s="3"/>
      <c r="M605" s="63"/>
      <c r="N605" s="13"/>
      <c r="O605" s="36"/>
      <c r="P605" s="3"/>
      <c r="Q605" s="31" t="s">
        <v>569</v>
      </c>
      <c r="R605" s="3"/>
    </row>
    <row r="606" spans="1:18">
      <c r="A606" s="14"/>
      <c r="B606" s="9"/>
      <c r="C606" s="10" t="str">
        <f t="shared" si="106"/>
        <v/>
      </c>
      <c r="D606" s="9"/>
      <c r="E606" s="9" t="str">
        <f t="shared" si="105"/>
        <v/>
      </c>
      <c r="F606" s="9"/>
      <c r="G606" s="3"/>
      <c r="H606" s="13"/>
      <c r="I606" s="36"/>
      <c r="J606" s="3"/>
      <c r="K606" s="31"/>
      <c r="L606" s="3"/>
      <c r="M606" s="8"/>
      <c r="N606" s="13"/>
      <c r="O606" s="36"/>
      <c r="P606" s="3"/>
      <c r="Q606" s="31"/>
      <c r="R606" s="3"/>
    </row>
    <row r="607" spans="1:18">
      <c r="A607" s="14"/>
      <c r="B607" s="9"/>
      <c r="C607" s="10" t="str">
        <f t="shared" si="106"/>
        <v>LEAD TECHNICAL DIRECTOR</v>
      </c>
      <c r="D607" s="9"/>
      <c r="E607" s="9" t="str">
        <f t="shared" si="105"/>
        <v>THANAPAT TUMMATI</v>
      </c>
      <c r="F607" s="9"/>
      <c r="G607" s="3"/>
      <c r="H607" s="13"/>
      <c r="I607" s="36" t="s">
        <v>570</v>
      </c>
      <c r="J607" s="3"/>
      <c r="K607" s="31" t="s">
        <v>571</v>
      </c>
      <c r="L607" s="3"/>
      <c r="M607" s="8"/>
      <c r="N607" s="13"/>
      <c r="O607" s="36" t="s">
        <v>570</v>
      </c>
      <c r="P607" s="3"/>
      <c r="Q607" s="31" t="s">
        <v>571</v>
      </c>
      <c r="R607" s="3"/>
    </row>
    <row r="608" spans="1:18">
      <c r="A608" s="14"/>
      <c r="B608" s="9"/>
      <c r="C608" s="10"/>
      <c r="D608" s="9"/>
      <c r="E608" s="9" t="str">
        <f t="shared" si="105"/>
        <v/>
      </c>
      <c r="F608" s="9"/>
      <c r="G608" s="3"/>
      <c r="H608" s="13"/>
      <c r="I608" s="36"/>
      <c r="J608" s="3"/>
      <c r="K608" s="31"/>
      <c r="L608" s="3"/>
      <c r="M608" s="8"/>
      <c r="N608" s="13"/>
      <c r="O608" s="36"/>
      <c r="P608" s="3"/>
      <c r="Q608" s="31"/>
      <c r="R608" s="3"/>
    </row>
    <row r="609" spans="1:18">
      <c r="A609" s="14"/>
      <c r="B609" s="9"/>
      <c r="C609" s="10" t="str">
        <f>UPPER(I609)</f>
        <v>TECHNICAL DIRECTOR</v>
      </c>
      <c r="D609" s="9"/>
      <c r="E609" s="9" t="str">
        <f t="shared" si="105"/>
        <v>TANAWOOT  SINGTHONGPRASERT</v>
      </c>
      <c r="F609" s="9"/>
      <c r="G609" s="3"/>
      <c r="H609" s="13"/>
      <c r="I609" s="36" t="s">
        <v>572</v>
      </c>
      <c r="J609" s="3"/>
      <c r="K609" s="31" t="s">
        <v>646</v>
      </c>
      <c r="L609" s="3"/>
      <c r="M609" s="8"/>
      <c r="N609" s="13"/>
      <c r="O609" s="36" t="s">
        <v>572</v>
      </c>
      <c r="P609" s="3"/>
      <c r="Q609" s="31" t="s">
        <v>646</v>
      </c>
      <c r="R609" s="3"/>
    </row>
    <row r="610" spans="1:18">
      <c r="A610" s="14"/>
      <c r="B610" s="9"/>
      <c r="C610" s="10"/>
      <c r="D610" s="9"/>
      <c r="E610" s="9" t="str">
        <f t="shared" si="105"/>
        <v>PEERAPAT SRIPENG</v>
      </c>
      <c r="F610" s="9"/>
      <c r="G610" s="3"/>
      <c r="H610" s="13"/>
      <c r="I610" s="36"/>
      <c r="J610" s="3"/>
      <c r="K610" s="31" t="s">
        <v>574</v>
      </c>
      <c r="L610" s="3"/>
      <c r="M610" s="8"/>
      <c r="N610" s="13"/>
      <c r="O610" s="36"/>
      <c r="P610" s="3"/>
      <c r="Q610" s="31" t="s">
        <v>574</v>
      </c>
      <c r="R610" s="3"/>
    </row>
    <row r="611" spans="1:18">
      <c r="A611" s="14"/>
      <c r="B611" s="9"/>
      <c r="C611" s="10" t="str">
        <f t="shared" ref="C611:C615" si="107">UPPER(I611)</f>
        <v/>
      </c>
      <c r="D611" s="9"/>
      <c r="E611" s="9" t="str">
        <f t="shared" si="105"/>
        <v>THIRADA THEETHUM</v>
      </c>
      <c r="F611" s="9"/>
      <c r="G611" s="3"/>
      <c r="H611" s="13"/>
      <c r="I611" s="36"/>
      <c r="J611" s="3"/>
      <c r="K611" s="31" t="s">
        <v>575</v>
      </c>
      <c r="L611" s="3"/>
      <c r="M611" s="8"/>
      <c r="N611" s="13"/>
      <c r="O611" s="36"/>
      <c r="P611" s="3"/>
      <c r="Q611" s="31" t="s">
        <v>575</v>
      </c>
      <c r="R611" s="3"/>
    </row>
    <row r="612" spans="1:18">
      <c r="A612" s="14"/>
      <c r="B612" s="9"/>
      <c r="C612" s="10" t="str">
        <f t="shared" si="107"/>
        <v/>
      </c>
      <c r="D612" s="9"/>
      <c r="E612" s="9" t="str">
        <f t="shared" si="105"/>
        <v>NICHAPAT KACHACHEEWA</v>
      </c>
      <c r="F612" s="9"/>
      <c r="G612" s="3"/>
      <c r="H612" s="13"/>
      <c r="I612" s="36"/>
      <c r="J612" s="3"/>
      <c r="K612" s="31" t="s">
        <v>576</v>
      </c>
      <c r="L612" s="3"/>
      <c r="M612" s="8"/>
      <c r="N612" s="13"/>
      <c r="O612" s="36"/>
      <c r="P612" s="3"/>
      <c r="Q612" s="31" t="s">
        <v>576</v>
      </c>
      <c r="R612" s="3"/>
    </row>
    <row r="613" spans="1:18">
      <c r="A613" s="14"/>
      <c r="B613" s="9"/>
      <c r="C613" s="10" t="str">
        <f t="shared" si="107"/>
        <v/>
      </c>
      <c r="D613" s="9"/>
      <c r="E613" s="9" t="str">
        <f t="shared" si="105"/>
        <v>SUCHADA  KHAMWAN</v>
      </c>
      <c r="F613" s="9"/>
      <c r="G613" s="3"/>
      <c r="H613" s="13"/>
      <c r="I613" s="36"/>
      <c r="J613" s="3"/>
      <c r="K613" s="31" t="s">
        <v>577</v>
      </c>
      <c r="L613" s="3"/>
      <c r="M613" s="8"/>
      <c r="N613" s="13"/>
      <c r="O613" s="36"/>
      <c r="P613" s="3"/>
      <c r="Q613" s="31" t="s">
        <v>577</v>
      </c>
      <c r="R613" s="3"/>
    </row>
    <row r="614" spans="1:18">
      <c r="A614" s="14"/>
      <c r="B614" s="9"/>
      <c r="C614" s="10" t="str">
        <f t="shared" si="107"/>
        <v/>
      </c>
      <c r="D614" s="9"/>
      <c r="E614" s="9" t="str">
        <f t="shared" si="105"/>
        <v/>
      </c>
      <c r="F614" s="9"/>
      <c r="G614" s="3"/>
      <c r="H614" s="13"/>
      <c r="I614" s="36"/>
      <c r="J614" s="3"/>
      <c r="K614" s="31"/>
      <c r="L614" s="3"/>
      <c r="M614" s="8"/>
      <c r="N614" s="13"/>
      <c r="O614" s="36"/>
      <c r="P614" s="3"/>
      <c r="Q614" s="31"/>
      <c r="R614" s="3"/>
    </row>
    <row r="615" spans="1:18">
      <c r="A615" s="14"/>
      <c r="B615" s="9"/>
      <c r="C615" s="10" t="str">
        <f t="shared" si="107"/>
        <v>RIG TECHNICAL DIRECTOR</v>
      </c>
      <c r="D615" s="9"/>
      <c r="E615" s="9" t="str">
        <f t="shared" si="105"/>
        <v>PONGSOPON  SROYSOMWONG</v>
      </c>
      <c r="F615" s="9"/>
      <c r="G615" s="3"/>
      <c r="H615" s="13"/>
      <c r="I615" s="36" t="s">
        <v>578</v>
      </c>
      <c r="J615" s="3"/>
      <c r="K615" s="31" t="s">
        <v>647</v>
      </c>
      <c r="L615" s="3"/>
      <c r="M615" s="8"/>
      <c r="N615" s="13"/>
      <c r="O615" s="36" t="s">
        <v>578</v>
      </c>
      <c r="P615" s="3"/>
      <c r="Q615" s="31" t="s">
        <v>647</v>
      </c>
      <c r="R615" s="3"/>
    </row>
    <row r="616" spans="1:18">
      <c r="A616" s="14"/>
      <c r="B616" s="9"/>
      <c r="C616" s="10"/>
      <c r="D616" s="9"/>
      <c r="E616" s="9" t="str">
        <f t="shared" si="105"/>
        <v>SARAWUT SUWAN</v>
      </c>
      <c r="F616" s="9"/>
      <c r="G616" s="3"/>
      <c r="H616" s="13"/>
      <c r="I616" s="36"/>
      <c r="J616" s="3"/>
      <c r="K616" s="31" t="s">
        <v>580</v>
      </c>
      <c r="L616" s="3"/>
      <c r="M616" s="8"/>
      <c r="N616" s="13"/>
      <c r="O616" s="36"/>
      <c r="P616" s="3"/>
      <c r="Q616" s="31" t="s">
        <v>580</v>
      </c>
      <c r="R616" s="3"/>
    </row>
    <row r="617" spans="1:18">
      <c r="A617" s="14"/>
      <c r="B617" s="6"/>
      <c r="C617" s="6"/>
      <c r="D617" s="6"/>
      <c r="E617" s="6"/>
      <c r="F617" s="6"/>
      <c r="G617" s="3"/>
      <c r="H617" s="74"/>
      <c r="I617" s="5"/>
      <c r="J617" s="5"/>
      <c r="K617" s="5"/>
      <c r="L617" s="74"/>
      <c r="M617" s="8"/>
      <c r="N617" s="13"/>
      <c r="O617" s="8"/>
      <c r="P617" s="3"/>
      <c r="Q617" s="13"/>
      <c r="R617" s="3"/>
    </row>
    <row r="618" spans="1:18">
      <c r="A618" s="14"/>
      <c r="B618" s="26"/>
      <c r="C618" s="26"/>
      <c r="D618" s="26"/>
      <c r="E618" s="26"/>
      <c r="F618" s="26"/>
      <c r="G618" s="3"/>
      <c r="H618" s="74"/>
      <c r="I618" s="5"/>
      <c r="J618" s="5"/>
      <c r="K618" s="5"/>
      <c r="L618" s="74"/>
      <c r="M618" s="8"/>
      <c r="N618" s="13"/>
      <c r="O618" s="8"/>
      <c r="P618" s="3"/>
      <c r="Q618" s="13"/>
      <c r="R618" s="3"/>
    </row>
    <row r="619" spans="1:18">
      <c r="A619" s="14"/>
      <c r="B619" s="6"/>
      <c r="C619" s="6"/>
      <c r="D619" s="6"/>
      <c r="E619" s="6"/>
      <c r="F619" s="6"/>
      <c r="G619" s="3"/>
      <c r="H619" s="74"/>
      <c r="I619" s="5"/>
      <c r="J619" s="5"/>
      <c r="K619" s="5"/>
      <c r="L619" s="74"/>
      <c r="M619" s="8"/>
      <c r="N619" s="13"/>
      <c r="O619" s="8"/>
      <c r="P619" s="3"/>
      <c r="Q619" s="13"/>
      <c r="R619" s="3"/>
    </row>
    <row r="620" spans="1:18">
      <c r="A620" s="14"/>
      <c r="B620" s="143" t="str">
        <f t="shared" ref="B620:B621" si="108">UPPER(H620)</f>
        <v>PRODUCTION SERVICES PROVIDED BY</v>
      </c>
      <c r="C620" s="141"/>
      <c r="D620" s="141"/>
      <c r="E620" s="141"/>
      <c r="F620" s="141"/>
      <c r="G620" s="3"/>
      <c r="H620" s="145" t="s">
        <v>530</v>
      </c>
      <c r="I620" s="141"/>
      <c r="J620" s="141"/>
      <c r="K620" s="141"/>
      <c r="L620" s="141"/>
      <c r="M620" s="8"/>
      <c r="N620" s="145" t="s">
        <v>940</v>
      </c>
      <c r="O620" s="141"/>
      <c r="P620" s="141"/>
      <c r="Q620" s="141"/>
      <c r="R620" s="141"/>
    </row>
    <row r="621" spans="1:18">
      <c r="A621" s="14"/>
      <c r="B621" s="146" t="str">
        <f t="shared" si="108"/>
        <v>THE MONK STUDIOS</v>
      </c>
      <c r="C621" s="141"/>
      <c r="D621" s="141"/>
      <c r="E621" s="141"/>
      <c r="F621" s="141"/>
      <c r="G621" s="8"/>
      <c r="H621" s="149" t="s">
        <v>202</v>
      </c>
      <c r="I621" s="141"/>
      <c r="J621" s="141"/>
      <c r="K621" s="141"/>
      <c r="L621" s="141"/>
      <c r="M621" s="8"/>
      <c r="N621" s="149" t="s">
        <v>202</v>
      </c>
      <c r="O621" s="141"/>
      <c r="P621" s="141"/>
      <c r="Q621" s="141"/>
      <c r="R621" s="141"/>
    </row>
    <row r="622" spans="1:18">
      <c r="A622" s="14"/>
      <c r="B622" s="9"/>
      <c r="C622" s="10"/>
      <c r="D622" s="9"/>
      <c r="E622" s="9"/>
      <c r="F622" s="9"/>
      <c r="G622" s="3"/>
      <c r="H622" s="13"/>
      <c r="I622" s="8"/>
      <c r="J622" s="3"/>
      <c r="K622" s="13"/>
      <c r="L622" s="3"/>
      <c r="M622" s="8"/>
      <c r="N622" s="13"/>
      <c r="O622" s="8"/>
      <c r="P622" s="3"/>
      <c r="Q622" s="13"/>
      <c r="R622" s="3"/>
    </row>
    <row r="623" spans="1:18">
      <c r="A623" s="14"/>
      <c r="B623" s="146" t="str">
        <f>UPPER(H623)</f>
        <v>IT</v>
      </c>
      <c r="C623" s="141"/>
      <c r="D623" s="141"/>
      <c r="E623" s="141"/>
      <c r="F623" s="141"/>
      <c r="G623" s="3"/>
      <c r="H623" s="151" t="s">
        <v>581</v>
      </c>
      <c r="I623" s="141"/>
      <c r="J623" s="141"/>
      <c r="K623" s="141"/>
      <c r="L623" s="141"/>
      <c r="M623" s="8"/>
      <c r="N623" s="151" t="s">
        <v>581</v>
      </c>
      <c r="O623" s="141"/>
      <c r="P623" s="141"/>
      <c r="Q623" s="141"/>
      <c r="R623" s="141"/>
    </row>
    <row r="624" spans="1:18">
      <c r="A624" s="14"/>
      <c r="B624" s="9"/>
      <c r="C624" s="10" t="str">
        <f t="shared" ref="C624:C631" si="109">UPPER(I624)</f>
        <v>IT DIRECTOR</v>
      </c>
      <c r="D624" s="9"/>
      <c r="E624" s="9" t="str">
        <f t="shared" ref="E624:E631" si="110">UPPER(K624)</f>
        <v>PAKORN CHUTINIMITKUL</v>
      </c>
      <c r="F624" s="9"/>
      <c r="G624" s="3"/>
      <c r="H624" s="13"/>
      <c r="I624" s="30" t="s">
        <v>582</v>
      </c>
      <c r="J624" s="3"/>
      <c r="K624" s="22" t="s">
        <v>583</v>
      </c>
      <c r="L624" s="3"/>
      <c r="M624" s="8"/>
      <c r="N624" s="13"/>
      <c r="O624" s="30" t="s">
        <v>582</v>
      </c>
      <c r="P624" s="3"/>
      <c r="Q624" s="22" t="s">
        <v>583</v>
      </c>
      <c r="R624" s="3"/>
    </row>
    <row r="625" spans="1:18">
      <c r="A625" s="14"/>
      <c r="B625" s="9"/>
      <c r="C625" s="10" t="str">
        <f t="shared" si="109"/>
        <v/>
      </c>
      <c r="D625" s="9"/>
      <c r="E625" s="9" t="str">
        <f t="shared" si="110"/>
        <v/>
      </c>
      <c r="F625" s="9"/>
      <c r="G625" s="3"/>
      <c r="H625" s="13"/>
      <c r="I625" s="30"/>
      <c r="J625" s="3"/>
      <c r="K625" s="22"/>
      <c r="L625" s="3"/>
      <c r="M625" s="8"/>
      <c r="N625" s="13"/>
      <c r="O625" s="30"/>
      <c r="P625" s="3"/>
      <c r="Q625" s="22"/>
      <c r="R625" s="3"/>
    </row>
    <row r="626" spans="1:18">
      <c r="A626" s="14"/>
      <c r="B626" s="9"/>
      <c r="C626" s="10" t="str">
        <f t="shared" si="109"/>
        <v>SYSTEM ENGINEER</v>
      </c>
      <c r="D626" s="9"/>
      <c r="E626" s="9" t="str">
        <f t="shared" si="110"/>
        <v>NATEE KOONJATURAPAT</v>
      </c>
      <c r="F626" s="9"/>
      <c r="G626" s="3"/>
      <c r="H626" s="13"/>
      <c r="I626" s="30" t="s">
        <v>584</v>
      </c>
      <c r="J626" s="3"/>
      <c r="K626" s="22" t="s">
        <v>585</v>
      </c>
      <c r="L626" s="3"/>
      <c r="M626" s="8"/>
      <c r="N626" s="13"/>
      <c r="O626" s="30" t="s">
        <v>584</v>
      </c>
      <c r="P626" s="3"/>
      <c r="Q626" s="22" t="s">
        <v>585</v>
      </c>
      <c r="R626" s="3"/>
    </row>
    <row r="627" spans="1:18">
      <c r="A627" s="14"/>
      <c r="B627" s="9"/>
      <c r="C627" s="10" t="str">
        <f t="shared" si="109"/>
        <v/>
      </c>
      <c r="D627" s="9"/>
      <c r="E627" s="9" t="str">
        <f t="shared" si="110"/>
        <v/>
      </c>
      <c r="F627" s="9"/>
      <c r="G627" s="3"/>
      <c r="H627" s="13"/>
      <c r="I627" s="30"/>
      <c r="J627" s="3"/>
      <c r="K627" s="22"/>
      <c r="L627" s="3"/>
      <c r="M627" s="8"/>
      <c r="N627" s="13"/>
      <c r="O627" s="30"/>
      <c r="P627" s="3"/>
      <c r="Q627" s="22"/>
      <c r="R627" s="3"/>
    </row>
    <row r="628" spans="1:18">
      <c r="A628" s="14"/>
      <c r="B628" s="9"/>
      <c r="C628" s="10" t="str">
        <f t="shared" si="109"/>
        <v>IT SUPPORT</v>
      </c>
      <c r="D628" s="9"/>
      <c r="E628" s="9" t="str">
        <f t="shared" si="110"/>
        <v>CHATCHAI LOHSIRI</v>
      </c>
      <c r="F628" s="9"/>
      <c r="G628" s="3"/>
      <c r="H628" s="13"/>
      <c r="I628" s="30" t="s">
        <v>586</v>
      </c>
      <c r="J628" s="3"/>
      <c r="K628" s="22" t="s">
        <v>587</v>
      </c>
      <c r="L628" s="3"/>
      <c r="M628" s="8"/>
      <c r="N628" s="13"/>
      <c r="O628" s="30" t="s">
        <v>586</v>
      </c>
      <c r="P628" s="3"/>
      <c r="Q628" s="22" t="s">
        <v>587</v>
      </c>
      <c r="R628" s="3"/>
    </row>
    <row r="629" spans="1:18">
      <c r="A629" s="14"/>
      <c r="B629" s="9"/>
      <c r="C629" s="10" t="str">
        <f t="shared" si="109"/>
        <v/>
      </c>
      <c r="D629" s="9"/>
      <c r="E629" s="9" t="str">
        <f t="shared" si="110"/>
        <v>WIMONWAN LERTTHONGKAM</v>
      </c>
      <c r="F629" s="9"/>
      <c r="G629" s="3"/>
      <c r="H629" s="13"/>
      <c r="I629" s="30"/>
      <c r="J629" s="3"/>
      <c r="K629" s="22" t="s">
        <v>588</v>
      </c>
      <c r="L629" s="3"/>
      <c r="M629" s="8"/>
      <c r="N629" s="13"/>
      <c r="O629" s="30"/>
      <c r="P629" s="3"/>
      <c r="Q629" s="22" t="s">
        <v>588</v>
      </c>
      <c r="R629" s="3"/>
    </row>
    <row r="630" spans="1:18">
      <c r="A630" s="14"/>
      <c r="B630" s="9"/>
      <c r="C630" s="10" t="str">
        <f t="shared" si="109"/>
        <v/>
      </c>
      <c r="D630" s="9"/>
      <c r="E630" s="9" t="str">
        <f t="shared" si="110"/>
        <v/>
      </c>
      <c r="F630" s="9"/>
      <c r="G630" s="3"/>
      <c r="H630" s="13"/>
      <c r="I630" s="8"/>
      <c r="J630" s="3"/>
      <c r="K630" s="13"/>
      <c r="L630" s="3"/>
      <c r="M630" s="8"/>
      <c r="N630" s="13"/>
      <c r="O630" s="8"/>
      <c r="P630" s="3"/>
      <c r="Q630" s="76"/>
      <c r="R630" s="3"/>
    </row>
    <row r="631" spans="1:18">
      <c r="A631" s="14"/>
      <c r="B631" s="11"/>
      <c r="C631" s="12" t="str">
        <f t="shared" si="109"/>
        <v/>
      </c>
      <c r="D631" s="11"/>
      <c r="E631" s="11" t="str">
        <f t="shared" si="110"/>
        <v/>
      </c>
      <c r="F631" s="11"/>
      <c r="G631" s="3"/>
      <c r="H631" s="3"/>
      <c r="I631" s="8"/>
      <c r="J631" s="3"/>
      <c r="K631" s="13"/>
      <c r="L631" s="3"/>
      <c r="M631" s="8"/>
      <c r="N631" s="8"/>
      <c r="O631" s="8"/>
      <c r="P631" s="3"/>
      <c r="Q631" s="3"/>
      <c r="R631" s="3"/>
    </row>
    <row r="632" spans="1:18">
      <c r="A632" s="14"/>
      <c r="B632" s="61"/>
      <c r="C632" s="61"/>
      <c r="D632" s="61"/>
      <c r="E632" s="61"/>
      <c r="F632" s="61"/>
      <c r="G632" s="3"/>
      <c r="H632" s="7"/>
      <c r="I632" s="7"/>
      <c r="J632" s="7"/>
      <c r="K632" s="7"/>
      <c r="L632" s="7"/>
      <c r="M632" s="8"/>
      <c r="N632" s="8"/>
      <c r="O632" s="8"/>
      <c r="P632" s="3"/>
      <c r="Q632" s="3"/>
      <c r="R632" s="3"/>
    </row>
    <row r="633" spans="1:18">
      <c r="A633" s="14"/>
      <c r="B633" s="143" t="str">
        <f t="shared" ref="B633:B634" si="111">UPPER(H633)</f>
        <v>PRODUCTION SERVICES PROVIDED BY</v>
      </c>
      <c r="C633" s="141"/>
      <c r="D633" s="141"/>
      <c r="E633" s="141"/>
      <c r="F633" s="141"/>
      <c r="G633" s="3"/>
      <c r="H633" s="145" t="s">
        <v>530</v>
      </c>
      <c r="I633" s="141"/>
      <c r="J633" s="141"/>
      <c r="K633" s="141"/>
      <c r="L633" s="141"/>
      <c r="M633" s="8"/>
      <c r="N633" s="145" t="s">
        <v>940</v>
      </c>
      <c r="O633" s="141"/>
      <c r="P633" s="141"/>
      <c r="Q633" s="141"/>
      <c r="R633" s="141"/>
    </row>
    <row r="634" spans="1:18">
      <c r="A634" s="14"/>
      <c r="B634" s="146" t="str">
        <f t="shared" si="111"/>
        <v>STUDIO GOINDOL INC.</v>
      </c>
      <c r="C634" s="141"/>
      <c r="D634" s="141"/>
      <c r="E634" s="141"/>
      <c r="F634" s="141"/>
      <c r="G634" s="3"/>
      <c r="H634" s="149" t="s">
        <v>176</v>
      </c>
      <c r="I634" s="141"/>
      <c r="J634" s="141"/>
      <c r="K634" s="141"/>
      <c r="L634" s="141"/>
      <c r="M634" s="8"/>
      <c r="N634" s="149" t="s">
        <v>176</v>
      </c>
      <c r="O634" s="141"/>
      <c r="P634" s="141"/>
      <c r="Q634" s="141"/>
      <c r="R634" s="141"/>
    </row>
    <row r="635" spans="1:18">
      <c r="A635" s="14"/>
      <c r="B635" s="6"/>
      <c r="C635" s="6"/>
      <c r="D635" s="6"/>
      <c r="E635" s="6"/>
      <c r="F635" s="6"/>
      <c r="G635" s="3"/>
      <c r="H635" s="5"/>
      <c r="I635" s="5"/>
      <c r="J635" s="5"/>
      <c r="K635" s="5"/>
      <c r="L635" s="5"/>
      <c r="M635" s="8"/>
      <c r="N635" s="15"/>
      <c r="O635" s="15"/>
      <c r="P635" s="15"/>
      <c r="Q635" s="15"/>
      <c r="R635" s="15"/>
    </row>
    <row r="636" spans="1:18">
      <c r="A636" s="14"/>
      <c r="B636" s="146" t="str">
        <f>UPPER(H636)</f>
        <v>STORYBOARD &amp; DESIGN</v>
      </c>
      <c r="C636" s="141"/>
      <c r="D636" s="141"/>
      <c r="E636" s="141"/>
      <c r="F636" s="141"/>
      <c r="G636" s="3"/>
      <c r="H636" s="149" t="s">
        <v>589</v>
      </c>
      <c r="I636" s="141"/>
      <c r="J636" s="141"/>
      <c r="K636" s="141"/>
      <c r="L636" s="141"/>
      <c r="M636" s="8"/>
      <c r="N636" s="149" t="s">
        <v>941</v>
      </c>
      <c r="O636" s="141"/>
      <c r="P636" s="141"/>
      <c r="Q636" s="141"/>
      <c r="R636" s="141"/>
    </row>
    <row r="637" spans="1:18">
      <c r="A637" s="14"/>
      <c r="B637" s="9"/>
      <c r="C637" s="10" t="str">
        <f>UPPER(I637)</f>
        <v>CHIEF PRODUCER</v>
      </c>
      <c r="D637" s="9"/>
      <c r="E637" s="9" t="str">
        <f>UPPER(K637)</f>
        <v>JUNGSOO HUR</v>
      </c>
      <c r="F637" s="9"/>
      <c r="G637" s="3"/>
      <c r="H637" s="3"/>
      <c r="I637" s="8" t="s">
        <v>590</v>
      </c>
      <c r="J637" s="3"/>
      <c r="K637" s="3" t="s">
        <v>591</v>
      </c>
      <c r="L637" s="3"/>
      <c r="M637" s="8"/>
      <c r="N637" s="3"/>
      <c r="O637" s="63" t="s">
        <v>772</v>
      </c>
      <c r="P637" s="3"/>
      <c r="Q637" s="3" t="s">
        <v>942</v>
      </c>
      <c r="R637" s="3"/>
    </row>
    <row r="638" spans="1:18">
      <c r="A638" s="14"/>
      <c r="B638" s="9"/>
      <c r="C638" s="10"/>
      <c r="D638" s="9"/>
      <c r="E638" s="9"/>
      <c r="F638" s="9"/>
      <c r="G638" s="3"/>
      <c r="H638" s="3"/>
      <c r="I638" s="8"/>
      <c r="J638" s="3"/>
      <c r="K638" s="3"/>
      <c r="L638" s="3"/>
      <c r="M638" s="8"/>
      <c r="N638" s="3"/>
      <c r="O638" s="8"/>
      <c r="P638" s="3"/>
      <c r="Q638" s="3"/>
      <c r="R638" s="3"/>
    </row>
    <row r="639" spans="1:18">
      <c r="A639" s="14"/>
      <c r="B639" s="9"/>
      <c r="C639" s="10" t="str">
        <f>UPPER(I639)</f>
        <v>PRODUCER</v>
      </c>
      <c r="D639" s="9"/>
      <c r="E639" s="9" t="str">
        <f>UPPER(K639)</f>
        <v>GEUNJEONG KIM</v>
      </c>
      <c r="F639" s="9"/>
      <c r="G639" s="3"/>
      <c r="H639" s="3"/>
      <c r="I639" s="8" t="s">
        <v>504</v>
      </c>
      <c r="J639" s="3"/>
      <c r="K639" s="3" t="s">
        <v>592</v>
      </c>
      <c r="L639" s="3"/>
      <c r="M639" s="8"/>
      <c r="N639" s="3"/>
      <c r="O639" s="8" t="s">
        <v>773</v>
      </c>
      <c r="P639" s="3"/>
      <c r="Q639" s="3" t="s">
        <v>943</v>
      </c>
      <c r="R639" s="3"/>
    </row>
    <row r="640" spans="1:18">
      <c r="A640" s="14"/>
      <c r="B640" s="9"/>
      <c r="C640" s="10"/>
      <c r="D640" s="9"/>
      <c r="E640" s="9"/>
      <c r="F640" s="9"/>
      <c r="G640" s="3"/>
      <c r="H640" s="3"/>
      <c r="I640" s="8"/>
      <c r="J640" s="3"/>
      <c r="K640" s="3"/>
      <c r="L640" s="3"/>
      <c r="M640" s="8"/>
      <c r="N640" s="3"/>
      <c r="O640" s="8"/>
      <c r="P640" s="3"/>
      <c r="Q640" s="3"/>
      <c r="R640" s="3"/>
    </row>
    <row r="641" spans="1:18">
      <c r="A641" s="14"/>
      <c r="B641" s="9"/>
      <c r="C641" s="10" t="str">
        <f>UPPER(I641)</f>
        <v>COORDINATOR</v>
      </c>
      <c r="D641" s="9"/>
      <c r="E641" s="9" t="str">
        <f>UPPER(K641)</f>
        <v>JOWON JUNG</v>
      </c>
      <c r="F641" s="9"/>
      <c r="G641" s="3"/>
      <c r="H641" s="3"/>
      <c r="I641" s="8" t="s">
        <v>593</v>
      </c>
      <c r="J641" s="3"/>
      <c r="K641" s="3" t="s">
        <v>594</v>
      </c>
      <c r="L641" s="3"/>
      <c r="M641" s="8"/>
      <c r="N641" s="3"/>
      <c r="O641" s="8" t="s">
        <v>944</v>
      </c>
      <c r="P641" s="3"/>
      <c r="Q641" s="3" t="s">
        <v>945</v>
      </c>
      <c r="R641" s="3"/>
    </row>
    <row r="642" spans="1:18">
      <c r="A642" s="14"/>
      <c r="B642" s="9"/>
      <c r="C642" s="10"/>
      <c r="D642" s="9"/>
      <c r="E642" s="9"/>
      <c r="F642" s="9"/>
      <c r="G642" s="3"/>
      <c r="H642" s="3"/>
      <c r="I642" s="8"/>
      <c r="J642" s="3"/>
      <c r="K642" s="3"/>
      <c r="L642" s="3"/>
      <c r="M642" s="8"/>
      <c r="N642" s="3"/>
      <c r="O642" s="8"/>
      <c r="P642" s="3"/>
      <c r="Q642" s="3"/>
      <c r="R642" s="3"/>
    </row>
    <row r="643" spans="1:18">
      <c r="A643" s="14"/>
      <c r="B643" s="9"/>
      <c r="C643" s="10" t="str">
        <f t="shared" ref="C643:C650" si="112">UPPER(I643)</f>
        <v>LEAD DESIGNER</v>
      </c>
      <c r="D643" s="9"/>
      <c r="E643" s="9" t="str">
        <f t="shared" ref="E643:E650" si="113">UPPER(K643)</f>
        <v>WOOJIN SEOK</v>
      </c>
      <c r="F643" s="9"/>
      <c r="G643" s="3"/>
      <c r="H643" s="3"/>
      <c r="I643" s="8" t="s">
        <v>595</v>
      </c>
      <c r="J643" s="3"/>
      <c r="K643" s="3" t="s">
        <v>596</v>
      </c>
      <c r="L643" s="3"/>
      <c r="M643" s="8"/>
      <c r="N643" s="3"/>
      <c r="O643" s="8" t="s">
        <v>946</v>
      </c>
      <c r="P643" s="3"/>
      <c r="Q643" s="3" t="s">
        <v>947</v>
      </c>
      <c r="R643" s="3"/>
    </row>
    <row r="644" spans="1:18">
      <c r="A644" s="14"/>
      <c r="B644" s="9"/>
      <c r="C644" s="10" t="str">
        <f t="shared" si="112"/>
        <v/>
      </c>
      <c r="D644" s="9"/>
      <c r="E644" s="9" t="str">
        <f t="shared" si="113"/>
        <v/>
      </c>
      <c r="F644" s="9"/>
      <c r="G644" s="3"/>
      <c r="H644" s="3"/>
      <c r="I644" s="8"/>
      <c r="J644" s="3"/>
      <c r="K644" s="3"/>
      <c r="L644" s="3"/>
      <c r="M644" s="8"/>
      <c r="N644" s="3"/>
      <c r="O644" s="8"/>
      <c r="P644" s="3"/>
      <c r="Q644" s="3"/>
      <c r="R644" s="3"/>
    </row>
    <row r="645" spans="1:18">
      <c r="A645" s="14"/>
      <c r="B645" s="9"/>
      <c r="C645" s="10" t="str">
        <f t="shared" si="112"/>
        <v>DESIGNER</v>
      </c>
      <c r="D645" s="9"/>
      <c r="E645" s="9" t="str">
        <f t="shared" si="113"/>
        <v>JIHYUN KIM</v>
      </c>
      <c r="F645" s="9"/>
      <c r="G645" s="3"/>
      <c r="H645" s="3"/>
      <c r="I645" s="8" t="s">
        <v>597</v>
      </c>
      <c r="J645" s="3"/>
      <c r="K645" s="3" t="s">
        <v>598</v>
      </c>
      <c r="L645" s="3"/>
      <c r="M645" s="8"/>
      <c r="N645" s="3"/>
      <c r="O645" s="8" t="s">
        <v>948</v>
      </c>
      <c r="P645" s="3"/>
      <c r="Q645" s="3" t="s">
        <v>771</v>
      </c>
      <c r="R645" s="3"/>
    </row>
    <row r="646" spans="1:18">
      <c r="A646" s="14"/>
      <c r="B646" s="9"/>
      <c r="C646" s="10" t="str">
        <f t="shared" si="112"/>
        <v/>
      </c>
      <c r="D646" s="9"/>
      <c r="E646" s="9" t="str">
        <f t="shared" si="113"/>
        <v>MINCHANG KIM</v>
      </c>
      <c r="F646" s="9"/>
      <c r="G646" s="3"/>
      <c r="H646" s="3"/>
      <c r="I646" s="8"/>
      <c r="J646" s="3"/>
      <c r="K646" s="3" t="s">
        <v>599</v>
      </c>
      <c r="L646" s="3"/>
      <c r="M646" s="8"/>
      <c r="N646" s="3"/>
      <c r="O646" s="3"/>
      <c r="P646" s="3"/>
      <c r="Q646" s="3" t="s">
        <v>949</v>
      </c>
      <c r="R646" s="3"/>
    </row>
    <row r="647" spans="1:18">
      <c r="A647" s="14"/>
      <c r="B647" s="9"/>
      <c r="C647" s="10" t="str">
        <f t="shared" si="112"/>
        <v/>
      </c>
      <c r="D647" s="9"/>
      <c r="E647" s="9" t="str">
        <f t="shared" si="113"/>
        <v>JAEWOOK JOO</v>
      </c>
      <c r="F647" s="9"/>
      <c r="G647" s="3"/>
      <c r="H647" s="3"/>
      <c r="I647" s="8"/>
      <c r="J647" s="3"/>
      <c r="K647" s="3" t="s">
        <v>600</v>
      </c>
      <c r="L647" s="3"/>
      <c r="M647" s="8"/>
      <c r="N647" s="3"/>
      <c r="O647" s="3"/>
      <c r="P647" s="3"/>
      <c r="Q647" s="3" t="s">
        <v>950</v>
      </c>
      <c r="R647" s="3"/>
    </row>
    <row r="648" spans="1:18">
      <c r="A648" s="14"/>
      <c r="B648" s="9"/>
      <c r="C648" s="10" t="str">
        <f t="shared" si="112"/>
        <v/>
      </c>
      <c r="D648" s="9"/>
      <c r="E648" s="9" t="str">
        <f t="shared" si="113"/>
        <v>NAMOK EU</v>
      </c>
      <c r="F648" s="9"/>
      <c r="G648" s="3"/>
      <c r="H648" s="3"/>
      <c r="I648" s="8"/>
      <c r="J648" s="3"/>
      <c r="K648" s="3" t="s">
        <v>601</v>
      </c>
      <c r="L648" s="3"/>
      <c r="M648" s="8"/>
      <c r="N648" s="3"/>
      <c r="O648" s="3"/>
      <c r="P648" s="3"/>
      <c r="Q648" s="3" t="s">
        <v>951</v>
      </c>
      <c r="R648" s="3"/>
    </row>
    <row r="649" spans="1:18">
      <c r="A649" s="14"/>
      <c r="B649" s="9"/>
      <c r="C649" s="10" t="str">
        <f t="shared" si="112"/>
        <v/>
      </c>
      <c r="D649" s="9"/>
      <c r="E649" s="9" t="str">
        <f t="shared" si="113"/>
        <v>DAI JEONG</v>
      </c>
      <c r="F649" s="9"/>
      <c r="G649" s="3"/>
      <c r="H649" s="3"/>
      <c r="I649" s="8"/>
      <c r="J649" s="3"/>
      <c r="K649" s="3" t="s">
        <v>602</v>
      </c>
      <c r="L649" s="3"/>
      <c r="M649" s="8"/>
      <c r="N649" s="3"/>
      <c r="O649" s="3"/>
      <c r="P649" s="3"/>
      <c r="Q649" s="3" t="s">
        <v>952</v>
      </c>
      <c r="R649" s="3"/>
    </row>
    <row r="650" spans="1:18">
      <c r="A650" s="14"/>
      <c r="B650" s="9"/>
      <c r="C650" s="10" t="str">
        <f t="shared" si="112"/>
        <v/>
      </c>
      <c r="D650" s="9"/>
      <c r="E650" s="9" t="str">
        <f t="shared" si="113"/>
        <v/>
      </c>
      <c r="F650" s="9"/>
      <c r="G650" s="3"/>
      <c r="H650" s="3"/>
      <c r="I650" s="8"/>
      <c r="J650" s="3"/>
      <c r="K650" s="3"/>
      <c r="L650" s="3"/>
      <c r="M650" s="8"/>
      <c r="N650" s="8"/>
      <c r="O650" s="8"/>
      <c r="P650" s="3"/>
      <c r="Q650" s="3"/>
      <c r="R650" s="3"/>
    </row>
    <row r="651" spans="1:18">
      <c r="A651" s="14"/>
      <c r="B651" s="3"/>
      <c r="C651" s="12"/>
      <c r="D651" s="3"/>
      <c r="E651" s="11"/>
      <c r="F651" s="3"/>
      <c r="G651" s="3"/>
      <c r="H651" s="8"/>
      <c r="I651" s="8"/>
      <c r="J651" s="8"/>
      <c r="K651" s="13"/>
      <c r="L651" s="8"/>
      <c r="M651" s="8"/>
      <c r="N651" s="8"/>
      <c r="O651" s="8"/>
      <c r="P651" s="3"/>
      <c r="Q651" s="3"/>
      <c r="R651" s="3"/>
    </row>
    <row r="652" spans="1:18">
      <c r="A652" s="14"/>
      <c r="B652" s="3"/>
      <c r="C652" s="12" t="str">
        <f>UPPER(I652)</f>
        <v/>
      </c>
      <c r="D652" s="11"/>
      <c r="E652" s="11" t="str">
        <f>UPPER(K652)</f>
        <v/>
      </c>
      <c r="F652" s="3"/>
      <c r="G652" s="3"/>
      <c r="H652" s="8"/>
      <c r="I652" s="8"/>
      <c r="J652" s="8"/>
      <c r="K652" s="13"/>
      <c r="L652" s="8"/>
      <c r="M652" s="8"/>
      <c r="N652" s="8"/>
      <c r="O652" s="8"/>
      <c r="P652" s="3"/>
      <c r="Q652" s="3"/>
      <c r="R652" s="3"/>
    </row>
    <row r="653" spans="1:18">
      <c r="A653" s="14"/>
      <c r="B653" s="3"/>
      <c r="C653" s="3"/>
      <c r="D653" s="3"/>
      <c r="E653" s="3"/>
      <c r="F653" s="3"/>
      <c r="G653" s="3"/>
      <c r="H653" s="3"/>
      <c r="I653" s="8"/>
      <c r="J653" s="3"/>
      <c r="K653" s="3"/>
      <c r="L653" s="3"/>
      <c r="M653" s="3"/>
      <c r="N653" s="3"/>
      <c r="O653" s="8"/>
      <c r="P653" s="3"/>
      <c r="Q653" s="3"/>
      <c r="R653" s="3"/>
    </row>
    <row r="654" spans="1:18"/>
    <row r="655" spans="1:18"/>
    <row r="656" spans="1:18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</sheetData>
  <mergeCells count="213">
    <mergeCell ref="B327:F327"/>
    <mergeCell ref="H327:L327"/>
    <mergeCell ref="N327:R327"/>
    <mergeCell ref="B330:F330"/>
    <mergeCell ref="B344:F344"/>
    <mergeCell ref="N344:R344"/>
    <mergeCell ref="B345:F345"/>
    <mergeCell ref="N345:R345"/>
    <mergeCell ref="H344:L344"/>
    <mergeCell ref="H345:L345"/>
    <mergeCell ref="B367:F367"/>
    <mergeCell ref="H367:L367"/>
    <mergeCell ref="N367:R367"/>
    <mergeCell ref="B383:F383"/>
    <mergeCell ref="H383:L383"/>
    <mergeCell ref="N174:R174"/>
    <mergeCell ref="N175:R175"/>
    <mergeCell ref="B155:F155"/>
    <mergeCell ref="H155:L155"/>
    <mergeCell ref="N155:R155"/>
    <mergeCell ref="B174:F174"/>
    <mergeCell ref="H174:L174"/>
    <mergeCell ref="B175:F175"/>
    <mergeCell ref="H175:L175"/>
    <mergeCell ref="H203:L203"/>
    <mergeCell ref="N203:R203"/>
    <mergeCell ref="B187:F187"/>
    <mergeCell ref="H187:L187"/>
    <mergeCell ref="N187:R187"/>
    <mergeCell ref="B191:F191"/>
    <mergeCell ref="H191:L191"/>
    <mergeCell ref="N191:R191"/>
    <mergeCell ref="B203:F203"/>
    <mergeCell ref="H243:L243"/>
    <mergeCell ref="N243:R243"/>
    <mergeCell ref="B219:F219"/>
    <mergeCell ref="H219:L219"/>
    <mergeCell ref="N219:R219"/>
    <mergeCell ref="B220:F220"/>
    <mergeCell ref="H220:L220"/>
    <mergeCell ref="N220:R220"/>
    <mergeCell ref="B243:F243"/>
    <mergeCell ref="N448:R448"/>
    <mergeCell ref="B430:F430"/>
    <mergeCell ref="H430:L430"/>
    <mergeCell ref="N430:R430"/>
    <mergeCell ref="B448:F448"/>
    <mergeCell ref="H448:L448"/>
    <mergeCell ref="H267:L267"/>
    <mergeCell ref="N267:R267"/>
    <mergeCell ref="B244:F244"/>
    <mergeCell ref="H244:L244"/>
    <mergeCell ref="N244:R244"/>
    <mergeCell ref="B253:F253"/>
    <mergeCell ref="H253:L253"/>
    <mergeCell ref="N253:R253"/>
    <mergeCell ref="B267:F267"/>
    <mergeCell ref="N284:R284"/>
    <mergeCell ref="N449:R449"/>
    <mergeCell ref="B492:F492"/>
    <mergeCell ref="H492:L492"/>
    <mergeCell ref="B493:F493"/>
    <mergeCell ref="H493:L493"/>
    <mergeCell ref="B513:F513"/>
    <mergeCell ref="H513:L513"/>
    <mergeCell ref="H524:L524"/>
    <mergeCell ref="H525:L525"/>
    <mergeCell ref="B524:F524"/>
    <mergeCell ref="B525:F525"/>
    <mergeCell ref="B449:F449"/>
    <mergeCell ref="B450:F450"/>
    <mergeCell ref="N450:R450"/>
    <mergeCell ref="H449:L449"/>
    <mergeCell ref="H450:L450"/>
    <mergeCell ref="H453:L453"/>
    <mergeCell ref="B460:F460"/>
    <mergeCell ref="H460:L460"/>
    <mergeCell ref="H461:L461"/>
    <mergeCell ref="H464:L464"/>
    <mergeCell ref="H490:L490"/>
    <mergeCell ref="H491:L491"/>
    <mergeCell ref="B461:F461"/>
    <mergeCell ref="B539:F539"/>
    <mergeCell ref="H539:L539"/>
    <mergeCell ref="B565:F565"/>
    <mergeCell ref="H565:L565"/>
    <mergeCell ref="H566:L566"/>
    <mergeCell ref="B620:F620"/>
    <mergeCell ref="B621:F621"/>
    <mergeCell ref="B623:F623"/>
    <mergeCell ref="B633:F633"/>
    <mergeCell ref="B566:F566"/>
    <mergeCell ref="B568:F568"/>
    <mergeCell ref="H568:L568"/>
    <mergeCell ref="B634:F634"/>
    <mergeCell ref="B636:F636"/>
    <mergeCell ref="H621:L621"/>
    <mergeCell ref="H623:L623"/>
    <mergeCell ref="H633:L633"/>
    <mergeCell ref="H634:L634"/>
    <mergeCell ref="H636:L636"/>
    <mergeCell ref="B594:F594"/>
    <mergeCell ref="H594:L594"/>
    <mergeCell ref="B595:F595"/>
    <mergeCell ref="H595:L595"/>
    <mergeCell ref="B597:F597"/>
    <mergeCell ref="H597:L597"/>
    <mergeCell ref="H620:L620"/>
    <mergeCell ref="B473:F473"/>
    <mergeCell ref="H473:L473"/>
    <mergeCell ref="B474:F474"/>
    <mergeCell ref="H474:L474"/>
    <mergeCell ref="B490:F490"/>
    <mergeCell ref="B491:F491"/>
    <mergeCell ref="N460:R460"/>
    <mergeCell ref="N461:R461"/>
    <mergeCell ref="N473:R473"/>
    <mergeCell ref="N474:R474"/>
    <mergeCell ref="N475:R475"/>
    <mergeCell ref="N490:R490"/>
    <mergeCell ref="N491:R491"/>
    <mergeCell ref="N623:R623"/>
    <mergeCell ref="N633:R633"/>
    <mergeCell ref="N634:R634"/>
    <mergeCell ref="N636:R636"/>
    <mergeCell ref="A1:R2"/>
    <mergeCell ref="B4:F4"/>
    <mergeCell ref="H4:L4"/>
    <mergeCell ref="N4:R4"/>
    <mergeCell ref="B27:F27"/>
    <mergeCell ref="H27:L27"/>
    <mergeCell ref="N27:R27"/>
    <mergeCell ref="B53:F53"/>
    <mergeCell ref="H53:L53"/>
    <mergeCell ref="N53:R53"/>
    <mergeCell ref="B54:F54"/>
    <mergeCell ref="H54:L54"/>
    <mergeCell ref="N54:R54"/>
    <mergeCell ref="H70:L70"/>
    <mergeCell ref="B70:F70"/>
    <mergeCell ref="B71:F71"/>
    <mergeCell ref="H71:L71"/>
    <mergeCell ref="N71:R71"/>
    <mergeCell ref="B83:F83"/>
    <mergeCell ref="H83:L83"/>
    <mergeCell ref="N83:R83"/>
    <mergeCell ref="N105:R105"/>
    <mergeCell ref="N106:R106"/>
    <mergeCell ref="B92:F92"/>
    <mergeCell ref="H92:L92"/>
    <mergeCell ref="N92:R92"/>
    <mergeCell ref="B105:F105"/>
    <mergeCell ref="H105:L105"/>
    <mergeCell ref="B106:F106"/>
    <mergeCell ref="H106:L106"/>
    <mergeCell ref="H154:L154"/>
    <mergeCell ref="N154:R154"/>
    <mergeCell ref="B132:F132"/>
    <mergeCell ref="H132:L132"/>
    <mergeCell ref="N132:R132"/>
    <mergeCell ref="B133:F133"/>
    <mergeCell ref="H133:L133"/>
    <mergeCell ref="N133:R133"/>
    <mergeCell ref="B154:F154"/>
    <mergeCell ref="N285:R285"/>
    <mergeCell ref="B268:F268"/>
    <mergeCell ref="H268:L268"/>
    <mergeCell ref="N268:R268"/>
    <mergeCell ref="B284:F284"/>
    <mergeCell ref="H284:L284"/>
    <mergeCell ref="B285:F285"/>
    <mergeCell ref="H285:L285"/>
    <mergeCell ref="H321:L321"/>
    <mergeCell ref="N321:R321"/>
    <mergeCell ref="B308:F308"/>
    <mergeCell ref="H308:L308"/>
    <mergeCell ref="N308:R308"/>
    <mergeCell ref="B309:F309"/>
    <mergeCell ref="H309:L309"/>
    <mergeCell ref="N309:R309"/>
    <mergeCell ref="B321:F321"/>
    <mergeCell ref="H396:L396"/>
    <mergeCell ref="N396:R396"/>
    <mergeCell ref="N383:R383"/>
    <mergeCell ref="N388:R388"/>
    <mergeCell ref="B389:F389"/>
    <mergeCell ref="H389:L389"/>
    <mergeCell ref="N389:R389"/>
    <mergeCell ref="N394:R394"/>
    <mergeCell ref="B396:F396"/>
    <mergeCell ref="H429:L429"/>
    <mergeCell ref="N429:R429"/>
    <mergeCell ref="B409:F409"/>
    <mergeCell ref="H409:L409"/>
    <mergeCell ref="N409:R409"/>
    <mergeCell ref="B410:F410"/>
    <mergeCell ref="H410:L410"/>
    <mergeCell ref="N410:R410"/>
    <mergeCell ref="B429:F429"/>
    <mergeCell ref="N594:R594"/>
    <mergeCell ref="N595:R595"/>
    <mergeCell ref="N597:R597"/>
    <mergeCell ref="N620:R620"/>
    <mergeCell ref="N621:R621"/>
    <mergeCell ref="N492:R492"/>
    <mergeCell ref="N493:R493"/>
    <mergeCell ref="N513:R513"/>
    <mergeCell ref="N524:R524"/>
    <mergeCell ref="N525:R525"/>
    <mergeCell ref="N539:R539"/>
    <mergeCell ref="N565:R565"/>
    <mergeCell ref="N566:R566"/>
    <mergeCell ref="N568:R568"/>
  </mergeCells>
  <phoneticPr fontId="5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R751"/>
  <sheetViews>
    <sheetView workbookViewId="0">
      <pane ySplit="2" topLeftCell="A3" activePane="bottomLeft" state="frozen"/>
      <selection pane="bottomLeft" sqref="A1:R2"/>
    </sheetView>
  </sheetViews>
  <sheetFormatPr defaultColWidth="12.5703125" defaultRowHeight="15.75" customHeight="1"/>
  <cols>
    <col min="1" max="1" width="2.5703125" customWidth="1"/>
    <col min="2" max="3" width="18.85546875" customWidth="1"/>
    <col min="4" max="4" width="1.42578125" customWidth="1"/>
    <col min="5" max="6" width="18.85546875" customWidth="1"/>
    <col min="7" max="7" width="1.42578125" customWidth="1"/>
    <col min="8" max="9" width="18.85546875" customWidth="1"/>
    <col min="10" max="10" width="1.42578125" customWidth="1"/>
    <col min="11" max="12" width="18.85546875" customWidth="1"/>
    <col min="13" max="13" width="1.42578125" customWidth="1"/>
    <col min="16" max="16" width="1.42578125" customWidth="1"/>
  </cols>
  <sheetData>
    <row r="1" spans="1:18">
      <c r="A1" s="152" t="s">
        <v>677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</row>
    <row r="2" spans="1:18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</row>
    <row r="3" spans="1:18">
      <c r="A3" s="1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72"/>
      <c r="P3" s="5"/>
      <c r="Q3" s="5"/>
      <c r="R3" s="5"/>
    </row>
    <row r="4" spans="1:18">
      <c r="A4" s="14"/>
      <c r="B4" s="150" t="str">
        <f>UPPER(H4)</f>
        <v>VOICE</v>
      </c>
      <c r="C4" s="141"/>
      <c r="D4" s="141"/>
      <c r="E4" s="141"/>
      <c r="F4" s="141"/>
      <c r="G4" s="18"/>
      <c r="H4" s="167" t="s">
        <v>157</v>
      </c>
      <c r="I4" s="141"/>
      <c r="J4" s="141"/>
      <c r="K4" s="141"/>
      <c r="L4" s="141"/>
      <c r="M4" s="18"/>
      <c r="N4" s="149" t="s">
        <v>777</v>
      </c>
      <c r="O4" s="141"/>
      <c r="P4" s="141"/>
      <c r="Q4" s="141"/>
      <c r="R4" s="141"/>
    </row>
    <row r="5" spans="1:18">
      <c r="A5" s="14"/>
      <c r="B5" s="9"/>
      <c r="C5" s="10" t="str">
        <f t="shared" ref="C5:C24" si="0">UPPER(I5)</f>
        <v>MICHAEL</v>
      </c>
      <c r="D5" s="9"/>
      <c r="E5" s="9" t="str">
        <f t="shared" ref="E5:E23" si="1">UPPER(K5)</f>
        <v>MARC THOMPSON</v>
      </c>
      <c r="F5" s="9"/>
      <c r="G5" s="3"/>
      <c r="H5" s="3"/>
      <c r="I5" s="8" t="s">
        <v>158</v>
      </c>
      <c r="J5" s="3"/>
      <c r="K5" s="2" t="s">
        <v>10</v>
      </c>
      <c r="L5" s="3"/>
      <c r="M5" s="8"/>
      <c r="N5" s="8"/>
      <c r="O5" s="8" t="s">
        <v>778</v>
      </c>
      <c r="P5" s="3"/>
      <c r="Q5" s="3" t="s">
        <v>117</v>
      </c>
      <c r="R5" s="3"/>
    </row>
    <row r="6" spans="1:18">
      <c r="A6" s="14"/>
      <c r="B6" s="9"/>
      <c r="C6" s="10" t="str">
        <f t="shared" si="0"/>
        <v>LUCY</v>
      </c>
      <c r="D6" s="9"/>
      <c r="E6" s="9" t="str">
        <f t="shared" si="1"/>
        <v>SAMANTHA COOPER</v>
      </c>
      <c r="F6" s="9"/>
      <c r="G6" s="3"/>
      <c r="H6" s="3"/>
      <c r="I6" s="8" t="s">
        <v>159</v>
      </c>
      <c r="J6" s="3"/>
      <c r="K6" s="2" t="s">
        <v>37</v>
      </c>
      <c r="L6" s="3"/>
      <c r="M6" s="8"/>
      <c r="N6" s="8"/>
      <c r="O6" s="8" t="s">
        <v>779</v>
      </c>
      <c r="P6" s="3"/>
      <c r="Q6" s="3" t="s">
        <v>118</v>
      </c>
      <c r="R6" s="3"/>
    </row>
    <row r="7" spans="1:18">
      <c r="A7" s="14"/>
      <c r="B7" s="9"/>
      <c r="C7" s="10" t="str">
        <f t="shared" si="0"/>
        <v>NICK</v>
      </c>
      <c r="D7" s="9"/>
      <c r="E7" s="9" t="str">
        <f t="shared" si="1"/>
        <v>JAMES BROWN JR</v>
      </c>
      <c r="F7" s="9"/>
      <c r="G7" s="3"/>
      <c r="H7" s="3"/>
      <c r="I7" s="8" t="s">
        <v>42</v>
      </c>
      <c r="J7" s="3"/>
      <c r="K7" s="2" t="s">
        <v>43</v>
      </c>
      <c r="L7" s="3"/>
      <c r="M7" s="8"/>
      <c r="N7" s="8"/>
      <c r="O7" s="8" t="s">
        <v>119</v>
      </c>
      <c r="P7" s="3"/>
      <c r="Q7" s="3" t="s">
        <v>120</v>
      </c>
      <c r="R7" s="3"/>
    </row>
    <row r="8" spans="1:18">
      <c r="A8" s="14"/>
      <c r="B8" s="9"/>
      <c r="C8" s="10" t="str">
        <f t="shared" si="0"/>
        <v>CRYING MAN</v>
      </c>
      <c r="D8" s="9"/>
      <c r="E8" s="9" t="str">
        <f t="shared" si="1"/>
        <v>BARRETT LEDDY</v>
      </c>
      <c r="F8" s="9"/>
      <c r="G8" s="3"/>
      <c r="H8" s="3"/>
      <c r="I8" s="8" t="s">
        <v>160</v>
      </c>
      <c r="J8" s="3"/>
      <c r="K8" s="2" t="s">
        <v>1</v>
      </c>
      <c r="L8" s="3"/>
      <c r="M8" s="8"/>
      <c r="N8" s="8"/>
      <c r="O8" s="8" t="s">
        <v>74</v>
      </c>
      <c r="P8" s="3"/>
      <c r="Q8" s="3" t="s">
        <v>75</v>
      </c>
      <c r="R8" s="3"/>
    </row>
    <row r="9" spans="1:18">
      <c r="A9" s="14"/>
      <c r="B9" s="9"/>
      <c r="C9" s="10" t="str">
        <f t="shared" si="0"/>
        <v>GRAVITY</v>
      </c>
      <c r="D9" s="9"/>
      <c r="E9" s="9" t="str">
        <f t="shared" si="1"/>
        <v>MARC THOMPSON</v>
      </c>
      <c r="F9" s="9"/>
      <c r="G9" s="3"/>
      <c r="H9" s="3"/>
      <c r="I9" s="36" t="s">
        <v>9</v>
      </c>
      <c r="K9" s="2" t="s">
        <v>10</v>
      </c>
      <c r="L9" s="3"/>
      <c r="M9" s="8"/>
      <c r="N9" s="8"/>
      <c r="O9" s="8" t="s">
        <v>84</v>
      </c>
      <c r="P9" s="3"/>
      <c r="Q9" s="3" t="s">
        <v>85</v>
      </c>
      <c r="R9" s="3"/>
    </row>
    <row r="10" spans="1:18">
      <c r="A10" s="14"/>
      <c r="B10" s="9"/>
      <c r="C10" s="10" t="str">
        <f t="shared" si="0"/>
        <v>COLTON</v>
      </c>
      <c r="D10" s="9"/>
      <c r="E10" s="9" t="str">
        <f t="shared" si="1"/>
        <v>JASON GRIFFITH</v>
      </c>
      <c r="F10" s="9"/>
      <c r="G10" s="3"/>
      <c r="H10" s="3"/>
      <c r="I10" s="36" t="s">
        <v>49</v>
      </c>
      <c r="J10" s="3"/>
      <c r="K10" s="3" t="s">
        <v>23</v>
      </c>
      <c r="L10" s="3"/>
      <c r="M10" s="8"/>
      <c r="N10" s="8"/>
      <c r="O10" s="8" t="s">
        <v>126</v>
      </c>
      <c r="P10" s="3"/>
      <c r="Q10" s="3" t="s">
        <v>127</v>
      </c>
      <c r="R10" s="3"/>
    </row>
    <row r="11" spans="1:18">
      <c r="A11" s="14"/>
      <c r="B11" s="9"/>
      <c r="C11" s="10" t="str">
        <f t="shared" si="0"/>
        <v>MC CUFFIN</v>
      </c>
      <c r="D11" s="9"/>
      <c r="E11" s="9" t="str">
        <f t="shared" si="1"/>
        <v>BARRON BASS</v>
      </c>
      <c r="F11" s="9"/>
      <c r="G11" s="3"/>
      <c r="H11" s="3"/>
      <c r="I11" s="36" t="s">
        <v>605</v>
      </c>
      <c r="J11" s="3"/>
      <c r="K11" s="3" t="s">
        <v>59</v>
      </c>
      <c r="L11" s="3"/>
      <c r="M11" s="8"/>
      <c r="N11" s="8"/>
      <c r="O11" s="8" t="s">
        <v>975</v>
      </c>
      <c r="P11" s="3"/>
      <c r="Q11" s="3" t="s">
        <v>108</v>
      </c>
      <c r="R11" s="3"/>
    </row>
    <row r="12" spans="1:18">
      <c r="A12" s="14"/>
      <c r="B12" s="9"/>
      <c r="C12" s="10" t="str">
        <f t="shared" si="0"/>
        <v>SKULL CRUSHER</v>
      </c>
      <c r="D12" s="9"/>
      <c r="E12" s="9" t="str">
        <f t="shared" si="1"/>
        <v>VALORY PIERCE</v>
      </c>
      <c r="F12" s="9"/>
      <c r="G12" s="3"/>
      <c r="H12" s="3"/>
      <c r="I12" s="36" t="s">
        <v>52</v>
      </c>
      <c r="J12" s="2"/>
      <c r="K12" s="2" t="s">
        <v>53</v>
      </c>
      <c r="L12" s="3"/>
      <c r="M12" s="8"/>
      <c r="N12" s="8"/>
      <c r="O12" s="8" t="s">
        <v>964</v>
      </c>
      <c r="P12" s="3"/>
      <c r="Q12" s="3" t="s">
        <v>83</v>
      </c>
      <c r="R12" s="3"/>
    </row>
    <row r="13" spans="1:18">
      <c r="A13" s="14"/>
      <c r="B13" s="9"/>
      <c r="C13" s="10" t="str">
        <f t="shared" si="0"/>
        <v>HAIRY HARRY</v>
      </c>
      <c r="D13" s="9"/>
      <c r="E13" s="9" t="str">
        <f t="shared" si="1"/>
        <v>GIANNI MATRAGRANO</v>
      </c>
      <c r="F13" s="9"/>
      <c r="G13" s="3"/>
      <c r="H13" s="3"/>
      <c r="I13" s="8" t="s">
        <v>31</v>
      </c>
      <c r="J13" s="3"/>
      <c r="K13" s="24" t="s">
        <v>32</v>
      </c>
      <c r="L13" s="3"/>
      <c r="M13" s="8"/>
      <c r="N13" s="8"/>
      <c r="O13" s="8" t="s">
        <v>107</v>
      </c>
      <c r="P13" s="3"/>
      <c r="Q13" s="3" t="s">
        <v>108</v>
      </c>
      <c r="R13" s="3"/>
    </row>
    <row r="14" spans="1:18">
      <c r="A14" s="14"/>
      <c r="B14" s="9"/>
      <c r="C14" s="10" t="str">
        <f t="shared" si="0"/>
        <v>25 CENT READER</v>
      </c>
      <c r="D14" s="9"/>
      <c r="E14" s="9" t="str">
        <f t="shared" si="1"/>
        <v>MARC THOMPSON</v>
      </c>
      <c r="F14" s="9"/>
      <c r="G14" s="3"/>
      <c r="H14" s="3"/>
      <c r="I14" s="44" t="s">
        <v>678</v>
      </c>
      <c r="J14" s="14"/>
      <c r="K14" s="24" t="s">
        <v>10</v>
      </c>
      <c r="L14" s="3"/>
      <c r="M14" s="8"/>
      <c r="N14" s="8"/>
      <c r="O14" s="8" t="s">
        <v>965</v>
      </c>
      <c r="P14" s="3"/>
      <c r="Q14" s="3" t="s">
        <v>117</v>
      </c>
      <c r="R14" s="3"/>
    </row>
    <row r="15" spans="1:18">
      <c r="A15" s="14"/>
      <c r="B15" s="9"/>
      <c r="C15" s="10" t="str">
        <f t="shared" si="0"/>
        <v>25 CENT</v>
      </c>
      <c r="D15" s="9"/>
      <c r="E15" s="9" t="str">
        <f t="shared" si="1"/>
        <v>BARRETT LEDDY</v>
      </c>
      <c r="F15" s="9"/>
      <c r="G15" s="3"/>
      <c r="H15" s="3"/>
      <c r="I15" s="44" t="s">
        <v>30</v>
      </c>
      <c r="J15" s="14"/>
      <c r="K15" s="24" t="s">
        <v>1</v>
      </c>
      <c r="L15" s="3"/>
      <c r="M15" s="8"/>
      <c r="N15" s="8"/>
      <c r="O15" s="8" t="s">
        <v>106</v>
      </c>
      <c r="P15" s="3"/>
      <c r="Q15" s="3" t="s">
        <v>104</v>
      </c>
      <c r="R15" s="3"/>
    </row>
    <row r="16" spans="1:18">
      <c r="A16" s="14"/>
      <c r="B16" s="9"/>
      <c r="C16" s="10" t="str">
        <f t="shared" si="0"/>
        <v>PAPA PRINCESS</v>
      </c>
      <c r="D16" s="9"/>
      <c r="E16" s="9" t="str">
        <f t="shared" si="1"/>
        <v>DINESH ALVIS</v>
      </c>
      <c r="F16" s="9"/>
      <c r="G16" s="3"/>
      <c r="H16" s="3"/>
      <c r="I16" s="30" t="s">
        <v>54</v>
      </c>
      <c r="J16" s="24"/>
      <c r="K16" s="24" t="s">
        <v>55</v>
      </c>
      <c r="L16" s="3"/>
      <c r="M16" s="8"/>
      <c r="N16" s="8"/>
      <c r="O16" s="8" t="s">
        <v>133</v>
      </c>
      <c r="P16" s="3"/>
      <c r="Q16" s="3" t="s">
        <v>75</v>
      </c>
      <c r="R16" s="3"/>
    </row>
    <row r="17" spans="1:18">
      <c r="A17" s="14"/>
      <c r="B17" s="9"/>
      <c r="C17" s="10" t="str">
        <f t="shared" si="0"/>
        <v>KING BLOCKBUSTER</v>
      </c>
      <c r="D17" s="9"/>
      <c r="E17" s="9" t="str">
        <f t="shared" si="1"/>
        <v>BRENT MUKAI</v>
      </c>
      <c r="F17" s="9"/>
      <c r="G17" s="3"/>
      <c r="H17" s="3"/>
      <c r="I17" s="30" t="s">
        <v>56</v>
      </c>
      <c r="J17" s="24"/>
      <c r="K17" s="24" t="s">
        <v>57</v>
      </c>
      <c r="L17" s="3"/>
      <c r="M17" s="8"/>
      <c r="N17" s="8"/>
      <c r="O17" s="8" t="s">
        <v>134</v>
      </c>
      <c r="P17" s="3"/>
      <c r="Q17" s="3" t="s">
        <v>100</v>
      </c>
      <c r="R17" s="3"/>
    </row>
    <row r="18" spans="1:18">
      <c r="A18" s="14"/>
      <c r="B18" s="9"/>
      <c r="C18" s="10" t="str">
        <f t="shared" si="0"/>
        <v>HOT BUTTON 81</v>
      </c>
      <c r="D18" s="9"/>
      <c r="E18" s="9" t="str">
        <f t="shared" si="1"/>
        <v>GIANNI MATRAGRANO</v>
      </c>
      <c r="F18" s="9"/>
      <c r="G18" s="3"/>
      <c r="H18" s="3"/>
      <c r="I18" s="30" t="s">
        <v>51</v>
      </c>
      <c r="J18" s="24"/>
      <c r="K18" s="24" t="s">
        <v>32</v>
      </c>
      <c r="L18" s="3"/>
      <c r="M18" s="8"/>
      <c r="N18" s="8"/>
      <c r="O18" s="8" t="s">
        <v>131</v>
      </c>
      <c r="P18" s="3"/>
      <c r="Q18" s="3" t="s">
        <v>102</v>
      </c>
      <c r="R18" s="3"/>
    </row>
    <row r="19" spans="1:18">
      <c r="A19" s="14"/>
      <c r="B19" s="9"/>
      <c r="C19" s="10" t="str">
        <f t="shared" si="0"/>
        <v>AISHA</v>
      </c>
      <c r="D19" s="9"/>
      <c r="E19" s="9" t="str">
        <f t="shared" si="1"/>
        <v>SARA RAHMAN</v>
      </c>
      <c r="F19" s="9"/>
      <c r="G19" s="3"/>
      <c r="H19" s="3"/>
      <c r="I19" s="30" t="s">
        <v>70</v>
      </c>
      <c r="J19" s="14"/>
      <c r="K19" s="22" t="s">
        <v>71</v>
      </c>
      <c r="L19" s="3"/>
      <c r="M19" s="8"/>
      <c r="N19" s="8"/>
      <c r="O19" s="8" t="s">
        <v>144</v>
      </c>
      <c r="P19" s="3"/>
      <c r="Q19" s="3" t="s">
        <v>111</v>
      </c>
      <c r="R19" s="3"/>
    </row>
    <row r="20" spans="1:18">
      <c r="A20" s="14"/>
      <c r="B20" s="9"/>
      <c r="C20" s="10" t="str">
        <f t="shared" si="0"/>
        <v>LUCY'S FATHER</v>
      </c>
      <c r="D20" s="9"/>
      <c r="E20" s="9" t="str">
        <f t="shared" si="1"/>
        <v>JASON GRIFFITH</v>
      </c>
      <c r="F20" s="9"/>
      <c r="G20" s="3"/>
      <c r="H20" s="3"/>
      <c r="I20" s="30" t="s">
        <v>679</v>
      </c>
      <c r="J20" s="24"/>
      <c r="K20" s="24" t="s">
        <v>23</v>
      </c>
      <c r="L20" s="3"/>
      <c r="M20" s="8"/>
      <c r="N20" s="8"/>
      <c r="O20" s="8" t="s">
        <v>966</v>
      </c>
      <c r="P20" s="3"/>
      <c r="Q20" s="3" t="s">
        <v>75</v>
      </c>
      <c r="R20" s="3"/>
    </row>
    <row r="21" spans="1:18">
      <c r="A21" s="14"/>
      <c r="B21" s="9"/>
      <c r="C21" s="10" t="str">
        <f t="shared" si="0"/>
        <v>MR. QUESTION</v>
      </c>
      <c r="D21" s="9"/>
      <c r="E21" s="9" t="str">
        <f t="shared" si="1"/>
        <v>TOM WAYLAND</v>
      </c>
      <c r="F21" s="9"/>
      <c r="G21" s="3"/>
      <c r="H21" s="3"/>
      <c r="I21" s="30" t="s">
        <v>680</v>
      </c>
      <c r="J21" s="24"/>
      <c r="K21" s="24" t="s">
        <v>58</v>
      </c>
      <c r="L21" s="3"/>
      <c r="M21" s="8"/>
      <c r="N21" s="8"/>
      <c r="O21" s="8" t="s">
        <v>135</v>
      </c>
      <c r="P21" s="3"/>
      <c r="Q21" s="3" t="s">
        <v>79</v>
      </c>
      <c r="R21" s="3"/>
    </row>
    <row r="22" spans="1:18">
      <c r="A22" s="14"/>
      <c r="B22" s="9"/>
      <c r="C22" s="10" t="str">
        <f t="shared" si="0"/>
        <v>AMELIE</v>
      </c>
      <c r="D22" s="9"/>
      <c r="E22" s="9" t="str">
        <f t="shared" si="1"/>
        <v>ERICA SCHROEDER</v>
      </c>
      <c r="F22" s="9"/>
      <c r="G22" s="3"/>
      <c r="H22" s="3"/>
      <c r="I22" s="30" t="s">
        <v>72</v>
      </c>
      <c r="J22" s="14"/>
      <c r="K22" s="24" t="s">
        <v>16</v>
      </c>
      <c r="L22" s="3"/>
      <c r="M22" s="8"/>
      <c r="N22" s="8"/>
      <c r="O22" s="8" t="s">
        <v>145</v>
      </c>
      <c r="P22" s="3"/>
      <c r="Q22" s="3" t="s">
        <v>92</v>
      </c>
      <c r="R22" s="3"/>
    </row>
    <row r="23" spans="1:18">
      <c r="A23" s="14"/>
      <c r="B23" s="9"/>
      <c r="C23" s="10" t="str">
        <f t="shared" si="0"/>
        <v>BOBBY</v>
      </c>
      <c r="D23" s="9"/>
      <c r="E23" s="9" t="str">
        <f t="shared" si="1"/>
        <v xml:space="preserve">ALLEN WINTER </v>
      </c>
      <c r="F23" s="9"/>
      <c r="G23" s="3"/>
      <c r="H23" s="3"/>
      <c r="I23" s="44" t="s">
        <v>164</v>
      </c>
      <c r="J23" s="14"/>
      <c r="K23" s="23" t="s">
        <v>34</v>
      </c>
      <c r="L23" s="3"/>
      <c r="M23" s="8"/>
      <c r="N23" s="8"/>
      <c r="O23" s="8" t="s">
        <v>124</v>
      </c>
      <c r="P23" s="3"/>
      <c r="Q23" s="3" t="s">
        <v>113</v>
      </c>
      <c r="R23" s="3"/>
    </row>
    <row r="24" spans="1:18">
      <c r="A24" s="14"/>
      <c r="B24" s="9"/>
      <c r="C24" s="10" t="str">
        <f t="shared" si="0"/>
        <v/>
      </c>
      <c r="D24" s="9"/>
      <c r="E24" s="9"/>
      <c r="F24" s="9"/>
      <c r="G24" s="3"/>
      <c r="H24" s="3"/>
      <c r="I24" s="8"/>
      <c r="J24" s="3"/>
      <c r="K24" s="25"/>
      <c r="L24" s="3"/>
      <c r="M24" s="8"/>
      <c r="N24" s="8"/>
      <c r="O24" s="8"/>
      <c r="P24" s="3"/>
      <c r="Q24" s="3"/>
      <c r="R24" s="3"/>
    </row>
    <row r="25" spans="1:18">
      <c r="A25" s="14"/>
      <c r="B25" s="11"/>
      <c r="C25" s="12"/>
      <c r="D25" s="11"/>
      <c r="E25" s="11"/>
      <c r="F25" s="11"/>
      <c r="G25" s="3"/>
      <c r="H25" s="3"/>
      <c r="I25" s="8"/>
      <c r="J25" s="3"/>
      <c r="K25" s="25"/>
      <c r="L25" s="3"/>
      <c r="M25" s="8"/>
      <c r="N25" s="8"/>
      <c r="O25" s="8"/>
      <c r="P25" s="3"/>
      <c r="Q25" s="3"/>
      <c r="R25" s="3"/>
    </row>
    <row r="26" spans="1:18">
      <c r="A26" s="14"/>
      <c r="B26" s="9"/>
      <c r="C26" s="10"/>
      <c r="D26" s="9"/>
      <c r="E26" s="9"/>
      <c r="F26" s="9"/>
      <c r="G26" s="3"/>
      <c r="H26" s="3"/>
      <c r="I26" s="8"/>
      <c r="J26" s="3"/>
      <c r="K26" s="25"/>
      <c r="L26" s="3"/>
      <c r="M26" s="8"/>
      <c r="N26" s="8"/>
      <c r="O26" s="8"/>
      <c r="P26" s="3"/>
      <c r="Q26" s="3"/>
      <c r="R26" s="3"/>
    </row>
    <row r="27" spans="1:18">
      <c r="A27" s="14"/>
      <c r="B27" s="150" t="str">
        <f>UPPER(H27)</f>
        <v>VOICE</v>
      </c>
      <c r="C27" s="141"/>
      <c r="D27" s="141"/>
      <c r="E27" s="141"/>
      <c r="F27" s="141"/>
      <c r="G27" s="18"/>
      <c r="H27" s="167" t="s">
        <v>157</v>
      </c>
      <c r="I27" s="141"/>
      <c r="J27" s="141"/>
      <c r="K27" s="141"/>
      <c r="L27" s="141"/>
      <c r="M27" s="18"/>
      <c r="N27" s="149" t="s">
        <v>777</v>
      </c>
      <c r="O27" s="141"/>
      <c r="P27" s="141"/>
      <c r="Q27" s="141"/>
      <c r="R27" s="141"/>
    </row>
    <row r="28" spans="1:18">
      <c r="A28" s="14"/>
      <c r="B28" s="9"/>
      <c r="C28" s="10" t="str">
        <f t="shared" ref="C28:C40" si="2">UPPER(I28)</f>
        <v>DIRK-O</v>
      </c>
      <c r="D28" s="9"/>
      <c r="E28" s="9" t="str">
        <f t="shared" ref="E28:E41" si="3">UPPER(K28)</f>
        <v>MARC THOMPSON</v>
      </c>
      <c r="F28" s="9"/>
      <c r="G28" s="3"/>
      <c r="H28" s="3"/>
      <c r="I28" s="36" t="s">
        <v>649</v>
      </c>
      <c r="J28" s="2"/>
      <c r="K28" s="2" t="s">
        <v>10</v>
      </c>
      <c r="L28" s="3"/>
      <c r="M28" s="8"/>
      <c r="N28" s="8"/>
      <c r="O28" s="8" t="s">
        <v>129</v>
      </c>
      <c r="P28" s="3"/>
      <c r="Q28" s="3" t="s">
        <v>130</v>
      </c>
      <c r="R28" s="3"/>
    </row>
    <row r="29" spans="1:18">
      <c r="A29" s="14"/>
      <c r="B29" s="9"/>
      <c r="C29" s="10" t="str">
        <f t="shared" si="2"/>
        <v>PROFESSOR Z</v>
      </c>
      <c r="D29" s="9"/>
      <c r="E29" s="9" t="str">
        <f t="shared" si="3"/>
        <v>PETE ZARUSTICA</v>
      </c>
      <c r="F29" s="9"/>
      <c r="G29" s="3"/>
      <c r="H29" s="3"/>
      <c r="I29" s="30" t="s">
        <v>25</v>
      </c>
      <c r="J29" s="24"/>
      <c r="K29" s="24" t="s">
        <v>26</v>
      </c>
      <c r="L29" s="3"/>
      <c r="M29" s="8"/>
      <c r="N29" s="8"/>
      <c r="O29" s="8" t="s">
        <v>101</v>
      </c>
      <c r="P29" s="3"/>
      <c r="Q29" s="3" t="s">
        <v>102</v>
      </c>
      <c r="R29" s="3"/>
    </row>
    <row r="30" spans="1:18">
      <c r="A30" s="14"/>
      <c r="B30" s="9"/>
      <c r="C30" s="10" t="str">
        <f t="shared" si="2"/>
        <v/>
      </c>
      <c r="D30" s="9"/>
      <c r="E30" s="9" t="str">
        <f t="shared" si="3"/>
        <v/>
      </c>
      <c r="F30" s="9"/>
      <c r="G30" s="3"/>
      <c r="H30" s="3"/>
      <c r="I30" s="8"/>
      <c r="J30" s="3"/>
      <c r="K30" s="14"/>
      <c r="L30" s="3"/>
      <c r="M30" s="8"/>
      <c r="N30" s="8"/>
      <c r="O30" s="8"/>
      <c r="P30" s="3"/>
      <c r="Q30" s="3"/>
      <c r="R30" s="3"/>
    </row>
    <row r="31" spans="1:18">
      <c r="A31" s="14"/>
      <c r="B31" s="9"/>
      <c r="C31" s="10" t="str">
        <f t="shared" si="2"/>
        <v>OTHER VOICES</v>
      </c>
      <c r="D31" s="9"/>
      <c r="E31" s="9" t="str">
        <f t="shared" si="3"/>
        <v>SAMANTHA COOPER</v>
      </c>
      <c r="F31" s="9"/>
      <c r="G31" s="3"/>
      <c r="H31" s="3"/>
      <c r="I31" s="8" t="s">
        <v>165</v>
      </c>
      <c r="J31" s="3"/>
      <c r="K31" s="2" t="s">
        <v>37</v>
      </c>
      <c r="L31" s="3"/>
      <c r="M31" s="8"/>
      <c r="N31" s="8"/>
      <c r="O31" s="8" t="s">
        <v>782</v>
      </c>
      <c r="P31" s="3"/>
      <c r="Q31" s="3" t="s">
        <v>83</v>
      </c>
      <c r="R31" s="3"/>
    </row>
    <row r="32" spans="1:18">
      <c r="A32" s="14"/>
      <c r="B32" s="9"/>
      <c r="C32" s="10" t="str">
        <f t="shared" si="2"/>
        <v/>
      </c>
      <c r="D32" s="9"/>
      <c r="E32" s="9" t="str">
        <f t="shared" si="3"/>
        <v>BARRON BASS</v>
      </c>
      <c r="F32" s="9"/>
      <c r="G32" s="3"/>
      <c r="H32" s="3"/>
      <c r="I32" s="8"/>
      <c r="J32" s="3"/>
      <c r="K32" s="3" t="s">
        <v>59</v>
      </c>
      <c r="L32" s="3"/>
      <c r="M32" s="8"/>
      <c r="N32" s="8"/>
      <c r="O32" s="8"/>
      <c r="P32" s="3"/>
      <c r="Q32" s="3" t="s">
        <v>130</v>
      </c>
      <c r="R32" s="3"/>
    </row>
    <row r="33" spans="1:18">
      <c r="A33" s="14"/>
      <c r="B33" s="9"/>
      <c r="C33" s="10" t="str">
        <f t="shared" si="2"/>
        <v/>
      </c>
      <c r="D33" s="9"/>
      <c r="E33" s="9" t="str">
        <f t="shared" si="3"/>
        <v>BRENT MUKAI</v>
      </c>
      <c r="F33" s="9"/>
      <c r="G33" s="3"/>
      <c r="H33" s="3"/>
      <c r="I33" s="8"/>
      <c r="J33" s="3"/>
      <c r="K33" s="24" t="s">
        <v>57</v>
      </c>
      <c r="L33" s="3"/>
      <c r="M33" s="8"/>
      <c r="N33" s="8"/>
      <c r="O33" s="8"/>
      <c r="P33" s="3"/>
      <c r="Q33" s="3" t="s">
        <v>75</v>
      </c>
      <c r="R33" s="3"/>
    </row>
    <row r="34" spans="1:18">
      <c r="A34" s="14"/>
      <c r="B34" s="9"/>
      <c r="C34" s="10" t="str">
        <f t="shared" si="2"/>
        <v/>
      </c>
      <c r="D34" s="9"/>
      <c r="E34" s="9" t="str">
        <f t="shared" si="3"/>
        <v>TOM WAYLAND</v>
      </c>
      <c r="F34" s="9"/>
      <c r="G34" s="3"/>
      <c r="H34" s="3"/>
      <c r="I34" s="8"/>
      <c r="J34" s="3"/>
      <c r="K34" s="24" t="s">
        <v>58</v>
      </c>
      <c r="L34" s="3"/>
      <c r="M34" s="8"/>
      <c r="N34" s="8"/>
      <c r="O34" s="8"/>
      <c r="P34" s="3"/>
      <c r="Q34" s="3" t="s">
        <v>100</v>
      </c>
      <c r="R34" s="3"/>
    </row>
    <row r="35" spans="1:18">
      <c r="A35" s="14"/>
      <c r="B35" s="9"/>
      <c r="C35" s="10" t="str">
        <f t="shared" si="2"/>
        <v/>
      </c>
      <c r="D35" s="9"/>
      <c r="E35" s="9" t="str">
        <f t="shared" si="3"/>
        <v>ERICA SCHROEDER</v>
      </c>
      <c r="F35" s="9"/>
      <c r="G35" s="3"/>
      <c r="H35" s="3"/>
      <c r="I35" s="8"/>
      <c r="J35" s="3"/>
      <c r="K35" s="24" t="s">
        <v>16</v>
      </c>
      <c r="L35" s="3"/>
      <c r="M35" s="8"/>
      <c r="N35" s="8"/>
      <c r="O35" s="8"/>
      <c r="P35" s="3"/>
      <c r="Q35" s="3" t="s">
        <v>102</v>
      </c>
      <c r="R35" s="3"/>
    </row>
    <row r="36" spans="1:18">
      <c r="A36" s="14"/>
      <c r="B36" s="9"/>
      <c r="C36" s="10" t="str">
        <f t="shared" si="2"/>
        <v/>
      </c>
      <c r="D36" s="9"/>
      <c r="E36" s="9" t="str">
        <f t="shared" si="3"/>
        <v xml:space="preserve">ALLEN WINTER </v>
      </c>
      <c r="F36" s="9"/>
      <c r="G36" s="3"/>
      <c r="H36" s="3"/>
      <c r="I36" s="8"/>
      <c r="J36" s="3"/>
      <c r="K36" s="23" t="s">
        <v>34</v>
      </c>
      <c r="L36" s="3"/>
      <c r="M36" s="8"/>
      <c r="N36" s="8"/>
      <c r="O36" s="8"/>
      <c r="P36" s="3"/>
      <c r="Q36" s="3" t="s">
        <v>127</v>
      </c>
      <c r="R36" s="3"/>
    </row>
    <row r="37" spans="1:18">
      <c r="A37" s="14"/>
      <c r="B37" s="9"/>
      <c r="C37" s="10" t="str">
        <f t="shared" si="2"/>
        <v/>
      </c>
      <c r="D37" s="9"/>
      <c r="E37" s="9" t="str">
        <f t="shared" si="3"/>
        <v>ZURI WASHINGTON</v>
      </c>
      <c r="F37" s="9"/>
      <c r="G37" s="3"/>
      <c r="H37" s="3"/>
      <c r="I37" s="8"/>
      <c r="J37" s="3"/>
      <c r="K37" s="24" t="s">
        <v>47</v>
      </c>
      <c r="L37" s="3"/>
      <c r="M37" s="8"/>
      <c r="N37" s="8"/>
      <c r="O37" s="8"/>
      <c r="P37" s="3"/>
      <c r="Q37" s="3" t="s">
        <v>120</v>
      </c>
      <c r="R37" s="3"/>
    </row>
    <row r="38" spans="1:18">
      <c r="A38" s="14"/>
      <c r="B38" s="9"/>
      <c r="C38" s="10" t="str">
        <f t="shared" si="2"/>
        <v/>
      </c>
      <c r="D38" s="9"/>
      <c r="E38" s="9" t="str">
        <f t="shared" si="3"/>
        <v>LUCAS SCHUNEMAN</v>
      </c>
      <c r="F38" s="9"/>
      <c r="G38" s="3"/>
      <c r="H38" s="3"/>
      <c r="I38" s="8"/>
      <c r="J38" s="3"/>
      <c r="K38" s="24" t="s">
        <v>4</v>
      </c>
      <c r="L38" s="3"/>
      <c r="M38" s="8"/>
      <c r="N38" s="8"/>
      <c r="O38" s="8"/>
      <c r="P38" s="3"/>
      <c r="Q38" s="3" t="s">
        <v>113</v>
      </c>
      <c r="R38" s="3"/>
    </row>
    <row r="39" spans="1:18">
      <c r="A39" s="14"/>
      <c r="B39" s="9"/>
      <c r="C39" s="10" t="str">
        <f t="shared" si="2"/>
        <v/>
      </c>
      <c r="D39" s="9"/>
      <c r="E39" s="9" t="str">
        <f t="shared" si="3"/>
        <v>JASON GRIFFITH</v>
      </c>
      <c r="F39" s="9"/>
      <c r="G39" s="3"/>
      <c r="H39" s="3"/>
      <c r="I39" s="8"/>
      <c r="J39" s="3"/>
      <c r="K39" s="3" t="s">
        <v>23</v>
      </c>
      <c r="L39" s="3"/>
      <c r="M39" s="8"/>
      <c r="N39" s="8"/>
      <c r="O39" s="8"/>
      <c r="P39" s="3"/>
      <c r="Q39" s="3" t="s">
        <v>118</v>
      </c>
      <c r="R39" s="3"/>
    </row>
    <row r="40" spans="1:18">
      <c r="A40" s="14"/>
      <c r="B40" s="9"/>
      <c r="C40" s="10" t="str">
        <f t="shared" si="2"/>
        <v/>
      </c>
      <c r="D40" s="9"/>
      <c r="E40" s="9" t="str">
        <f t="shared" si="3"/>
        <v/>
      </c>
      <c r="F40" s="9"/>
      <c r="G40" s="3"/>
      <c r="H40" s="3"/>
      <c r="I40" s="8"/>
      <c r="J40" s="3"/>
      <c r="K40" s="14"/>
      <c r="L40" s="3"/>
      <c r="M40" s="8"/>
      <c r="N40" s="8"/>
      <c r="O40" s="8"/>
      <c r="P40" s="3"/>
      <c r="Q40" s="3"/>
      <c r="R40" s="3"/>
    </row>
    <row r="41" spans="1:18">
      <c r="A41" s="14"/>
      <c r="B41" s="11" t="str">
        <f t="shared" ref="B41:C41" si="4">UPPER(H41)</f>
        <v/>
      </c>
      <c r="C41" s="12" t="str">
        <f t="shared" si="4"/>
        <v/>
      </c>
      <c r="D41" s="11"/>
      <c r="E41" s="11" t="str">
        <f t="shared" si="3"/>
        <v/>
      </c>
      <c r="F41" s="11"/>
      <c r="G41" s="3"/>
      <c r="H41" s="3"/>
      <c r="I41" s="8"/>
      <c r="J41" s="3"/>
      <c r="K41" s="13"/>
      <c r="L41" s="3"/>
      <c r="M41" s="8"/>
      <c r="N41" s="8"/>
      <c r="O41" s="8"/>
      <c r="P41" s="3"/>
      <c r="Q41" s="3"/>
      <c r="R41" s="3"/>
    </row>
    <row r="42" spans="1:18">
      <c r="A42" s="14"/>
      <c r="B42" s="9"/>
      <c r="C42" s="10"/>
      <c r="D42" s="9"/>
      <c r="E42" s="9"/>
      <c r="F42" s="9"/>
      <c r="G42" s="3"/>
      <c r="H42" s="3"/>
      <c r="I42" s="8"/>
      <c r="J42" s="3"/>
      <c r="K42" s="3"/>
      <c r="L42" s="3"/>
      <c r="M42" s="8"/>
      <c r="N42" s="8"/>
      <c r="O42" s="8"/>
      <c r="P42" s="3"/>
      <c r="Q42" s="3"/>
      <c r="R42" s="3"/>
    </row>
    <row r="43" spans="1:18">
      <c r="A43" s="14"/>
      <c r="B43" s="9"/>
      <c r="C43" s="10" t="str">
        <f t="shared" ref="C43:C57" si="5">UPPER(I43)</f>
        <v>DIRECTOR</v>
      </c>
      <c r="D43" s="9"/>
      <c r="E43" s="9" t="str">
        <f t="shared" ref="E43:E57" si="6">UPPER(K43)</f>
        <v>JOOGONG MAENG</v>
      </c>
      <c r="F43" s="9"/>
      <c r="G43" s="3"/>
      <c r="H43" s="3"/>
      <c r="I43" s="8" t="s">
        <v>168</v>
      </c>
      <c r="J43" s="3"/>
      <c r="K43" s="3" t="s">
        <v>148</v>
      </c>
      <c r="L43" s="3"/>
      <c r="M43" s="8"/>
      <c r="N43" s="8"/>
      <c r="O43" s="8" t="s">
        <v>783</v>
      </c>
      <c r="P43" s="3"/>
      <c r="Q43" s="3" t="s">
        <v>769</v>
      </c>
      <c r="R43" s="3"/>
    </row>
    <row r="44" spans="1:18">
      <c r="A44" s="14"/>
      <c r="B44" s="9"/>
      <c r="C44" s="10" t="str">
        <f t="shared" si="5"/>
        <v/>
      </c>
      <c r="D44" s="9"/>
      <c r="E44" s="9" t="str">
        <f t="shared" si="6"/>
        <v/>
      </c>
      <c r="F44" s="9"/>
      <c r="G44" s="3"/>
      <c r="H44" s="3"/>
      <c r="I44" s="8"/>
      <c r="J44" s="3"/>
      <c r="K44" s="13"/>
      <c r="L44" s="3"/>
      <c r="M44" s="8"/>
      <c r="N44" s="8"/>
      <c r="O44" s="3"/>
      <c r="P44" s="3"/>
      <c r="Q44" s="3"/>
      <c r="R44" s="3"/>
    </row>
    <row r="45" spans="1:18">
      <c r="A45" s="14"/>
      <c r="B45" s="9"/>
      <c r="C45" s="10" t="str">
        <f t="shared" si="5"/>
        <v>CO-DIRECTOR</v>
      </c>
      <c r="D45" s="9"/>
      <c r="E45" s="9" t="str">
        <f t="shared" si="6"/>
        <v>TAEWOOK KOH</v>
      </c>
      <c r="F45" s="9"/>
      <c r="G45" s="3"/>
      <c r="H45" s="3"/>
      <c r="I45" s="8" t="s">
        <v>169</v>
      </c>
      <c r="J45" s="3"/>
      <c r="K45" s="13" t="s">
        <v>149</v>
      </c>
      <c r="L45" s="3"/>
      <c r="M45" s="8"/>
      <c r="N45" s="8"/>
      <c r="O45" s="8" t="s">
        <v>784</v>
      </c>
      <c r="P45" s="3"/>
      <c r="Q45" s="3" t="s">
        <v>770</v>
      </c>
      <c r="R45" s="3"/>
    </row>
    <row r="46" spans="1:18">
      <c r="A46" s="14"/>
      <c r="B46" s="9"/>
      <c r="C46" s="10" t="str">
        <f t="shared" si="5"/>
        <v/>
      </c>
      <c r="D46" s="9"/>
      <c r="E46" s="9" t="str">
        <f t="shared" si="6"/>
        <v/>
      </c>
      <c r="F46" s="9"/>
      <c r="G46" s="3"/>
      <c r="H46" s="3"/>
      <c r="I46" s="8"/>
      <c r="J46" s="3"/>
      <c r="K46" s="13"/>
      <c r="L46" s="3"/>
      <c r="M46" s="8"/>
      <c r="N46" s="8"/>
      <c r="O46" s="3"/>
      <c r="P46" s="3"/>
      <c r="Q46" s="3"/>
      <c r="R46" s="3"/>
    </row>
    <row r="47" spans="1:18">
      <c r="A47" s="14"/>
      <c r="B47" s="9"/>
      <c r="C47" s="10" t="str">
        <f t="shared" si="5"/>
        <v>ASSISTANT DIRECTOR</v>
      </c>
      <c r="D47" s="9"/>
      <c r="E47" s="9" t="str">
        <f t="shared" si="6"/>
        <v>JEEHYUN KIM</v>
      </c>
      <c r="F47" s="9"/>
      <c r="G47" s="3"/>
      <c r="H47" s="3"/>
      <c r="I47" s="8" t="s">
        <v>170</v>
      </c>
      <c r="J47" s="3"/>
      <c r="K47" s="13" t="s">
        <v>150</v>
      </c>
      <c r="L47" s="3"/>
      <c r="M47" s="8"/>
      <c r="N47" s="8"/>
      <c r="O47" s="8" t="s">
        <v>785</v>
      </c>
      <c r="P47" s="3"/>
      <c r="Q47" s="3" t="s">
        <v>771</v>
      </c>
      <c r="R47" s="3"/>
    </row>
    <row r="48" spans="1:18">
      <c r="A48" s="14"/>
      <c r="B48" s="9"/>
      <c r="C48" s="10" t="str">
        <f t="shared" si="5"/>
        <v/>
      </c>
      <c r="D48" s="9"/>
      <c r="E48" s="9" t="str">
        <f t="shared" si="6"/>
        <v/>
      </c>
      <c r="F48" s="9"/>
      <c r="G48" s="3"/>
      <c r="H48" s="3"/>
      <c r="I48" s="8"/>
      <c r="J48" s="3"/>
      <c r="K48" s="13"/>
      <c r="L48" s="3"/>
      <c r="M48" s="8"/>
      <c r="N48" s="8"/>
      <c r="O48" s="3"/>
      <c r="P48" s="3"/>
      <c r="Q48" s="3"/>
      <c r="R48" s="3"/>
    </row>
    <row r="49" spans="1:18">
      <c r="A49" s="14"/>
      <c r="B49" s="9"/>
      <c r="C49" s="10" t="str">
        <f t="shared" si="5"/>
        <v>STORY SUPERVISOR</v>
      </c>
      <c r="D49" s="9"/>
      <c r="E49" s="9" t="str">
        <f t="shared" si="6"/>
        <v>TAEWOOK KOH</v>
      </c>
      <c r="F49" s="9"/>
      <c r="G49" s="3"/>
      <c r="H49" s="3"/>
      <c r="I49" s="8" t="s">
        <v>171</v>
      </c>
      <c r="J49" s="3"/>
      <c r="K49" s="13" t="s">
        <v>149</v>
      </c>
      <c r="L49" s="3"/>
      <c r="M49" s="3"/>
      <c r="N49" s="3"/>
      <c r="O49" s="8" t="s">
        <v>786</v>
      </c>
      <c r="P49" s="3"/>
      <c r="Q49" s="3" t="s">
        <v>770</v>
      </c>
      <c r="R49" s="3"/>
    </row>
    <row r="50" spans="1:18">
      <c r="A50" s="14"/>
      <c r="B50" s="9"/>
      <c r="C50" s="10" t="str">
        <f t="shared" si="5"/>
        <v/>
      </c>
      <c r="D50" s="9"/>
      <c r="E50" s="9" t="str">
        <f t="shared" si="6"/>
        <v>JEEHYUN KIM</v>
      </c>
      <c r="F50" s="9"/>
      <c r="G50" s="3"/>
      <c r="H50" s="3"/>
      <c r="I50" s="8"/>
      <c r="J50" s="3"/>
      <c r="K50" s="13" t="s">
        <v>150</v>
      </c>
      <c r="L50" s="3"/>
      <c r="M50" s="8"/>
      <c r="N50" s="8"/>
      <c r="O50" s="3"/>
      <c r="P50" s="3"/>
      <c r="Q50" s="3" t="s">
        <v>771</v>
      </c>
      <c r="R50" s="3"/>
    </row>
    <row r="51" spans="1:18">
      <c r="A51" s="14"/>
      <c r="B51" s="9"/>
      <c r="C51" s="10" t="str">
        <f t="shared" si="5"/>
        <v/>
      </c>
      <c r="D51" s="9"/>
      <c r="E51" s="9" t="str">
        <f t="shared" si="6"/>
        <v>JIWON OH</v>
      </c>
      <c r="F51" s="9"/>
      <c r="G51" s="3"/>
      <c r="H51" s="3"/>
      <c r="I51" s="8"/>
      <c r="J51" s="3"/>
      <c r="K51" s="13" t="s">
        <v>151</v>
      </c>
      <c r="L51" s="3"/>
      <c r="M51" s="8"/>
      <c r="N51" s="8"/>
      <c r="O51" s="3"/>
      <c r="P51" s="3"/>
      <c r="Q51" s="3" t="s">
        <v>774</v>
      </c>
      <c r="R51" s="3"/>
    </row>
    <row r="52" spans="1:18">
      <c r="A52" s="14"/>
      <c r="B52" s="9"/>
      <c r="C52" s="10" t="str">
        <f t="shared" si="5"/>
        <v/>
      </c>
      <c r="D52" s="9"/>
      <c r="E52" s="9" t="str">
        <f t="shared" si="6"/>
        <v/>
      </c>
      <c r="F52" s="9"/>
      <c r="G52" s="3"/>
      <c r="H52" s="3"/>
      <c r="I52" s="8"/>
      <c r="J52" s="3"/>
      <c r="K52" s="13"/>
      <c r="L52" s="3"/>
      <c r="M52" s="8"/>
      <c r="N52" s="8"/>
      <c r="O52" s="3"/>
      <c r="P52" s="3"/>
      <c r="Q52" s="3"/>
      <c r="R52" s="3"/>
    </row>
    <row r="53" spans="1:18">
      <c r="A53" s="14"/>
      <c r="B53" s="9"/>
      <c r="C53" s="10" t="str">
        <f t="shared" si="5"/>
        <v>STORY ARTIST</v>
      </c>
      <c r="D53" s="9"/>
      <c r="E53" s="9" t="str">
        <f t="shared" si="6"/>
        <v>WON HWANG</v>
      </c>
      <c r="F53" s="9"/>
      <c r="G53" s="3"/>
      <c r="H53" s="3"/>
      <c r="I53" s="8" t="s">
        <v>172</v>
      </c>
      <c r="J53" s="3"/>
      <c r="K53" s="13" t="s">
        <v>173</v>
      </c>
      <c r="L53" s="3"/>
      <c r="M53" s="8"/>
      <c r="N53" s="8"/>
      <c r="O53" s="8" t="s">
        <v>787</v>
      </c>
      <c r="P53" s="3"/>
      <c r="Q53" s="3" t="s">
        <v>788</v>
      </c>
      <c r="R53" s="3"/>
    </row>
    <row r="54" spans="1:18">
      <c r="A54" s="14"/>
      <c r="B54" s="9"/>
      <c r="C54" s="10" t="str">
        <f t="shared" si="5"/>
        <v/>
      </c>
      <c r="D54" s="9"/>
      <c r="E54" s="9" t="str">
        <f t="shared" si="6"/>
        <v/>
      </c>
      <c r="F54" s="9"/>
      <c r="G54" s="3"/>
      <c r="H54" s="3"/>
      <c r="I54" s="8"/>
      <c r="J54" s="3"/>
      <c r="K54" s="13"/>
      <c r="L54" s="3"/>
      <c r="M54" s="3"/>
      <c r="N54" s="3"/>
      <c r="O54" s="8"/>
      <c r="P54" s="3"/>
      <c r="Q54" s="3"/>
      <c r="R54" s="3"/>
    </row>
    <row r="55" spans="1:18">
      <c r="A55" s="14"/>
      <c r="B55" s="9"/>
      <c r="C55" s="10" t="str">
        <f t="shared" si="5"/>
        <v>STORY EDITOR</v>
      </c>
      <c r="D55" s="9"/>
      <c r="E55" s="9" t="str">
        <f t="shared" si="6"/>
        <v>JAKE GOLDMAN</v>
      </c>
      <c r="F55" s="9"/>
      <c r="G55" s="3"/>
      <c r="H55" s="3"/>
      <c r="I55" s="8" t="s">
        <v>174</v>
      </c>
      <c r="J55" s="3"/>
      <c r="K55" s="13" t="s">
        <v>155</v>
      </c>
      <c r="L55" s="3"/>
      <c r="M55" s="3"/>
      <c r="N55" s="3"/>
      <c r="O55" s="8" t="s">
        <v>789</v>
      </c>
      <c r="P55" s="3"/>
      <c r="Q55" s="3" t="s">
        <v>155</v>
      </c>
      <c r="R55" s="3"/>
    </row>
    <row r="56" spans="1:18">
      <c r="A56" s="14"/>
      <c r="B56" s="9"/>
      <c r="C56" s="10" t="str">
        <f t="shared" si="5"/>
        <v>WRITTEN BY</v>
      </c>
      <c r="D56" s="9"/>
      <c r="E56" s="9" t="str">
        <f t="shared" si="6"/>
        <v>JAKE GOLDMAN</v>
      </c>
      <c r="F56" s="9"/>
      <c r="G56" s="3"/>
      <c r="H56" s="3"/>
      <c r="I56" s="8" t="s">
        <v>154</v>
      </c>
      <c r="J56" s="3"/>
      <c r="K56" s="13" t="s">
        <v>155</v>
      </c>
      <c r="L56" s="3"/>
      <c r="M56" s="3"/>
      <c r="N56" s="3"/>
      <c r="O56" s="8" t="s">
        <v>790</v>
      </c>
      <c r="P56" s="3"/>
      <c r="Q56" s="3" t="s">
        <v>155</v>
      </c>
      <c r="R56" s="3"/>
    </row>
    <row r="57" spans="1:18">
      <c r="A57" s="14"/>
      <c r="B57" s="9"/>
      <c r="C57" s="10" t="str">
        <f t="shared" si="5"/>
        <v/>
      </c>
      <c r="D57" s="9"/>
      <c r="E57" s="9" t="str">
        <f t="shared" si="6"/>
        <v/>
      </c>
      <c r="F57" s="9"/>
      <c r="G57" s="3"/>
      <c r="H57" s="3"/>
      <c r="I57" s="8"/>
      <c r="J57" s="3"/>
      <c r="K57" s="13"/>
      <c r="L57" s="3"/>
      <c r="M57" s="3"/>
      <c r="N57" s="3"/>
      <c r="O57" s="8"/>
      <c r="P57" s="3"/>
      <c r="Q57" s="3"/>
      <c r="R57" s="3"/>
    </row>
    <row r="58" spans="1:18">
      <c r="A58" s="14"/>
      <c r="B58" s="26"/>
      <c r="C58" s="26"/>
      <c r="D58" s="26"/>
      <c r="E58" s="26"/>
      <c r="F58" s="26"/>
      <c r="G58" s="3"/>
      <c r="H58" s="7"/>
      <c r="I58" s="8"/>
      <c r="J58" s="7"/>
      <c r="K58" s="7"/>
      <c r="L58" s="7"/>
      <c r="M58" s="3"/>
      <c r="N58" s="3"/>
      <c r="O58" s="8"/>
      <c r="P58" s="3"/>
      <c r="Q58" s="3"/>
      <c r="R58" s="3"/>
    </row>
    <row r="59" spans="1:18">
      <c r="A59" s="14"/>
      <c r="B59" s="6"/>
      <c r="C59" s="6"/>
      <c r="D59" s="6"/>
      <c r="E59" s="6"/>
      <c r="F59" s="6"/>
      <c r="G59" s="3"/>
      <c r="H59" s="7"/>
      <c r="I59" s="8"/>
      <c r="J59" s="7"/>
      <c r="K59" s="7"/>
      <c r="L59" s="7"/>
      <c r="M59" s="3"/>
      <c r="N59" s="3"/>
      <c r="O59" s="8"/>
      <c r="P59" s="3"/>
      <c r="Q59" s="3"/>
      <c r="R59" s="3"/>
    </row>
    <row r="60" spans="1:18">
      <c r="A60" s="14"/>
      <c r="B60" s="150" t="str">
        <f t="shared" ref="B60:B61" si="7">UPPER(H60)</f>
        <v>STORYBOARD</v>
      </c>
      <c r="C60" s="141"/>
      <c r="D60" s="141"/>
      <c r="E60" s="141"/>
      <c r="F60" s="141"/>
      <c r="G60" s="28"/>
      <c r="H60" s="167" t="s">
        <v>175</v>
      </c>
      <c r="I60" s="141"/>
      <c r="J60" s="141"/>
      <c r="K60" s="141"/>
      <c r="L60" s="141"/>
      <c r="M60" s="28"/>
      <c r="N60" s="149" t="s">
        <v>791</v>
      </c>
      <c r="O60" s="141"/>
      <c r="P60" s="141"/>
      <c r="Q60" s="141"/>
      <c r="R60" s="141"/>
    </row>
    <row r="61" spans="1:18">
      <c r="A61" s="14"/>
      <c r="B61" s="146" t="str">
        <f t="shared" si="7"/>
        <v>STUDIO 105</v>
      </c>
      <c r="C61" s="141"/>
      <c r="D61" s="141"/>
      <c r="E61" s="141"/>
      <c r="F61" s="141"/>
      <c r="G61" s="3"/>
      <c r="H61" s="149" t="s">
        <v>656</v>
      </c>
      <c r="I61" s="141"/>
      <c r="J61" s="141"/>
      <c r="K61" s="141"/>
      <c r="L61" s="141"/>
      <c r="M61" s="3"/>
      <c r="N61" s="149" t="s">
        <v>961</v>
      </c>
      <c r="O61" s="141"/>
      <c r="P61" s="141"/>
      <c r="Q61" s="141"/>
      <c r="R61" s="141"/>
    </row>
    <row r="62" spans="1:18">
      <c r="A62" s="14"/>
      <c r="B62" s="9"/>
      <c r="C62" s="10"/>
      <c r="D62" s="9"/>
      <c r="E62" s="9"/>
      <c r="F62" s="9"/>
      <c r="G62" s="3"/>
      <c r="H62" s="3"/>
      <c r="I62" s="36"/>
      <c r="K62" s="2"/>
      <c r="L62" s="3"/>
      <c r="M62" s="3"/>
      <c r="N62" s="3"/>
      <c r="O62" s="36"/>
      <c r="P62" s="2"/>
      <c r="Q62" s="2"/>
      <c r="R62" s="3"/>
    </row>
    <row r="63" spans="1:18">
      <c r="A63" s="14"/>
      <c r="B63" s="9"/>
      <c r="C63" s="10" t="str">
        <f>UPPER(I63)</f>
        <v>STORYBOARD DIRECTOR</v>
      </c>
      <c r="D63" s="9"/>
      <c r="E63" s="9" t="str">
        <f>UPPER(K63)</f>
        <v>MIRYOUNG HWANG</v>
      </c>
      <c r="F63" s="9"/>
      <c r="G63" s="3"/>
      <c r="H63" s="3"/>
      <c r="I63" s="36" t="s">
        <v>177</v>
      </c>
      <c r="K63" s="2" t="s">
        <v>657</v>
      </c>
      <c r="L63" s="3"/>
      <c r="M63" s="3"/>
      <c r="N63" s="3"/>
      <c r="O63" s="8" t="s">
        <v>793</v>
      </c>
      <c r="P63" s="2"/>
      <c r="Q63" s="2" t="s">
        <v>962</v>
      </c>
      <c r="R63" s="3"/>
    </row>
    <row r="64" spans="1:18">
      <c r="A64" s="14"/>
      <c r="B64" s="9"/>
      <c r="C64" s="10"/>
      <c r="D64" s="9"/>
      <c r="E64" s="9"/>
      <c r="F64" s="9"/>
      <c r="G64" s="3"/>
      <c r="H64" s="3"/>
      <c r="I64" s="8"/>
      <c r="J64" s="3"/>
      <c r="K64" s="13"/>
      <c r="L64" s="3"/>
      <c r="M64" s="3"/>
      <c r="N64" s="3"/>
      <c r="O64" s="8"/>
      <c r="P64" s="3"/>
      <c r="Q64" s="3"/>
      <c r="R64" s="3"/>
    </row>
    <row r="65" spans="1:18">
      <c r="A65" s="14"/>
      <c r="B65" s="11" t="str">
        <f t="shared" ref="B65:C65" si="8">UPPER(H65)</f>
        <v/>
      </c>
      <c r="C65" s="12" t="str">
        <f t="shared" si="8"/>
        <v/>
      </c>
      <c r="D65" s="11"/>
      <c r="E65" s="11" t="str">
        <f t="shared" ref="E65:E66" si="9">UPPER(K65)</f>
        <v/>
      </c>
      <c r="F65" s="11"/>
      <c r="G65" s="3"/>
      <c r="H65" s="3"/>
      <c r="I65" s="8"/>
      <c r="J65" s="3"/>
      <c r="K65" s="13"/>
      <c r="L65" s="3"/>
      <c r="M65" s="3"/>
      <c r="N65" s="3"/>
      <c r="O65" s="8"/>
      <c r="P65" s="3"/>
      <c r="Q65" s="3"/>
      <c r="R65" s="3"/>
    </row>
    <row r="66" spans="1:18">
      <c r="A66" s="14"/>
      <c r="B66" s="9" t="str">
        <f t="shared" ref="B66:C66" si="10">UPPER(H66)</f>
        <v/>
      </c>
      <c r="C66" s="10" t="str">
        <f t="shared" si="10"/>
        <v/>
      </c>
      <c r="D66" s="9"/>
      <c r="E66" s="9" t="str">
        <f t="shared" si="9"/>
        <v/>
      </c>
      <c r="F66" s="9"/>
      <c r="G66" s="3"/>
      <c r="H66" s="3"/>
      <c r="I66" s="8"/>
      <c r="J66" s="3"/>
      <c r="K66" s="13"/>
      <c r="L66" s="3"/>
      <c r="M66" s="8"/>
      <c r="N66" s="8"/>
      <c r="O66" s="8"/>
      <c r="P66" s="3"/>
      <c r="Q66" s="3"/>
      <c r="R66" s="3"/>
    </row>
    <row r="67" spans="1:18">
      <c r="A67" s="14"/>
      <c r="B67" s="9"/>
      <c r="C67" s="10"/>
      <c r="D67" s="9"/>
      <c r="E67" s="9"/>
      <c r="F67" s="9"/>
      <c r="G67" s="3"/>
      <c r="H67" s="3"/>
      <c r="I67" s="8"/>
      <c r="J67" s="3"/>
      <c r="K67" s="3"/>
      <c r="L67" s="3"/>
      <c r="M67" s="8"/>
      <c r="N67" s="8"/>
      <c r="O67" s="8" t="s">
        <v>775</v>
      </c>
      <c r="P67" s="3"/>
      <c r="Q67" s="3" t="s">
        <v>776</v>
      </c>
      <c r="R67" s="3"/>
    </row>
    <row r="68" spans="1:18">
      <c r="A68" s="14"/>
      <c r="B68" s="9"/>
      <c r="C68" s="10" t="str">
        <f t="shared" ref="C68:C76" si="11">UPPER(I68)</f>
        <v>PRODUCTION MANAGER</v>
      </c>
      <c r="D68" s="9"/>
      <c r="E68" s="9" t="str">
        <f t="shared" ref="E68:E77" si="12">UPPER(K68)</f>
        <v>SEMIN SHIN</v>
      </c>
      <c r="F68" s="9"/>
      <c r="G68" s="3"/>
      <c r="H68" s="3"/>
      <c r="I68" s="8" t="s">
        <v>152</v>
      </c>
      <c r="J68" s="3"/>
      <c r="K68" s="3" t="s">
        <v>153</v>
      </c>
      <c r="L68" s="3"/>
      <c r="M68" s="8"/>
      <c r="N68" s="8"/>
      <c r="O68" s="8"/>
      <c r="P68" s="3"/>
      <c r="Q68" s="3"/>
      <c r="R68" s="3"/>
    </row>
    <row r="69" spans="1:18">
      <c r="A69" s="14"/>
      <c r="B69" s="9"/>
      <c r="C69" s="10" t="str">
        <f t="shared" si="11"/>
        <v/>
      </c>
      <c r="D69" s="9"/>
      <c r="E69" s="9" t="str">
        <f t="shared" si="12"/>
        <v/>
      </c>
      <c r="F69" s="9"/>
      <c r="G69" s="3"/>
      <c r="H69" s="3"/>
      <c r="I69" s="8"/>
      <c r="J69" s="3"/>
      <c r="K69" s="3"/>
      <c r="L69" s="3"/>
      <c r="M69" s="8"/>
      <c r="N69" s="3"/>
      <c r="O69" s="8" t="s">
        <v>800</v>
      </c>
      <c r="P69" s="3"/>
      <c r="Q69" s="3" t="s">
        <v>801</v>
      </c>
      <c r="R69" s="3"/>
    </row>
    <row r="70" spans="1:18">
      <c r="A70" s="14"/>
      <c r="B70" s="9"/>
      <c r="C70" s="10" t="str">
        <f t="shared" si="11"/>
        <v>PRODUCTION COORDINATOR</v>
      </c>
      <c r="D70" s="9"/>
      <c r="E70" s="9" t="str">
        <f t="shared" si="12"/>
        <v>SEHUI JUNG</v>
      </c>
      <c r="F70" s="9"/>
      <c r="G70" s="3"/>
      <c r="H70" s="3"/>
      <c r="I70" s="8" t="s">
        <v>184</v>
      </c>
      <c r="J70" s="3"/>
      <c r="K70" s="3" t="s">
        <v>185</v>
      </c>
      <c r="L70" s="3"/>
      <c r="M70" s="3"/>
      <c r="N70" s="8"/>
      <c r="O70" s="3"/>
      <c r="P70" s="3"/>
      <c r="Q70" s="3" t="s">
        <v>802</v>
      </c>
      <c r="R70" s="3"/>
    </row>
    <row r="71" spans="1:18">
      <c r="A71" s="14"/>
      <c r="B71" s="9"/>
      <c r="C71" s="10" t="str">
        <f t="shared" si="11"/>
        <v/>
      </c>
      <c r="D71" s="9"/>
      <c r="E71" s="9" t="str">
        <f t="shared" si="12"/>
        <v>CHRISTINA YOONJUNG HAN</v>
      </c>
      <c r="F71" s="9"/>
      <c r="G71" s="3"/>
      <c r="H71" s="3"/>
      <c r="I71" s="8"/>
      <c r="J71" s="3"/>
      <c r="K71" s="3" t="s">
        <v>186</v>
      </c>
      <c r="L71" s="3"/>
      <c r="M71" s="8"/>
      <c r="N71" s="8"/>
      <c r="O71" s="3"/>
      <c r="P71" s="3"/>
      <c r="Q71" s="3" t="s">
        <v>803</v>
      </c>
      <c r="R71" s="3"/>
    </row>
    <row r="72" spans="1:18">
      <c r="A72" s="14"/>
      <c r="B72" s="9"/>
      <c r="C72" s="10" t="str">
        <f t="shared" si="11"/>
        <v/>
      </c>
      <c r="D72" s="9"/>
      <c r="E72" s="9" t="str">
        <f t="shared" si="12"/>
        <v>WOORI KO</v>
      </c>
      <c r="F72" s="9"/>
      <c r="G72" s="3"/>
      <c r="H72" s="3"/>
      <c r="I72" s="8"/>
      <c r="J72" s="3"/>
      <c r="K72" s="3" t="s">
        <v>187</v>
      </c>
      <c r="L72" s="3"/>
      <c r="M72" s="8"/>
      <c r="N72" s="8"/>
      <c r="O72" s="3"/>
      <c r="P72" s="3"/>
      <c r="Q72" s="3" t="s">
        <v>804</v>
      </c>
      <c r="R72" s="3"/>
    </row>
    <row r="73" spans="1:18">
      <c r="A73" s="14"/>
      <c r="B73" s="9"/>
      <c r="C73" s="10" t="str">
        <f t="shared" si="11"/>
        <v/>
      </c>
      <c r="D73" s="9"/>
      <c r="E73" s="9" t="str">
        <f t="shared" si="12"/>
        <v>EUNHA HWANG</v>
      </c>
      <c r="F73" s="9"/>
      <c r="G73" s="3"/>
      <c r="H73" s="3"/>
      <c r="I73" s="8"/>
      <c r="J73" s="3"/>
      <c r="K73" s="3" t="s">
        <v>188</v>
      </c>
      <c r="L73" s="3"/>
      <c r="M73" s="8"/>
      <c r="N73" s="8"/>
      <c r="O73" s="3"/>
      <c r="P73" s="3"/>
      <c r="Q73" s="3" t="s">
        <v>805</v>
      </c>
      <c r="R73" s="3"/>
    </row>
    <row r="74" spans="1:18">
      <c r="A74" s="14"/>
      <c r="B74" s="9"/>
      <c r="C74" s="10" t="str">
        <f t="shared" si="11"/>
        <v/>
      </c>
      <c r="D74" s="9"/>
      <c r="E74" s="9" t="str">
        <f t="shared" si="12"/>
        <v>YEONJAE KANG</v>
      </c>
      <c r="F74" s="9"/>
      <c r="G74" s="3"/>
      <c r="H74" s="3"/>
      <c r="I74" s="8"/>
      <c r="J74" s="3"/>
      <c r="K74" s="3" t="s">
        <v>189</v>
      </c>
      <c r="L74" s="3"/>
      <c r="M74" s="8"/>
      <c r="N74" s="8"/>
      <c r="O74" s="3"/>
      <c r="P74" s="3"/>
      <c r="Q74" s="3" t="s">
        <v>806</v>
      </c>
      <c r="R74" s="3"/>
    </row>
    <row r="75" spans="1:18">
      <c r="A75" s="14"/>
      <c r="B75" s="9"/>
      <c r="C75" s="10" t="str">
        <f t="shared" si="11"/>
        <v/>
      </c>
      <c r="D75" s="9"/>
      <c r="E75" s="9" t="str">
        <f t="shared" si="12"/>
        <v>SKYE YONJI LEE</v>
      </c>
      <c r="F75" s="9"/>
      <c r="G75" s="3"/>
      <c r="H75" s="3"/>
      <c r="I75" s="8"/>
      <c r="J75" s="3"/>
      <c r="K75" s="3" t="s">
        <v>190</v>
      </c>
      <c r="L75" s="3"/>
      <c r="M75" s="8"/>
      <c r="N75" s="8"/>
      <c r="O75" s="8"/>
      <c r="P75" s="3"/>
      <c r="Q75" s="3"/>
      <c r="R75" s="3"/>
    </row>
    <row r="76" spans="1:18">
      <c r="A76" s="14"/>
      <c r="B76" s="9"/>
      <c r="C76" s="10" t="str">
        <f t="shared" si="11"/>
        <v/>
      </c>
      <c r="D76" s="9"/>
      <c r="E76" s="9" t="str">
        <f t="shared" si="12"/>
        <v/>
      </c>
      <c r="F76" s="9"/>
      <c r="G76" s="3"/>
      <c r="H76" s="3"/>
      <c r="I76" s="8"/>
      <c r="J76" s="3"/>
      <c r="K76" s="3"/>
      <c r="L76" s="3"/>
      <c r="M76" s="8"/>
      <c r="N76" s="8"/>
      <c r="O76" s="8"/>
      <c r="P76" s="3"/>
      <c r="Q76" s="3"/>
      <c r="R76" s="3"/>
    </row>
    <row r="77" spans="1:18">
      <c r="A77" s="14"/>
      <c r="B77" s="11" t="str">
        <f t="shared" ref="B77:C77" si="13">UPPER(H77)</f>
        <v/>
      </c>
      <c r="C77" s="12" t="str">
        <f t="shared" si="13"/>
        <v/>
      </c>
      <c r="D77" s="11"/>
      <c r="E77" s="11" t="str">
        <f t="shared" si="12"/>
        <v/>
      </c>
      <c r="F77" s="11"/>
      <c r="G77" s="3"/>
      <c r="H77" s="3"/>
      <c r="I77" s="8"/>
      <c r="J77" s="3"/>
      <c r="K77" s="13"/>
      <c r="L77" s="3"/>
      <c r="M77" s="8"/>
      <c r="N77" s="8"/>
      <c r="O77" s="8"/>
      <c r="P77" s="3"/>
      <c r="Q77" s="3"/>
      <c r="R77" s="3"/>
    </row>
    <row r="78" spans="1:18">
      <c r="A78" s="14"/>
      <c r="B78" s="146"/>
      <c r="C78" s="141"/>
      <c r="D78" s="141"/>
      <c r="E78" s="141"/>
      <c r="F78" s="141"/>
      <c r="G78" s="3"/>
      <c r="H78" s="3"/>
      <c r="I78" s="8"/>
      <c r="J78" s="3"/>
      <c r="K78" s="3"/>
      <c r="L78" s="3"/>
      <c r="M78" s="8"/>
      <c r="N78" s="8"/>
      <c r="O78" s="8"/>
      <c r="P78" s="3"/>
      <c r="Q78" s="3"/>
      <c r="R78" s="3"/>
    </row>
    <row r="79" spans="1:18">
      <c r="A79" s="14"/>
      <c r="B79" s="150" t="str">
        <f>UPPER(H79)</f>
        <v>ART</v>
      </c>
      <c r="C79" s="141"/>
      <c r="D79" s="141"/>
      <c r="E79" s="141"/>
      <c r="F79" s="141"/>
      <c r="G79" s="28"/>
      <c r="H79" s="167" t="s">
        <v>191</v>
      </c>
      <c r="I79" s="141"/>
      <c r="J79" s="141"/>
      <c r="K79" s="141"/>
      <c r="L79" s="141"/>
      <c r="M79" s="29"/>
      <c r="N79" s="149" t="s">
        <v>807</v>
      </c>
      <c r="O79" s="141"/>
      <c r="P79" s="141"/>
      <c r="Q79" s="141"/>
      <c r="R79" s="141"/>
    </row>
    <row r="80" spans="1:18">
      <c r="A80" s="14"/>
      <c r="B80" s="9"/>
      <c r="C80" s="10" t="str">
        <f t="shared" ref="C80:C83" si="14">UPPER(I80)</f>
        <v>CHARACTER DESIGN</v>
      </c>
      <c r="D80" s="9"/>
      <c r="E80" s="9" t="str">
        <f t="shared" ref="E80:E90" si="15">UPPER(K80)</f>
        <v>NANDABY KWON</v>
      </c>
      <c r="F80" s="9"/>
      <c r="G80" s="3"/>
      <c r="H80" s="3"/>
      <c r="I80" s="8" t="s">
        <v>192</v>
      </c>
      <c r="J80" s="3"/>
      <c r="K80" s="13" t="s">
        <v>193</v>
      </c>
      <c r="L80" s="3"/>
      <c r="M80" s="8"/>
      <c r="N80" s="3"/>
      <c r="O80" s="8" t="s">
        <v>808</v>
      </c>
      <c r="P80" s="3"/>
      <c r="Q80" s="3" t="s">
        <v>809</v>
      </c>
      <c r="R80" s="3"/>
    </row>
    <row r="81" spans="1:18">
      <c r="A81" s="14"/>
      <c r="B81" s="9"/>
      <c r="C81" s="10" t="str">
        <f t="shared" si="14"/>
        <v/>
      </c>
      <c r="D81" s="9"/>
      <c r="E81" s="9" t="str">
        <f t="shared" si="15"/>
        <v>MANJOONG LEE</v>
      </c>
      <c r="F81" s="9"/>
      <c r="G81" s="3"/>
      <c r="H81" s="3"/>
      <c r="I81" s="8"/>
      <c r="J81" s="3"/>
      <c r="K81" s="13" t="s">
        <v>194</v>
      </c>
      <c r="L81" s="3"/>
      <c r="M81" s="8"/>
      <c r="N81" s="3"/>
      <c r="O81" s="3"/>
      <c r="P81" s="3"/>
      <c r="Q81" s="3" t="s">
        <v>810</v>
      </c>
      <c r="R81" s="3"/>
    </row>
    <row r="82" spans="1:18">
      <c r="A82" s="14"/>
      <c r="B82" s="9"/>
      <c r="C82" s="10" t="str">
        <f t="shared" si="14"/>
        <v/>
      </c>
      <c r="D82" s="9"/>
      <c r="E82" s="9" t="str">
        <f t="shared" si="15"/>
        <v>HYUNSONG WE</v>
      </c>
      <c r="F82" s="9"/>
      <c r="G82" s="3"/>
      <c r="H82" s="3"/>
      <c r="I82" s="8"/>
      <c r="J82" s="3"/>
      <c r="K82" s="13" t="s">
        <v>195</v>
      </c>
      <c r="L82" s="3"/>
      <c r="M82" s="8"/>
      <c r="N82" s="3"/>
      <c r="O82" s="3"/>
      <c r="P82" s="3"/>
      <c r="Q82" s="3" t="s">
        <v>811</v>
      </c>
      <c r="R82" s="3"/>
    </row>
    <row r="83" spans="1:18">
      <c r="A83" s="14"/>
      <c r="B83" s="9"/>
      <c r="C83" s="10" t="str">
        <f t="shared" si="14"/>
        <v/>
      </c>
      <c r="D83" s="9"/>
      <c r="E83" s="9" t="str">
        <f t="shared" si="15"/>
        <v>HEEGYEONG JUNG</v>
      </c>
      <c r="F83" s="9"/>
      <c r="G83" s="3"/>
      <c r="H83" s="3"/>
      <c r="I83" s="8"/>
      <c r="J83" s="3"/>
      <c r="K83" s="13" t="s">
        <v>196</v>
      </c>
      <c r="L83" s="3"/>
      <c r="M83" s="8"/>
      <c r="N83" s="3"/>
      <c r="O83" s="3"/>
      <c r="P83" s="3"/>
      <c r="Q83" s="3" t="s">
        <v>812</v>
      </c>
      <c r="R83" s="3"/>
    </row>
    <row r="84" spans="1:18">
      <c r="A84" s="14"/>
      <c r="B84" s="9"/>
      <c r="C84" s="10"/>
      <c r="D84" s="9"/>
      <c r="E84" s="9" t="str">
        <f t="shared" si="15"/>
        <v>SUNGMIN JUNG</v>
      </c>
      <c r="F84" s="9"/>
      <c r="G84" s="3"/>
      <c r="H84" s="3"/>
      <c r="I84" s="8"/>
      <c r="J84" s="3"/>
      <c r="K84" s="3" t="s">
        <v>197</v>
      </c>
      <c r="L84" s="3"/>
      <c r="M84" s="8"/>
      <c r="N84" s="3"/>
      <c r="O84" s="3"/>
      <c r="P84" s="3"/>
      <c r="Q84" s="3" t="s">
        <v>813</v>
      </c>
      <c r="R84" s="3"/>
    </row>
    <row r="85" spans="1:18">
      <c r="A85" s="14"/>
      <c r="B85" s="9"/>
      <c r="C85" s="10" t="str">
        <f t="shared" ref="C85:C86" si="16">UPPER(I85)</f>
        <v/>
      </c>
      <c r="D85" s="9"/>
      <c r="E85" s="9" t="str">
        <f t="shared" si="15"/>
        <v/>
      </c>
      <c r="F85" s="9"/>
      <c r="G85" s="3"/>
      <c r="H85" s="3"/>
      <c r="I85" s="8"/>
      <c r="J85" s="3"/>
      <c r="K85" s="13"/>
      <c r="L85" s="3"/>
      <c r="M85" s="8"/>
      <c r="N85" s="3"/>
      <c r="O85" s="8"/>
      <c r="P85" s="3"/>
      <c r="Q85" s="3"/>
      <c r="R85" s="3"/>
    </row>
    <row r="86" spans="1:18">
      <c r="A86" s="14"/>
      <c r="B86" s="9"/>
      <c r="C86" s="10" t="str">
        <f t="shared" si="16"/>
        <v>SET DESIGN</v>
      </c>
      <c r="D86" s="9"/>
      <c r="E86" s="9" t="str">
        <f t="shared" si="15"/>
        <v>BOMI KIM</v>
      </c>
      <c r="F86" s="9"/>
      <c r="G86" s="3"/>
      <c r="H86" s="3"/>
      <c r="I86" s="8" t="s">
        <v>198</v>
      </c>
      <c r="J86" s="3"/>
      <c r="K86" s="13" t="s">
        <v>199</v>
      </c>
      <c r="L86" s="3"/>
      <c r="M86" s="8"/>
      <c r="N86" s="3"/>
      <c r="O86" s="8" t="s">
        <v>814</v>
      </c>
      <c r="P86" s="3"/>
      <c r="Q86" s="3" t="s">
        <v>815</v>
      </c>
      <c r="R86" s="3"/>
    </row>
    <row r="87" spans="1:18">
      <c r="A87" s="14"/>
      <c r="B87" s="9"/>
      <c r="C87" s="10"/>
      <c r="D87" s="9"/>
      <c r="E87" s="9" t="str">
        <f t="shared" si="15"/>
        <v>CHANGRAE BAEK</v>
      </c>
      <c r="F87" s="9"/>
      <c r="G87" s="3"/>
      <c r="H87" s="3"/>
      <c r="I87" s="8"/>
      <c r="J87" s="3"/>
      <c r="K87" s="3" t="s">
        <v>200</v>
      </c>
      <c r="L87" s="3"/>
      <c r="M87" s="8"/>
      <c r="N87" s="3"/>
      <c r="O87" s="3"/>
      <c r="P87" s="3"/>
      <c r="Q87" s="3" t="s">
        <v>816</v>
      </c>
      <c r="R87" s="3"/>
    </row>
    <row r="88" spans="1:18">
      <c r="A88" s="14"/>
      <c r="B88" s="9"/>
      <c r="C88" s="10"/>
      <c r="D88" s="9"/>
      <c r="E88" s="9" t="str">
        <f t="shared" si="15"/>
        <v>SUNYOUNG PARK</v>
      </c>
      <c r="F88" s="9"/>
      <c r="G88" s="3"/>
      <c r="H88" s="3"/>
      <c r="I88" s="8"/>
      <c r="J88" s="3"/>
      <c r="K88" s="3" t="s">
        <v>201</v>
      </c>
      <c r="L88" s="3"/>
      <c r="M88" s="8"/>
      <c r="N88" s="3"/>
      <c r="O88" s="3"/>
      <c r="P88" s="3"/>
      <c r="Q88" s="3" t="s">
        <v>817</v>
      </c>
      <c r="R88" s="3"/>
    </row>
    <row r="89" spans="1:18">
      <c r="A89" s="14"/>
      <c r="B89" s="9"/>
      <c r="C89" s="10"/>
      <c r="D89" s="9"/>
      <c r="E89" s="9" t="str">
        <f t="shared" si="15"/>
        <v/>
      </c>
      <c r="F89" s="9"/>
      <c r="G89" s="3"/>
      <c r="H89" s="3"/>
      <c r="I89" s="8"/>
      <c r="J89" s="3"/>
      <c r="K89" s="3"/>
      <c r="L89" s="3"/>
      <c r="M89" s="8"/>
      <c r="N89" s="8"/>
      <c r="O89" s="8"/>
      <c r="P89" s="3"/>
      <c r="Q89" s="3"/>
      <c r="R89" s="3"/>
    </row>
    <row r="90" spans="1:18">
      <c r="A90" s="14"/>
      <c r="B90" s="9"/>
      <c r="C90" s="10" t="str">
        <f>UPPER(I90)</f>
        <v/>
      </c>
      <c r="D90" s="9"/>
      <c r="E90" s="9" t="str">
        <f t="shared" si="15"/>
        <v/>
      </c>
      <c r="F90" s="9"/>
      <c r="G90" s="3"/>
      <c r="H90" s="3"/>
      <c r="I90" s="8"/>
      <c r="J90" s="3"/>
      <c r="K90" s="13"/>
      <c r="L90" s="3"/>
      <c r="M90" s="8"/>
      <c r="N90" s="8"/>
      <c r="O90" s="8"/>
      <c r="P90" s="3"/>
      <c r="Q90" s="3"/>
      <c r="R90" s="3"/>
    </row>
    <row r="91" spans="1:18">
      <c r="A91" s="14"/>
      <c r="B91" s="146" t="str">
        <f>UPPER(H91)</f>
        <v>THE MONK STUDIOS</v>
      </c>
      <c r="C91" s="141"/>
      <c r="D91" s="141"/>
      <c r="E91" s="141"/>
      <c r="F91" s="141"/>
      <c r="G91" s="3"/>
      <c r="H91" s="149" t="s">
        <v>202</v>
      </c>
      <c r="I91" s="141"/>
      <c r="J91" s="141"/>
      <c r="K91" s="141"/>
      <c r="L91" s="141"/>
      <c r="M91" s="8"/>
      <c r="N91" s="149" t="s">
        <v>202</v>
      </c>
      <c r="O91" s="141"/>
      <c r="P91" s="141"/>
      <c r="Q91" s="141"/>
      <c r="R91" s="141"/>
    </row>
    <row r="92" spans="1:18">
      <c r="A92" s="14"/>
      <c r="B92" s="9"/>
      <c r="C92" s="10"/>
      <c r="D92" s="9"/>
      <c r="E92" s="9"/>
      <c r="F92" s="9"/>
      <c r="G92" s="3"/>
      <c r="H92" s="3"/>
      <c r="I92" s="30"/>
      <c r="J92" s="3"/>
      <c r="K92" s="31"/>
      <c r="L92" s="3"/>
      <c r="M92" s="8"/>
      <c r="N92" s="3"/>
      <c r="O92" s="30"/>
      <c r="P92" s="3"/>
      <c r="Q92" s="31"/>
      <c r="R92" s="3"/>
    </row>
    <row r="93" spans="1:18">
      <c r="A93" s="14"/>
      <c r="B93" s="9"/>
      <c r="C93" s="10" t="str">
        <f t="shared" ref="C93:C96" si="17">UPPER(I93)</f>
        <v>CONCEPT ARTIST</v>
      </c>
      <c r="D93" s="9"/>
      <c r="E93" s="9" t="str">
        <f t="shared" ref="E93:E96" si="18">UPPER(K93)</f>
        <v>WANICHAYA PHRAEJUNYA</v>
      </c>
      <c r="F93" s="9"/>
      <c r="G93" s="3"/>
      <c r="H93" s="3"/>
      <c r="I93" s="32" t="s">
        <v>203</v>
      </c>
      <c r="J93" s="3"/>
      <c r="K93" s="31" t="s">
        <v>610</v>
      </c>
      <c r="L93" s="3"/>
      <c r="M93" s="8"/>
      <c r="N93" s="3"/>
      <c r="O93" s="32" t="s">
        <v>203</v>
      </c>
      <c r="P93" s="3"/>
      <c r="Q93" s="31" t="s">
        <v>610</v>
      </c>
      <c r="R93" s="3"/>
    </row>
    <row r="94" spans="1:18">
      <c r="A94" s="14"/>
      <c r="B94" s="9"/>
      <c r="C94" s="10" t="str">
        <f t="shared" si="17"/>
        <v/>
      </c>
      <c r="D94" s="9"/>
      <c r="E94" s="9" t="str">
        <f t="shared" si="18"/>
        <v>PAKORN THONGKWANJAI</v>
      </c>
      <c r="F94" s="9"/>
      <c r="G94" s="3"/>
      <c r="H94" s="3"/>
      <c r="I94" s="8"/>
      <c r="J94" s="3"/>
      <c r="K94" s="31" t="s">
        <v>205</v>
      </c>
      <c r="L94" s="3"/>
      <c r="M94" s="8"/>
      <c r="N94" s="3"/>
      <c r="O94" s="8"/>
      <c r="P94" s="3"/>
      <c r="Q94" s="31" t="s">
        <v>205</v>
      </c>
      <c r="R94" s="3"/>
    </row>
    <row r="95" spans="1:18">
      <c r="A95" s="14"/>
      <c r="B95" s="9"/>
      <c r="C95" s="10" t="str">
        <f t="shared" si="17"/>
        <v/>
      </c>
      <c r="D95" s="9"/>
      <c r="E95" s="9" t="str">
        <f t="shared" si="18"/>
        <v>SURACHART YAMKUNTONG</v>
      </c>
      <c r="F95" s="9"/>
      <c r="G95" s="3"/>
      <c r="H95" s="3"/>
      <c r="I95" s="8"/>
      <c r="J95" s="3"/>
      <c r="K95" s="31" t="s">
        <v>206</v>
      </c>
      <c r="L95" s="3"/>
      <c r="M95" s="8"/>
      <c r="N95" s="3"/>
      <c r="O95" s="8"/>
      <c r="P95" s="3"/>
      <c r="Q95" s="31" t="s">
        <v>206</v>
      </c>
      <c r="R95" s="3"/>
    </row>
    <row r="96" spans="1:18">
      <c r="A96" s="14"/>
      <c r="B96" s="9"/>
      <c r="C96" s="10" t="str">
        <f t="shared" si="17"/>
        <v/>
      </c>
      <c r="D96" s="9"/>
      <c r="E96" s="9" t="str">
        <f t="shared" si="18"/>
        <v>BURATOUCH THONGPHISITSOMBAT</v>
      </c>
      <c r="F96" s="9"/>
      <c r="G96" s="3"/>
      <c r="H96" s="3"/>
      <c r="I96" s="8"/>
      <c r="J96" s="3"/>
      <c r="K96" s="31" t="s">
        <v>207</v>
      </c>
      <c r="L96" s="3"/>
      <c r="M96" s="8"/>
      <c r="N96" s="3"/>
      <c r="O96" s="8"/>
      <c r="P96" s="3"/>
      <c r="Q96" s="31" t="s">
        <v>207</v>
      </c>
      <c r="R96" s="3"/>
    </row>
    <row r="97" spans="1:18">
      <c r="A97" s="14"/>
      <c r="B97" s="9"/>
      <c r="C97" s="10"/>
      <c r="D97" s="9"/>
      <c r="E97" s="9"/>
      <c r="F97" s="9"/>
      <c r="G97" s="3"/>
      <c r="H97" s="3"/>
      <c r="I97" s="8"/>
      <c r="J97" s="3"/>
      <c r="K97" s="31"/>
      <c r="L97" s="3"/>
      <c r="M97" s="8"/>
      <c r="N97" s="8"/>
      <c r="O97" s="8"/>
      <c r="P97" s="3"/>
      <c r="Q97" s="3"/>
      <c r="R97" s="3"/>
    </row>
    <row r="98" spans="1:18">
      <c r="A98" s="14"/>
      <c r="B98" s="26"/>
      <c r="C98" s="26"/>
      <c r="D98" s="26"/>
      <c r="E98" s="26"/>
      <c r="F98" s="26"/>
      <c r="G98" s="3"/>
      <c r="H98" s="5"/>
      <c r="I98" s="72"/>
      <c r="J98" s="5"/>
      <c r="K98" s="33"/>
      <c r="L98" s="5"/>
      <c r="M98" s="8"/>
      <c r="N98" s="8"/>
      <c r="O98" s="8"/>
      <c r="P98" s="3"/>
      <c r="Q98" s="3"/>
      <c r="R98" s="3"/>
    </row>
    <row r="99" spans="1:18">
      <c r="A99" s="14"/>
      <c r="B99" s="6"/>
      <c r="C99" s="6"/>
      <c r="D99" s="6"/>
      <c r="E99" s="6"/>
      <c r="F99" s="6"/>
      <c r="G99" s="3"/>
      <c r="H99" s="5"/>
      <c r="I99" s="72"/>
      <c r="J99" s="5"/>
      <c r="K99" s="33"/>
      <c r="L99" s="5"/>
      <c r="M99" s="8"/>
      <c r="N99" s="8"/>
      <c r="O99" s="8"/>
      <c r="P99" s="3"/>
      <c r="Q99" s="3"/>
      <c r="R99" s="3"/>
    </row>
    <row r="100" spans="1:18">
      <c r="A100" s="14"/>
      <c r="B100" s="150" t="str">
        <f>UPPER(H100)</f>
        <v xml:space="preserve">ASSET </v>
      </c>
      <c r="C100" s="141"/>
      <c r="D100" s="141"/>
      <c r="E100" s="141"/>
      <c r="F100" s="141"/>
      <c r="G100" s="28"/>
      <c r="H100" s="167" t="s">
        <v>208</v>
      </c>
      <c r="I100" s="141"/>
      <c r="J100" s="141"/>
      <c r="K100" s="141"/>
      <c r="L100" s="141"/>
      <c r="M100" s="29"/>
      <c r="N100" s="149" t="s">
        <v>818</v>
      </c>
      <c r="O100" s="141"/>
      <c r="P100" s="141"/>
      <c r="Q100" s="141"/>
      <c r="R100" s="141"/>
    </row>
    <row r="101" spans="1:18">
      <c r="A101" s="14"/>
      <c r="B101" s="9"/>
      <c r="C101" s="10" t="str">
        <f t="shared" ref="C101:C109" si="19">UPPER(I101)</f>
        <v>ASSET SUPERVISOR</v>
      </c>
      <c r="D101" s="9"/>
      <c r="E101" s="9" t="str">
        <f t="shared" ref="E101:E109" si="20">UPPER(K101)</f>
        <v>SANGWOO NAM</v>
      </c>
      <c r="F101" s="9"/>
      <c r="G101" s="3"/>
      <c r="H101" s="3"/>
      <c r="I101" s="8" t="s">
        <v>209</v>
      </c>
      <c r="J101" s="3"/>
      <c r="K101" s="3" t="s">
        <v>210</v>
      </c>
      <c r="L101" s="3"/>
      <c r="M101" s="8"/>
      <c r="N101" s="8"/>
      <c r="O101" s="8" t="s">
        <v>819</v>
      </c>
      <c r="P101" s="3"/>
      <c r="Q101" s="3" t="s">
        <v>820</v>
      </c>
      <c r="R101" s="3"/>
    </row>
    <row r="102" spans="1:18">
      <c r="A102" s="14"/>
      <c r="B102" s="9"/>
      <c r="C102" s="10" t="str">
        <f t="shared" si="19"/>
        <v/>
      </c>
      <c r="D102" s="9"/>
      <c r="E102" s="9" t="str">
        <f t="shared" si="20"/>
        <v/>
      </c>
      <c r="F102" s="9"/>
      <c r="G102" s="3"/>
      <c r="H102" s="3"/>
      <c r="I102" s="8"/>
      <c r="J102" s="3"/>
      <c r="K102" s="3"/>
      <c r="L102" s="3"/>
      <c r="M102" s="8"/>
      <c r="N102" s="8"/>
      <c r="O102" s="21"/>
      <c r="P102" s="3"/>
      <c r="Q102" s="3"/>
      <c r="R102" s="3"/>
    </row>
    <row r="103" spans="1:18">
      <c r="A103" s="14"/>
      <c r="B103" s="9"/>
      <c r="C103" s="10" t="str">
        <f t="shared" si="19"/>
        <v>MODELING SUPERVISOR</v>
      </c>
      <c r="D103" s="9"/>
      <c r="E103" s="9" t="str">
        <f t="shared" si="20"/>
        <v>TEAYOUNG KIM</v>
      </c>
      <c r="F103" s="9"/>
      <c r="G103" s="3"/>
      <c r="H103" s="3"/>
      <c r="I103" s="8" t="s">
        <v>211</v>
      </c>
      <c r="J103" s="3"/>
      <c r="K103" s="3" t="s">
        <v>212</v>
      </c>
      <c r="L103" s="3"/>
      <c r="M103" s="8"/>
      <c r="N103" s="8"/>
      <c r="O103" s="8" t="s">
        <v>821</v>
      </c>
      <c r="P103" s="3"/>
      <c r="Q103" s="3" t="s">
        <v>822</v>
      </c>
      <c r="R103" s="3"/>
    </row>
    <row r="104" spans="1:18">
      <c r="A104" s="14"/>
      <c r="B104" s="9"/>
      <c r="C104" s="10" t="str">
        <f t="shared" si="19"/>
        <v/>
      </c>
      <c r="D104" s="9"/>
      <c r="E104" s="9" t="str">
        <f t="shared" si="20"/>
        <v>JUNGYUN HA</v>
      </c>
      <c r="F104" s="9"/>
      <c r="G104" s="3"/>
      <c r="H104" s="3"/>
      <c r="I104" s="8"/>
      <c r="J104" s="3"/>
      <c r="K104" s="3" t="s">
        <v>213</v>
      </c>
      <c r="L104" s="3"/>
      <c r="M104" s="8"/>
      <c r="N104" s="8"/>
      <c r="O104" s="8"/>
      <c r="P104" s="3"/>
      <c r="Q104" s="3" t="s">
        <v>823</v>
      </c>
      <c r="R104" s="3"/>
    </row>
    <row r="105" spans="1:18">
      <c r="A105" s="14"/>
      <c r="B105" s="9"/>
      <c r="C105" s="10" t="str">
        <f t="shared" si="19"/>
        <v/>
      </c>
      <c r="D105" s="9"/>
      <c r="E105" s="9" t="str">
        <f t="shared" si="20"/>
        <v>KIPYO KIM</v>
      </c>
      <c r="F105" s="9"/>
      <c r="G105" s="3"/>
      <c r="H105" s="3"/>
      <c r="I105" s="8"/>
      <c r="J105" s="3"/>
      <c r="K105" s="3" t="s">
        <v>214</v>
      </c>
      <c r="L105" s="3"/>
      <c r="M105" s="8"/>
      <c r="N105" s="8"/>
      <c r="O105" s="8"/>
      <c r="P105" s="3"/>
      <c r="Q105" s="3" t="s">
        <v>824</v>
      </c>
      <c r="R105" s="3"/>
    </row>
    <row r="106" spans="1:18">
      <c r="A106" s="14"/>
      <c r="B106" s="9"/>
      <c r="C106" s="10" t="str">
        <f t="shared" si="19"/>
        <v/>
      </c>
      <c r="D106" s="9"/>
      <c r="E106" s="9" t="str">
        <f t="shared" si="20"/>
        <v/>
      </c>
      <c r="F106" s="9"/>
      <c r="G106" s="3"/>
      <c r="H106" s="3"/>
      <c r="I106" s="8"/>
      <c r="J106" s="3"/>
      <c r="K106" s="3"/>
      <c r="L106" s="3"/>
      <c r="M106" s="8"/>
      <c r="N106" s="8"/>
      <c r="O106" s="8"/>
      <c r="P106" s="3"/>
      <c r="Q106" s="3"/>
      <c r="R106" s="3"/>
    </row>
    <row r="107" spans="1:18">
      <c r="A107" s="14"/>
      <c r="B107" s="9"/>
      <c r="C107" s="10" t="str">
        <f t="shared" si="19"/>
        <v>LOOKDEV ARTIST</v>
      </c>
      <c r="D107" s="9"/>
      <c r="E107" s="9" t="str">
        <f t="shared" si="20"/>
        <v>YEONJU LEE</v>
      </c>
      <c r="F107" s="9"/>
      <c r="G107" s="3"/>
      <c r="H107" s="3"/>
      <c r="I107" s="8" t="s">
        <v>215</v>
      </c>
      <c r="J107" s="3"/>
      <c r="K107" s="3" t="s">
        <v>216</v>
      </c>
      <c r="L107" s="3"/>
      <c r="M107" s="8"/>
      <c r="N107" s="8"/>
      <c r="O107" s="8" t="s">
        <v>825</v>
      </c>
      <c r="P107" s="3"/>
      <c r="Q107" s="3" t="s">
        <v>826</v>
      </c>
      <c r="R107" s="3"/>
    </row>
    <row r="108" spans="1:18">
      <c r="A108" s="14"/>
      <c r="B108" s="9"/>
      <c r="C108" s="10" t="str">
        <f t="shared" si="19"/>
        <v/>
      </c>
      <c r="D108" s="9"/>
      <c r="E108" s="9" t="str">
        <f t="shared" si="20"/>
        <v/>
      </c>
      <c r="F108" s="9"/>
      <c r="G108" s="3"/>
      <c r="H108" s="3"/>
      <c r="I108" s="8"/>
      <c r="J108" s="3"/>
      <c r="K108" s="3"/>
      <c r="L108" s="3"/>
      <c r="M108" s="3"/>
      <c r="N108" s="3"/>
      <c r="O108" s="8"/>
      <c r="P108" s="3"/>
      <c r="Q108" s="3"/>
      <c r="R108" s="3"/>
    </row>
    <row r="109" spans="1:18">
      <c r="A109" s="14"/>
      <c r="B109" s="9"/>
      <c r="C109" s="10" t="str">
        <f t="shared" si="19"/>
        <v>RIGGING</v>
      </c>
      <c r="D109" s="9"/>
      <c r="E109" s="9" t="str">
        <f t="shared" si="20"/>
        <v>MINJU YOO</v>
      </c>
      <c r="F109" s="9"/>
      <c r="G109" s="3"/>
      <c r="H109" s="3"/>
      <c r="I109" s="8" t="s">
        <v>217</v>
      </c>
      <c r="J109" s="3"/>
      <c r="K109" s="3" t="s">
        <v>218</v>
      </c>
      <c r="L109" s="3"/>
      <c r="M109" s="8"/>
      <c r="N109" s="8"/>
      <c r="O109" s="8" t="s">
        <v>827</v>
      </c>
      <c r="P109" s="3"/>
      <c r="Q109" s="3" t="s">
        <v>828</v>
      </c>
      <c r="R109" s="3"/>
    </row>
    <row r="110" spans="1:18">
      <c r="A110" s="14"/>
      <c r="B110" s="9"/>
      <c r="C110" s="10"/>
      <c r="D110" s="9"/>
      <c r="E110" s="9"/>
      <c r="F110" s="9"/>
      <c r="G110" s="3"/>
      <c r="H110" s="3"/>
      <c r="I110" s="8"/>
      <c r="J110" s="3"/>
      <c r="K110" s="3"/>
      <c r="L110" s="3"/>
      <c r="M110" s="8"/>
      <c r="N110" s="8"/>
      <c r="O110" s="8"/>
      <c r="P110" s="3"/>
      <c r="Q110" s="3"/>
      <c r="R110" s="3"/>
    </row>
    <row r="111" spans="1:18">
      <c r="A111" s="14"/>
      <c r="B111" s="11"/>
      <c r="C111" s="12" t="str">
        <f>UPPER(I111)</f>
        <v/>
      </c>
      <c r="D111" s="11"/>
      <c r="E111" s="11" t="str">
        <f>UPPER(K111)</f>
        <v/>
      </c>
      <c r="F111" s="11"/>
      <c r="G111" s="3"/>
      <c r="H111" s="3"/>
      <c r="J111" s="3"/>
      <c r="K111" s="3"/>
      <c r="L111" s="3"/>
      <c r="M111" s="8"/>
      <c r="N111" s="8"/>
      <c r="O111" s="8"/>
      <c r="P111" s="3"/>
      <c r="Q111" s="3"/>
      <c r="R111" s="3"/>
    </row>
    <row r="112" spans="1:18">
      <c r="A112" s="14"/>
      <c r="B112" s="9"/>
      <c r="C112" s="10"/>
      <c r="D112" s="9"/>
      <c r="E112" s="9"/>
      <c r="F112" s="9"/>
      <c r="G112" s="3"/>
      <c r="H112" s="3"/>
      <c r="J112" s="3"/>
      <c r="K112" s="3"/>
      <c r="L112" s="3"/>
      <c r="M112" s="8"/>
      <c r="N112" s="8"/>
      <c r="O112" s="8"/>
      <c r="P112" s="3"/>
      <c r="Q112" s="3"/>
      <c r="R112" s="3"/>
    </row>
    <row r="113" spans="1:18">
      <c r="A113" s="14"/>
      <c r="B113" s="150" t="str">
        <f t="shared" ref="B113:B114" si="21">UPPER(H113)</f>
        <v xml:space="preserve">ASSET </v>
      </c>
      <c r="C113" s="141"/>
      <c r="D113" s="141"/>
      <c r="E113" s="141"/>
      <c r="F113" s="141"/>
      <c r="G113" s="28"/>
      <c r="H113" s="167" t="s">
        <v>208</v>
      </c>
      <c r="I113" s="141"/>
      <c r="J113" s="141"/>
      <c r="K113" s="141"/>
      <c r="L113" s="141"/>
      <c r="M113" s="8"/>
      <c r="N113" s="149" t="s">
        <v>818</v>
      </c>
      <c r="O113" s="141"/>
      <c r="P113" s="141"/>
      <c r="Q113" s="141"/>
      <c r="R113" s="141"/>
    </row>
    <row r="114" spans="1:18">
      <c r="A114" s="14"/>
      <c r="B114" s="146" t="str">
        <f t="shared" si="21"/>
        <v>THE MONK STUDIOS</v>
      </c>
      <c r="C114" s="141"/>
      <c r="D114" s="141"/>
      <c r="E114" s="141"/>
      <c r="F114" s="141"/>
      <c r="G114" s="3"/>
      <c r="H114" s="149" t="s">
        <v>202</v>
      </c>
      <c r="I114" s="141"/>
      <c r="J114" s="141"/>
      <c r="K114" s="141"/>
      <c r="L114" s="141"/>
      <c r="M114" s="8"/>
      <c r="N114" s="149" t="s">
        <v>202</v>
      </c>
      <c r="O114" s="141"/>
      <c r="P114" s="141"/>
      <c r="Q114" s="141"/>
      <c r="R114" s="141"/>
    </row>
    <row r="115" spans="1:18">
      <c r="A115" s="14"/>
      <c r="B115" s="9"/>
      <c r="C115" s="10"/>
      <c r="D115" s="9"/>
      <c r="E115" s="9"/>
      <c r="F115" s="9"/>
      <c r="G115" s="3"/>
      <c r="H115" s="3"/>
      <c r="I115" s="8"/>
      <c r="K115" s="34"/>
      <c r="L115" s="2"/>
      <c r="N115" s="3"/>
      <c r="O115" s="8"/>
      <c r="Q115" s="34"/>
      <c r="R115" s="2"/>
    </row>
    <row r="116" spans="1:18">
      <c r="A116" s="14"/>
      <c r="B116" s="9"/>
      <c r="C116" s="10" t="str">
        <f t="shared" ref="C116:C133" si="22">UPPER(I116)</f>
        <v>ASSET SUPERVISOR</v>
      </c>
      <c r="D116" s="9"/>
      <c r="E116" s="9" t="str">
        <f t="shared" ref="E116:E136" si="23">UPPER(K116)</f>
        <v>ATTAPORN KANJANASAHAS</v>
      </c>
      <c r="F116" s="9"/>
      <c r="G116" s="3"/>
      <c r="H116" s="3"/>
      <c r="I116" s="8" t="s">
        <v>209</v>
      </c>
      <c r="K116" s="34" t="s">
        <v>219</v>
      </c>
      <c r="L116" s="2"/>
      <c r="N116" s="3"/>
      <c r="O116" s="8" t="s">
        <v>209</v>
      </c>
      <c r="Q116" s="34" t="s">
        <v>219</v>
      </c>
      <c r="R116" s="2"/>
    </row>
    <row r="117" spans="1:18">
      <c r="A117" s="14"/>
      <c r="B117" s="9"/>
      <c r="C117" s="10" t="str">
        <f t="shared" si="22"/>
        <v/>
      </c>
      <c r="D117" s="9"/>
      <c r="E117" s="9" t="str">
        <f t="shared" si="23"/>
        <v/>
      </c>
      <c r="F117" s="9"/>
      <c r="G117" s="3"/>
      <c r="H117" s="3"/>
      <c r="K117" s="35"/>
      <c r="L117" s="2"/>
      <c r="N117" s="3"/>
      <c r="Q117" s="35"/>
      <c r="R117" s="2"/>
    </row>
    <row r="118" spans="1:18">
      <c r="A118" s="14"/>
      <c r="B118" s="9"/>
      <c r="C118" s="10" t="str">
        <f t="shared" si="22"/>
        <v>MODEL SUPERVISOR</v>
      </c>
      <c r="D118" s="9"/>
      <c r="E118" s="9" t="str">
        <f t="shared" si="23"/>
        <v>THANITTHA PROMPATIMA</v>
      </c>
      <c r="F118" s="9"/>
      <c r="G118" s="3"/>
      <c r="H118" s="3"/>
      <c r="I118" s="36" t="s">
        <v>220</v>
      </c>
      <c r="J118" s="3"/>
      <c r="K118" s="37" t="s">
        <v>221</v>
      </c>
      <c r="L118" s="3"/>
      <c r="M118" s="8"/>
      <c r="N118" s="3"/>
      <c r="O118" s="36" t="s">
        <v>220</v>
      </c>
      <c r="P118" s="3"/>
      <c r="Q118" s="37" t="s">
        <v>221</v>
      </c>
      <c r="R118" s="3"/>
    </row>
    <row r="119" spans="1:18">
      <c r="A119" s="14"/>
      <c r="B119" s="9"/>
      <c r="C119" s="10" t="str">
        <f t="shared" si="22"/>
        <v/>
      </c>
      <c r="D119" s="9"/>
      <c r="E119" s="9" t="str">
        <f t="shared" si="23"/>
        <v/>
      </c>
      <c r="F119" s="9"/>
      <c r="G119" s="3"/>
      <c r="H119" s="3"/>
      <c r="I119" s="36"/>
      <c r="J119" s="3"/>
      <c r="K119" s="37"/>
      <c r="L119" s="3"/>
      <c r="M119" s="8"/>
      <c r="N119" s="3"/>
      <c r="O119" s="36"/>
      <c r="P119" s="3"/>
      <c r="Q119" s="37"/>
      <c r="R119" s="3"/>
    </row>
    <row r="120" spans="1:18">
      <c r="A120" s="14"/>
      <c r="B120" s="9"/>
      <c r="C120" s="10" t="str">
        <f t="shared" si="22"/>
        <v>MODELER LEADER</v>
      </c>
      <c r="D120" s="9"/>
      <c r="E120" s="9" t="str">
        <f t="shared" si="23"/>
        <v>YANNAKRON WONGPHUN</v>
      </c>
      <c r="F120" s="9"/>
      <c r="G120" s="3"/>
      <c r="H120" s="3"/>
      <c r="I120" s="36" t="s">
        <v>222</v>
      </c>
      <c r="J120" s="3"/>
      <c r="K120" s="37" t="s">
        <v>223</v>
      </c>
      <c r="L120" s="3"/>
      <c r="M120" s="8"/>
      <c r="N120" s="3"/>
      <c r="O120" s="36" t="s">
        <v>222</v>
      </c>
      <c r="P120" s="3"/>
      <c r="Q120" s="37" t="s">
        <v>223</v>
      </c>
      <c r="R120" s="3"/>
    </row>
    <row r="121" spans="1:18">
      <c r="A121" s="14"/>
      <c r="B121" s="9"/>
      <c r="C121" s="10" t="str">
        <f t="shared" si="22"/>
        <v/>
      </c>
      <c r="D121" s="9"/>
      <c r="E121" s="9" t="str">
        <f t="shared" si="23"/>
        <v>CHANATITH TAWANMAI</v>
      </c>
      <c r="F121" s="9"/>
      <c r="G121" s="3"/>
      <c r="H121" s="3"/>
      <c r="I121" s="36"/>
      <c r="J121" s="3"/>
      <c r="K121" s="37" t="s">
        <v>224</v>
      </c>
      <c r="L121" s="3"/>
      <c r="M121" s="8"/>
      <c r="N121" s="3"/>
      <c r="O121" s="36"/>
      <c r="P121" s="3"/>
      <c r="Q121" s="37" t="s">
        <v>224</v>
      </c>
      <c r="R121" s="3"/>
    </row>
    <row r="122" spans="1:18">
      <c r="A122" s="14"/>
      <c r="B122" s="9"/>
      <c r="C122" s="10" t="str">
        <f t="shared" si="22"/>
        <v/>
      </c>
      <c r="D122" s="9"/>
      <c r="E122" s="9" t="str">
        <f t="shared" si="23"/>
        <v/>
      </c>
      <c r="F122" s="9"/>
      <c r="G122" s="3"/>
      <c r="H122" s="3"/>
      <c r="I122" s="36"/>
      <c r="J122" s="3"/>
      <c r="K122" s="37"/>
      <c r="L122" s="3"/>
      <c r="M122" s="8"/>
      <c r="N122" s="3"/>
      <c r="O122" s="36"/>
      <c r="P122" s="3"/>
      <c r="Q122" s="37"/>
      <c r="R122" s="3"/>
    </row>
    <row r="123" spans="1:18">
      <c r="A123" s="14"/>
      <c r="B123" s="9"/>
      <c r="C123" s="10" t="str">
        <f t="shared" si="22"/>
        <v>MODELER</v>
      </c>
      <c r="D123" s="9"/>
      <c r="E123" s="9" t="str">
        <f t="shared" si="23"/>
        <v>JIRAWAT PANGCHOMPOO</v>
      </c>
      <c r="F123" s="9"/>
      <c r="G123" s="3"/>
      <c r="H123" s="3"/>
      <c r="I123" s="36" t="s">
        <v>225</v>
      </c>
      <c r="J123" s="3"/>
      <c r="K123" s="37" t="s">
        <v>226</v>
      </c>
      <c r="L123" s="3"/>
      <c r="M123" s="8"/>
      <c r="N123" s="3"/>
      <c r="O123" s="36" t="s">
        <v>225</v>
      </c>
      <c r="P123" s="3"/>
      <c r="Q123" s="37" t="s">
        <v>226</v>
      </c>
      <c r="R123" s="3"/>
    </row>
    <row r="124" spans="1:18">
      <c r="A124" s="14"/>
      <c r="B124" s="9"/>
      <c r="C124" s="10" t="str">
        <f t="shared" si="22"/>
        <v/>
      </c>
      <c r="D124" s="9"/>
      <c r="E124" s="9" t="str">
        <f t="shared" si="23"/>
        <v>TEERAWAT PHO-OB</v>
      </c>
      <c r="F124" s="9"/>
      <c r="G124" s="3"/>
      <c r="H124" s="3"/>
      <c r="I124" s="8"/>
      <c r="J124" s="3"/>
      <c r="K124" s="37" t="s">
        <v>227</v>
      </c>
      <c r="L124" s="3"/>
      <c r="M124" s="8"/>
      <c r="N124" s="3"/>
      <c r="O124" s="8"/>
      <c r="P124" s="3"/>
      <c r="Q124" s="37" t="s">
        <v>227</v>
      </c>
      <c r="R124" s="3"/>
    </row>
    <row r="125" spans="1:18">
      <c r="A125" s="14"/>
      <c r="B125" s="9"/>
      <c r="C125" s="10" t="str">
        <f t="shared" si="22"/>
        <v/>
      </c>
      <c r="D125" s="9"/>
      <c r="E125" s="9" t="str">
        <f t="shared" si="23"/>
        <v>SUPACHOCK NUAMTHONG</v>
      </c>
      <c r="F125" s="9"/>
      <c r="G125" s="3"/>
      <c r="H125" s="3"/>
      <c r="I125" s="8"/>
      <c r="J125" s="3"/>
      <c r="K125" s="37" t="s">
        <v>228</v>
      </c>
      <c r="L125" s="3"/>
      <c r="M125" s="8"/>
      <c r="N125" s="3"/>
      <c r="O125" s="8"/>
      <c r="P125" s="3"/>
      <c r="Q125" s="37" t="s">
        <v>228</v>
      </c>
      <c r="R125" s="3"/>
    </row>
    <row r="126" spans="1:18">
      <c r="A126" s="14"/>
      <c r="B126" s="9"/>
      <c r="C126" s="10" t="str">
        <f t="shared" si="22"/>
        <v/>
      </c>
      <c r="D126" s="9"/>
      <c r="E126" s="9" t="str">
        <f t="shared" si="23"/>
        <v>VIPHADA KARNJANAWARIT</v>
      </c>
      <c r="F126" s="9"/>
      <c r="G126" s="3"/>
      <c r="H126" s="3"/>
      <c r="I126" s="8"/>
      <c r="J126" s="3"/>
      <c r="K126" s="37" t="s">
        <v>229</v>
      </c>
      <c r="L126" s="3"/>
      <c r="M126" s="8"/>
      <c r="N126" s="3"/>
      <c r="O126" s="8"/>
      <c r="P126" s="3"/>
      <c r="Q126" s="37" t="s">
        <v>229</v>
      </c>
      <c r="R126" s="3"/>
    </row>
    <row r="127" spans="1:18">
      <c r="A127" s="14"/>
      <c r="B127" s="9"/>
      <c r="C127" s="10" t="str">
        <f t="shared" si="22"/>
        <v/>
      </c>
      <c r="D127" s="9"/>
      <c r="E127" s="9" t="str">
        <f t="shared" si="23"/>
        <v>TEERAKA KONGPAISAND</v>
      </c>
      <c r="F127" s="9"/>
      <c r="G127" s="3"/>
      <c r="H127" s="3"/>
      <c r="I127" s="8"/>
      <c r="J127" s="3"/>
      <c r="K127" s="37" t="s">
        <v>230</v>
      </c>
      <c r="L127" s="3"/>
      <c r="M127" s="8"/>
      <c r="N127" s="3"/>
      <c r="O127" s="8"/>
      <c r="P127" s="3"/>
      <c r="Q127" s="37" t="s">
        <v>230</v>
      </c>
      <c r="R127" s="3"/>
    </row>
    <row r="128" spans="1:18">
      <c r="A128" s="14"/>
      <c r="B128" s="9"/>
      <c r="C128" s="10" t="str">
        <f t="shared" si="22"/>
        <v/>
      </c>
      <c r="D128" s="9"/>
      <c r="E128" s="9" t="str">
        <f t="shared" si="23"/>
        <v>NATCHA NUNTANAJAROENKUL</v>
      </c>
      <c r="F128" s="9"/>
      <c r="G128" s="3"/>
      <c r="H128" s="3"/>
      <c r="I128" s="8"/>
      <c r="J128" s="3"/>
      <c r="K128" s="37" t="s">
        <v>231</v>
      </c>
      <c r="L128" s="3"/>
      <c r="M128" s="8"/>
      <c r="N128" s="3"/>
      <c r="O128" s="8"/>
      <c r="P128" s="3"/>
      <c r="Q128" s="37" t="s">
        <v>231</v>
      </c>
      <c r="R128" s="3"/>
    </row>
    <row r="129" spans="1:18">
      <c r="A129" s="14"/>
      <c r="B129" s="9"/>
      <c r="C129" s="10" t="str">
        <f t="shared" si="22"/>
        <v/>
      </c>
      <c r="D129" s="9"/>
      <c r="E129" s="9" t="str">
        <f t="shared" si="23"/>
        <v>PANUWAT VIVATTANAWONGSIRI</v>
      </c>
      <c r="F129" s="9"/>
      <c r="G129" s="3"/>
      <c r="H129" s="3"/>
      <c r="I129" s="8"/>
      <c r="J129" s="3"/>
      <c r="K129" s="37" t="s">
        <v>232</v>
      </c>
      <c r="L129" s="3"/>
      <c r="M129" s="8"/>
      <c r="N129" s="3"/>
      <c r="O129" s="8"/>
      <c r="P129" s="3"/>
      <c r="Q129" s="37" t="s">
        <v>232</v>
      </c>
      <c r="R129" s="3"/>
    </row>
    <row r="130" spans="1:18">
      <c r="A130" s="14"/>
      <c r="B130" s="9"/>
      <c r="C130" s="10" t="str">
        <f t="shared" si="22"/>
        <v/>
      </c>
      <c r="D130" s="9"/>
      <c r="E130" s="9" t="str">
        <f t="shared" si="23"/>
        <v>KOTCHAWAN PRADITUKRIT</v>
      </c>
      <c r="F130" s="9"/>
      <c r="G130" s="3"/>
      <c r="H130" s="3"/>
      <c r="I130" s="8"/>
      <c r="J130" s="3"/>
      <c r="K130" s="37" t="s">
        <v>233</v>
      </c>
      <c r="L130" s="3"/>
      <c r="M130" s="8"/>
      <c r="N130" s="3"/>
      <c r="O130" s="8"/>
      <c r="P130" s="3"/>
      <c r="Q130" s="37" t="s">
        <v>233</v>
      </c>
      <c r="R130" s="3"/>
    </row>
    <row r="131" spans="1:18">
      <c r="A131" s="14"/>
      <c r="B131" s="9"/>
      <c r="C131" s="10" t="str">
        <f t="shared" si="22"/>
        <v/>
      </c>
      <c r="D131" s="9"/>
      <c r="E131" s="9" t="str">
        <f t="shared" si="23"/>
        <v>SUPAPAK SUKWAN</v>
      </c>
      <c r="F131" s="9"/>
      <c r="G131" s="3"/>
      <c r="H131" s="3"/>
      <c r="I131" s="8"/>
      <c r="J131" s="3"/>
      <c r="K131" s="37" t="s">
        <v>234</v>
      </c>
      <c r="L131" s="3"/>
      <c r="M131" s="8"/>
      <c r="N131" s="3"/>
      <c r="O131" s="8"/>
      <c r="P131" s="3"/>
      <c r="Q131" s="37" t="s">
        <v>234</v>
      </c>
      <c r="R131" s="3"/>
    </row>
    <row r="132" spans="1:18">
      <c r="A132" s="14"/>
      <c r="B132" s="9"/>
      <c r="C132" s="10" t="str">
        <f t="shared" si="22"/>
        <v/>
      </c>
      <c r="D132" s="9"/>
      <c r="E132" s="9" t="str">
        <f t="shared" si="23"/>
        <v>ANURAK WASAENDEE</v>
      </c>
      <c r="F132" s="9"/>
      <c r="G132" s="3"/>
      <c r="H132" s="3"/>
      <c r="I132" s="8"/>
      <c r="J132" s="3"/>
      <c r="K132" s="37" t="s">
        <v>235</v>
      </c>
      <c r="L132" s="3"/>
      <c r="M132" s="8"/>
      <c r="N132" s="3"/>
      <c r="O132" s="8"/>
      <c r="P132" s="3"/>
      <c r="Q132" s="37" t="s">
        <v>235</v>
      </c>
      <c r="R132" s="3"/>
    </row>
    <row r="133" spans="1:18">
      <c r="A133" s="14"/>
      <c r="B133" s="9"/>
      <c r="C133" s="10" t="str">
        <f t="shared" si="22"/>
        <v/>
      </c>
      <c r="D133" s="9"/>
      <c r="E133" s="9" t="str">
        <f t="shared" si="23"/>
        <v>JAKKRIT THANAPHATTHANAKUL</v>
      </c>
      <c r="F133" s="9"/>
      <c r="G133" s="3"/>
      <c r="H133" s="3"/>
      <c r="I133" s="8"/>
      <c r="J133" s="3"/>
      <c r="K133" s="37" t="s">
        <v>236</v>
      </c>
      <c r="L133" s="3"/>
      <c r="M133" s="8"/>
      <c r="N133" s="3"/>
      <c r="O133" s="8"/>
      <c r="P133" s="3"/>
      <c r="Q133" s="37" t="s">
        <v>236</v>
      </c>
      <c r="R133" s="3"/>
    </row>
    <row r="134" spans="1:18">
      <c r="A134" s="14"/>
      <c r="B134" s="9"/>
      <c r="C134" s="10"/>
      <c r="D134" s="9"/>
      <c r="E134" s="9" t="str">
        <f t="shared" si="23"/>
        <v>TANAWAT YORIYA</v>
      </c>
      <c r="F134" s="9"/>
      <c r="G134" s="3"/>
      <c r="H134" s="3"/>
      <c r="I134" s="8"/>
      <c r="J134" s="3"/>
      <c r="K134" s="31" t="s">
        <v>237</v>
      </c>
      <c r="L134" s="3"/>
      <c r="M134" s="8"/>
      <c r="N134" s="3"/>
      <c r="O134" s="8"/>
      <c r="P134" s="3"/>
      <c r="Q134" s="31" t="s">
        <v>237</v>
      </c>
      <c r="R134" s="3"/>
    </row>
    <row r="135" spans="1:18">
      <c r="A135" s="14"/>
      <c r="B135" s="9"/>
      <c r="C135" s="10"/>
      <c r="D135" s="9"/>
      <c r="E135" s="9" t="str">
        <f t="shared" si="23"/>
        <v>WITSANUKORN CHALIAOTHAM</v>
      </c>
      <c r="F135" s="9"/>
      <c r="G135" s="3"/>
      <c r="H135" s="3"/>
      <c r="I135" s="8"/>
      <c r="J135" s="3"/>
      <c r="K135" s="31" t="s">
        <v>238</v>
      </c>
      <c r="L135" s="3"/>
      <c r="M135" s="8"/>
      <c r="N135" s="3"/>
      <c r="O135" s="8"/>
      <c r="P135" s="3"/>
      <c r="Q135" s="31" t="s">
        <v>238</v>
      </c>
      <c r="R135" s="3"/>
    </row>
    <row r="136" spans="1:18">
      <c r="A136" s="14"/>
      <c r="B136" s="9"/>
      <c r="C136" s="10"/>
      <c r="D136" s="9"/>
      <c r="E136" s="9" t="str">
        <f t="shared" si="23"/>
        <v>CHANBHASAKORN MINGSOMPAN</v>
      </c>
      <c r="F136" s="9"/>
      <c r="G136" s="3"/>
      <c r="H136" s="3"/>
      <c r="I136" s="8"/>
      <c r="J136" s="3"/>
      <c r="K136" s="31" t="s">
        <v>239</v>
      </c>
      <c r="L136" s="3"/>
      <c r="M136" s="8"/>
      <c r="N136" s="3"/>
      <c r="O136" s="8"/>
      <c r="P136" s="3"/>
      <c r="Q136" s="31" t="s">
        <v>239</v>
      </c>
      <c r="R136" s="3"/>
    </row>
    <row r="137" spans="1:18">
      <c r="A137" s="14"/>
      <c r="B137" s="9"/>
      <c r="C137" s="10"/>
      <c r="D137" s="9"/>
      <c r="E137" s="9"/>
      <c r="F137" s="9"/>
      <c r="G137" s="3"/>
      <c r="H137" s="3"/>
      <c r="I137" s="8"/>
      <c r="J137" s="3"/>
      <c r="K137" s="31"/>
      <c r="L137" s="3"/>
      <c r="M137" s="8"/>
      <c r="N137" s="8"/>
      <c r="O137" s="8"/>
      <c r="P137" s="3"/>
      <c r="Q137" s="3"/>
      <c r="R137" s="3"/>
    </row>
    <row r="138" spans="1:18">
      <c r="A138" s="14"/>
      <c r="B138" s="11"/>
      <c r="C138" s="12"/>
      <c r="D138" s="11"/>
      <c r="E138" s="11"/>
      <c r="F138" s="11"/>
      <c r="G138" s="3"/>
      <c r="H138" s="3"/>
      <c r="I138" s="8"/>
      <c r="J138" s="3"/>
      <c r="K138" s="31"/>
      <c r="L138" s="3"/>
      <c r="M138" s="8"/>
      <c r="N138" s="8"/>
      <c r="O138" s="8"/>
      <c r="P138" s="3"/>
      <c r="Q138" s="3"/>
      <c r="R138" s="3"/>
    </row>
    <row r="139" spans="1:18">
      <c r="A139" s="14"/>
      <c r="B139" s="9"/>
      <c r="C139" s="10"/>
      <c r="D139" s="9"/>
      <c r="E139" s="9"/>
      <c r="F139" s="9"/>
      <c r="G139" s="3"/>
      <c r="H139" s="3"/>
      <c r="I139" s="8"/>
      <c r="J139" s="3"/>
      <c r="K139" s="31"/>
      <c r="L139" s="3"/>
      <c r="M139" s="8"/>
      <c r="N139" s="8"/>
      <c r="O139" s="8"/>
      <c r="P139" s="3"/>
      <c r="Q139" s="3"/>
      <c r="R139" s="3"/>
    </row>
    <row r="140" spans="1:18">
      <c r="A140" s="14"/>
      <c r="B140" s="150" t="str">
        <f t="shared" ref="B140:B141" si="24">UPPER(H140)</f>
        <v xml:space="preserve">ASSET </v>
      </c>
      <c r="C140" s="141"/>
      <c r="D140" s="141"/>
      <c r="E140" s="141"/>
      <c r="F140" s="141"/>
      <c r="G140" s="28"/>
      <c r="H140" s="167" t="s">
        <v>208</v>
      </c>
      <c r="I140" s="141"/>
      <c r="J140" s="141"/>
      <c r="K140" s="141"/>
      <c r="L140" s="141"/>
      <c r="M140" s="8"/>
      <c r="N140" s="149" t="s">
        <v>818</v>
      </c>
      <c r="O140" s="141"/>
      <c r="P140" s="141"/>
      <c r="Q140" s="141"/>
      <c r="R140" s="141"/>
    </row>
    <row r="141" spans="1:18">
      <c r="A141" s="14"/>
      <c r="B141" s="146" t="str">
        <f t="shared" si="24"/>
        <v>THE MONK STUDIOS</v>
      </c>
      <c r="C141" s="141"/>
      <c r="D141" s="141"/>
      <c r="E141" s="141"/>
      <c r="F141" s="141"/>
      <c r="G141" s="3"/>
      <c r="H141" s="149" t="s">
        <v>202</v>
      </c>
      <c r="I141" s="141"/>
      <c r="J141" s="141"/>
      <c r="K141" s="141"/>
      <c r="L141" s="141"/>
      <c r="M141" s="8"/>
      <c r="N141" s="149" t="s">
        <v>202</v>
      </c>
      <c r="O141" s="141"/>
      <c r="P141" s="141"/>
      <c r="Q141" s="141"/>
      <c r="R141" s="141"/>
    </row>
    <row r="142" spans="1:18">
      <c r="A142" s="14"/>
      <c r="B142" s="38"/>
      <c r="C142" s="38"/>
      <c r="D142" s="38"/>
      <c r="E142" s="38"/>
      <c r="F142" s="38"/>
      <c r="G142" s="3"/>
      <c r="H142" s="5"/>
      <c r="I142" s="5"/>
      <c r="J142" s="5"/>
      <c r="K142" s="5"/>
      <c r="L142" s="5"/>
      <c r="M142" s="3"/>
      <c r="N142" s="5"/>
      <c r="O142" s="5"/>
      <c r="P142" s="5"/>
      <c r="Q142" s="5"/>
      <c r="R142" s="5"/>
    </row>
    <row r="143" spans="1:18">
      <c r="A143" s="14"/>
      <c r="B143" s="9"/>
      <c r="C143" s="10" t="str">
        <f t="shared" ref="C143:C156" si="25">UPPER(I143)</f>
        <v>TEXTURE SUPERVISOR</v>
      </c>
      <c r="D143" s="9"/>
      <c r="E143" s="9" t="str">
        <f t="shared" ref="E143:E158" si="26">UPPER(K143)</f>
        <v>REWAT SIKHEMNGAM</v>
      </c>
      <c r="F143" s="9"/>
      <c r="G143" s="3"/>
      <c r="H143" s="3"/>
      <c r="I143" s="36" t="s">
        <v>240</v>
      </c>
      <c r="J143" s="3"/>
      <c r="K143" s="22" t="s">
        <v>241</v>
      </c>
      <c r="L143" s="3"/>
      <c r="M143" s="8"/>
      <c r="N143" s="3"/>
      <c r="O143" s="36" t="s">
        <v>240</v>
      </c>
      <c r="P143" s="3"/>
      <c r="Q143" s="22" t="s">
        <v>241</v>
      </c>
      <c r="R143" s="3"/>
    </row>
    <row r="144" spans="1:18">
      <c r="A144" s="14"/>
      <c r="B144" s="9"/>
      <c r="C144" s="10" t="str">
        <f t="shared" si="25"/>
        <v/>
      </c>
      <c r="D144" s="9"/>
      <c r="E144" s="9" t="str">
        <f t="shared" si="26"/>
        <v/>
      </c>
      <c r="F144" s="9"/>
      <c r="G144" s="3"/>
      <c r="H144" s="3"/>
      <c r="I144" s="36"/>
      <c r="J144" s="3"/>
      <c r="K144" s="22"/>
      <c r="L144" s="3"/>
      <c r="M144" s="8"/>
      <c r="N144" s="3"/>
      <c r="O144" s="36"/>
      <c r="P144" s="3"/>
      <c r="Q144" s="22"/>
      <c r="R144" s="3"/>
    </row>
    <row r="145" spans="1:18">
      <c r="A145" s="14"/>
      <c r="B145" s="9"/>
      <c r="C145" s="10" t="str">
        <f t="shared" si="25"/>
        <v>TEXTURE LEAD</v>
      </c>
      <c r="D145" s="9"/>
      <c r="E145" s="9" t="str">
        <f t="shared" si="26"/>
        <v>DUANGRUETHAI WONGPHAKHAM</v>
      </c>
      <c r="F145" s="9"/>
      <c r="G145" s="3"/>
      <c r="H145" s="3"/>
      <c r="I145" s="36" t="s">
        <v>242</v>
      </c>
      <c r="J145" s="3"/>
      <c r="K145" s="22" t="s">
        <v>243</v>
      </c>
      <c r="L145" s="3"/>
      <c r="M145" s="8"/>
      <c r="N145" s="3"/>
      <c r="O145" s="36" t="s">
        <v>242</v>
      </c>
      <c r="P145" s="3"/>
      <c r="Q145" s="22" t="s">
        <v>243</v>
      </c>
      <c r="R145" s="3"/>
    </row>
    <row r="146" spans="1:18">
      <c r="A146" s="14"/>
      <c r="B146" s="9"/>
      <c r="C146" s="10" t="str">
        <f t="shared" si="25"/>
        <v/>
      </c>
      <c r="D146" s="9"/>
      <c r="E146" s="9" t="str">
        <f t="shared" si="26"/>
        <v/>
      </c>
      <c r="F146" s="9"/>
      <c r="G146" s="3"/>
      <c r="H146" s="3"/>
      <c r="I146" s="36"/>
      <c r="J146" s="3"/>
      <c r="K146" s="22"/>
      <c r="L146" s="3"/>
      <c r="M146" s="8"/>
      <c r="N146" s="3"/>
      <c r="O146" s="36"/>
      <c r="P146" s="3"/>
      <c r="Q146" s="22"/>
      <c r="R146" s="3"/>
    </row>
    <row r="147" spans="1:18">
      <c r="A147" s="14"/>
      <c r="B147" s="9"/>
      <c r="C147" s="10" t="str">
        <f t="shared" si="25"/>
        <v>TEXTURE ARTIST</v>
      </c>
      <c r="D147" s="9"/>
      <c r="E147" s="9" t="str">
        <f t="shared" si="26"/>
        <v>SURANG PASAMLEE</v>
      </c>
      <c r="F147" s="9"/>
      <c r="G147" s="3"/>
      <c r="H147" s="3"/>
      <c r="I147" s="36" t="s">
        <v>244</v>
      </c>
      <c r="J147" s="3"/>
      <c r="K147" s="22" t="s">
        <v>245</v>
      </c>
      <c r="L147" s="3"/>
      <c r="M147" s="8"/>
      <c r="N147" s="3"/>
      <c r="O147" s="36" t="s">
        <v>244</v>
      </c>
      <c r="P147" s="3"/>
      <c r="Q147" s="22" t="s">
        <v>245</v>
      </c>
      <c r="R147" s="3"/>
    </row>
    <row r="148" spans="1:18">
      <c r="A148" s="14"/>
      <c r="B148" s="9"/>
      <c r="C148" s="10" t="str">
        <f t="shared" si="25"/>
        <v/>
      </c>
      <c r="D148" s="9"/>
      <c r="E148" s="9" t="str">
        <f t="shared" si="26"/>
        <v>RUJIKAN PHENPAIJIT</v>
      </c>
      <c r="F148" s="9"/>
      <c r="G148" s="3"/>
      <c r="H148" s="3"/>
      <c r="I148" s="8"/>
      <c r="J148" s="3"/>
      <c r="K148" s="22" t="s">
        <v>246</v>
      </c>
      <c r="L148" s="3"/>
      <c r="M148" s="8"/>
      <c r="N148" s="3"/>
      <c r="O148" s="8"/>
      <c r="P148" s="3"/>
      <c r="Q148" s="22" t="s">
        <v>246</v>
      </c>
      <c r="R148" s="3"/>
    </row>
    <row r="149" spans="1:18">
      <c r="A149" s="14"/>
      <c r="B149" s="9"/>
      <c r="C149" s="10" t="str">
        <f t="shared" si="25"/>
        <v/>
      </c>
      <c r="D149" s="9"/>
      <c r="E149" s="9" t="str">
        <f t="shared" si="26"/>
        <v>POONNAWAT SANTIYOTHIN</v>
      </c>
      <c r="F149" s="9"/>
      <c r="G149" s="3"/>
      <c r="H149" s="3"/>
      <c r="I149" s="8"/>
      <c r="J149" s="3"/>
      <c r="K149" s="22" t="s">
        <v>247</v>
      </c>
      <c r="L149" s="3"/>
      <c r="M149" s="8"/>
      <c r="N149" s="3"/>
      <c r="O149" s="8"/>
      <c r="P149" s="3"/>
      <c r="Q149" s="22" t="s">
        <v>247</v>
      </c>
      <c r="R149" s="3"/>
    </row>
    <row r="150" spans="1:18">
      <c r="A150" s="14"/>
      <c r="B150" s="9"/>
      <c r="C150" s="10" t="str">
        <f t="shared" si="25"/>
        <v/>
      </c>
      <c r="D150" s="9"/>
      <c r="E150" s="9" t="str">
        <f t="shared" si="26"/>
        <v>NUTCHAYA PUENGPREEDA</v>
      </c>
      <c r="F150" s="9"/>
      <c r="G150" s="3"/>
      <c r="H150" s="3"/>
      <c r="I150" s="8"/>
      <c r="J150" s="3"/>
      <c r="K150" s="22" t="s">
        <v>248</v>
      </c>
      <c r="L150" s="3"/>
      <c r="M150" s="8"/>
      <c r="N150" s="3"/>
      <c r="O150" s="8"/>
      <c r="P150" s="3"/>
      <c r="Q150" s="22" t="s">
        <v>248</v>
      </c>
      <c r="R150" s="3"/>
    </row>
    <row r="151" spans="1:18">
      <c r="A151" s="14"/>
      <c r="B151" s="9"/>
      <c r="C151" s="10" t="str">
        <f t="shared" si="25"/>
        <v/>
      </c>
      <c r="D151" s="9"/>
      <c r="E151" s="9" t="str">
        <f t="shared" si="26"/>
        <v>KANLAYANEE SUWANNABUT</v>
      </c>
      <c r="F151" s="9"/>
      <c r="G151" s="3"/>
      <c r="H151" s="3"/>
      <c r="I151" s="8"/>
      <c r="J151" s="3"/>
      <c r="K151" s="22" t="s">
        <v>249</v>
      </c>
      <c r="L151" s="3"/>
      <c r="M151" s="8"/>
      <c r="N151" s="3"/>
      <c r="O151" s="8"/>
      <c r="P151" s="3"/>
      <c r="Q151" s="22" t="s">
        <v>249</v>
      </c>
      <c r="R151" s="3"/>
    </row>
    <row r="152" spans="1:18">
      <c r="A152" s="14"/>
      <c r="B152" s="9"/>
      <c r="C152" s="10" t="str">
        <f t="shared" si="25"/>
        <v/>
      </c>
      <c r="D152" s="9"/>
      <c r="E152" s="9" t="str">
        <f t="shared" si="26"/>
        <v>THANAWAT SAWATCHITANG</v>
      </c>
      <c r="F152" s="9"/>
      <c r="G152" s="3"/>
      <c r="H152" s="3"/>
      <c r="I152" s="8"/>
      <c r="J152" s="3"/>
      <c r="K152" s="22" t="s">
        <v>250</v>
      </c>
      <c r="L152" s="3"/>
      <c r="M152" s="8"/>
      <c r="N152" s="3"/>
      <c r="O152" s="8"/>
      <c r="P152" s="3"/>
      <c r="Q152" s="22" t="s">
        <v>250</v>
      </c>
      <c r="R152" s="3"/>
    </row>
    <row r="153" spans="1:18">
      <c r="A153" s="14"/>
      <c r="B153" s="9"/>
      <c r="C153" s="10" t="str">
        <f t="shared" si="25"/>
        <v/>
      </c>
      <c r="D153" s="9"/>
      <c r="E153" s="9" t="str">
        <f t="shared" si="26"/>
        <v>NATYADA WANGKAHAT</v>
      </c>
      <c r="F153" s="9"/>
      <c r="G153" s="3"/>
      <c r="H153" s="3"/>
      <c r="I153" s="8"/>
      <c r="J153" s="3"/>
      <c r="K153" s="22" t="s">
        <v>251</v>
      </c>
      <c r="L153" s="3"/>
      <c r="M153" s="8"/>
      <c r="N153" s="3"/>
      <c r="O153" s="8"/>
      <c r="P153" s="3"/>
      <c r="Q153" s="22" t="s">
        <v>251</v>
      </c>
      <c r="R153" s="3"/>
    </row>
    <row r="154" spans="1:18">
      <c r="A154" s="14"/>
      <c r="B154" s="9"/>
      <c r="C154" s="10" t="str">
        <f t="shared" si="25"/>
        <v/>
      </c>
      <c r="D154" s="9"/>
      <c r="E154" s="9" t="str">
        <f t="shared" si="26"/>
        <v>KWANLARB POTJANASUNTORN</v>
      </c>
      <c r="F154" s="9"/>
      <c r="G154" s="3"/>
      <c r="H154" s="3"/>
      <c r="I154" s="8"/>
      <c r="J154" s="3"/>
      <c r="K154" s="22" t="s">
        <v>252</v>
      </c>
      <c r="L154" s="3"/>
      <c r="M154" s="8"/>
      <c r="N154" s="3"/>
      <c r="O154" s="8"/>
      <c r="P154" s="3"/>
      <c r="Q154" s="22" t="s">
        <v>252</v>
      </c>
      <c r="R154" s="3"/>
    </row>
    <row r="155" spans="1:18">
      <c r="A155" s="14"/>
      <c r="B155" s="9"/>
      <c r="C155" s="10" t="str">
        <f t="shared" si="25"/>
        <v/>
      </c>
      <c r="D155" s="9"/>
      <c r="E155" s="9" t="str">
        <f t="shared" si="26"/>
        <v>KLAORAVEE PANPENG</v>
      </c>
      <c r="F155" s="9"/>
      <c r="G155" s="3"/>
      <c r="H155" s="3"/>
      <c r="I155" s="8"/>
      <c r="J155" s="3"/>
      <c r="K155" s="22" t="s">
        <v>253</v>
      </c>
      <c r="L155" s="3"/>
      <c r="M155" s="8"/>
      <c r="N155" s="3"/>
      <c r="O155" s="8"/>
      <c r="P155" s="3"/>
      <c r="Q155" s="22" t="s">
        <v>253</v>
      </c>
      <c r="R155" s="3"/>
    </row>
    <row r="156" spans="1:18">
      <c r="A156" s="14"/>
      <c r="B156" s="9"/>
      <c r="C156" s="10" t="str">
        <f t="shared" si="25"/>
        <v/>
      </c>
      <c r="D156" s="9"/>
      <c r="E156" s="9" t="str">
        <f t="shared" si="26"/>
        <v>NATPAPON TITICHOATRATTNA</v>
      </c>
      <c r="F156" s="9"/>
      <c r="G156" s="3"/>
      <c r="H156" s="3"/>
      <c r="I156" s="8"/>
      <c r="J156" s="3"/>
      <c r="K156" s="22" t="s">
        <v>254</v>
      </c>
      <c r="L156" s="3"/>
      <c r="M156" s="8"/>
      <c r="N156" s="3"/>
      <c r="O156" s="8"/>
      <c r="P156" s="3"/>
      <c r="Q156" s="22" t="s">
        <v>254</v>
      </c>
      <c r="R156" s="3"/>
    </row>
    <row r="157" spans="1:18">
      <c r="A157" s="14"/>
      <c r="B157" s="9"/>
      <c r="C157" s="10"/>
      <c r="D157" s="9"/>
      <c r="E157" s="9" t="str">
        <f t="shared" si="26"/>
        <v>SARUTA SANTIPRAP</v>
      </c>
      <c r="F157" s="9"/>
      <c r="G157" s="3"/>
      <c r="H157" s="3"/>
      <c r="I157" s="8"/>
      <c r="J157" s="3"/>
      <c r="K157" s="22" t="s">
        <v>611</v>
      </c>
      <c r="L157" s="3"/>
      <c r="M157" s="8"/>
      <c r="N157" s="3"/>
      <c r="O157" s="8"/>
      <c r="P157" s="3"/>
      <c r="Q157" s="22" t="s">
        <v>611</v>
      </c>
      <c r="R157" s="3"/>
    </row>
    <row r="158" spans="1:18">
      <c r="A158" s="14"/>
      <c r="B158" s="9"/>
      <c r="C158" s="10"/>
      <c r="D158" s="9"/>
      <c r="E158" s="9" t="str">
        <f t="shared" si="26"/>
        <v>PHATTARANAN CHAROENKIAT</v>
      </c>
      <c r="F158" s="9"/>
      <c r="G158" s="3"/>
      <c r="H158" s="3"/>
      <c r="I158" s="8"/>
      <c r="J158" s="3"/>
      <c r="K158" s="22" t="s">
        <v>612</v>
      </c>
      <c r="L158" s="3"/>
      <c r="M158" s="8"/>
      <c r="N158" s="3"/>
      <c r="O158" s="8"/>
      <c r="P158" s="3"/>
      <c r="Q158" s="22" t="s">
        <v>612</v>
      </c>
      <c r="R158" s="3"/>
    </row>
    <row r="159" spans="1:18">
      <c r="A159" s="14"/>
      <c r="B159" s="9"/>
      <c r="C159" s="10"/>
      <c r="D159" s="9"/>
      <c r="E159" s="9"/>
      <c r="F159" s="9"/>
      <c r="G159" s="3"/>
      <c r="H159" s="3"/>
      <c r="I159" s="8"/>
      <c r="J159" s="3"/>
      <c r="K159" s="22"/>
      <c r="L159" s="3"/>
      <c r="M159" s="8"/>
      <c r="N159" s="8"/>
      <c r="O159" s="8"/>
      <c r="P159" s="3"/>
      <c r="Q159" s="3"/>
      <c r="R159" s="3"/>
    </row>
    <row r="160" spans="1:18">
      <c r="A160" s="14"/>
      <c r="B160" s="11"/>
      <c r="C160" s="12"/>
      <c r="D160" s="11"/>
      <c r="E160" s="11"/>
      <c r="F160" s="11"/>
      <c r="G160" s="3"/>
      <c r="H160" s="3"/>
      <c r="I160" s="8"/>
      <c r="J160" s="3"/>
      <c r="K160" s="22"/>
      <c r="L160" s="3"/>
      <c r="M160" s="8"/>
      <c r="N160" s="8"/>
      <c r="O160" s="8"/>
      <c r="P160" s="3"/>
      <c r="Q160" s="3"/>
      <c r="R160" s="3"/>
    </row>
    <row r="161" spans="1:18">
      <c r="A161" s="14"/>
      <c r="B161" s="9"/>
      <c r="C161" s="10"/>
      <c r="D161" s="9"/>
      <c r="E161" s="9"/>
      <c r="F161" s="9"/>
      <c r="G161" s="3"/>
      <c r="H161" s="3"/>
      <c r="I161" s="8"/>
      <c r="J161" s="3"/>
      <c r="K161" s="22"/>
      <c r="L161" s="3"/>
      <c r="M161" s="8"/>
      <c r="N161" s="8"/>
      <c r="O161" s="8"/>
      <c r="P161" s="3"/>
      <c r="Q161" s="3"/>
      <c r="R161" s="3"/>
    </row>
    <row r="162" spans="1:18">
      <c r="A162" s="14"/>
      <c r="B162" s="150" t="str">
        <f t="shared" ref="B162:B163" si="27">UPPER(H162)</f>
        <v xml:space="preserve">ASSET </v>
      </c>
      <c r="C162" s="141"/>
      <c r="D162" s="141"/>
      <c r="E162" s="141"/>
      <c r="F162" s="141"/>
      <c r="G162" s="28"/>
      <c r="H162" s="167" t="s">
        <v>208</v>
      </c>
      <c r="I162" s="141"/>
      <c r="J162" s="141"/>
      <c r="K162" s="141"/>
      <c r="L162" s="141"/>
      <c r="M162" s="8"/>
      <c r="N162" s="149" t="s">
        <v>818</v>
      </c>
      <c r="O162" s="141"/>
      <c r="P162" s="141"/>
      <c r="Q162" s="141"/>
      <c r="R162" s="141"/>
    </row>
    <row r="163" spans="1:18">
      <c r="A163" s="14"/>
      <c r="B163" s="146" t="str">
        <f t="shared" si="27"/>
        <v>THE MONK STUDIOS</v>
      </c>
      <c r="C163" s="141"/>
      <c r="D163" s="141"/>
      <c r="E163" s="141"/>
      <c r="F163" s="141"/>
      <c r="G163" s="3"/>
      <c r="H163" s="149" t="s">
        <v>202</v>
      </c>
      <c r="I163" s="141"/>
      <c r="J163" s="141"/>
      <c r="K163" s="141"/>
      <c r="L163" s="141"/>
      <c r="M163" s="8"/>
      <c r="N163" s="149" t="s">
        <v>202</v>
      </c>
      <c r="O163" s="141"/>
      <c r="P163" s="141"/>
      <c r="Q163" s="141"/>
      <c r="R163" s="141"/>
    </row>
    <row r="164" spans="1:18">
      <c r="A164" s="14"/>
      <c r="B164" s="9"/>
      <c r="C164" s="10"/>
      <c r="D164" s="9"/>
      <c r="E164" s="9"/>
      <c r="F164" s="9"/>
      <c r="G164" s="3"/>
      <c r="H164" s="3"/>
      <c r="I164" s="36"/>
      <c r="J164" s="3"/>
      <c r="K164" s="22"/>
      <c r="L164" s="3"/>
      <c r="M164" s="8"/>
      <c r="N164" s="3"/>
      <c r="O164" s="36"/>
      <c r="P164" s="3"/>
      <c r="Q164" s="22"/>
      <c r="R164" s="3"/>
    </row>
    <row r="165" spans="1:18">
      <c r="A165" s="14"/>
      <c r="B165" s="9"/>
      <c r="C165" s="10" t="str">
        <f t="shared" ref="C165:C177" si="28">UPPER(I165)</f>
        <v>RIG SUPERVISOR</v>
      </c>
      <c r="D165" s="9"/>
      <c r="E165" s="9" t="str">
        <f t="shared" ref="E165:E178" si="29">UPPER(K165)</f>
        <v>SORAWIT LIMKERTPOL</v>
      </c>
      <c r="F165" s="9"/>
      <c r="G165" s="3"/>
      <c r="H165" s="3"/>
      <c r="I165" s="36" t="s">
        <v>255</v>
      </c>
      <c r="J165" s="3"/>
      <c r="K165" s="31" t="s">
        <v>256</v>
      </c>
      <c r="L165" s="3"/>
      <c r="M165" s="8"/>
      <c r="N165" s="3"/>
      <c r="O165" s="36" t="s">
        <v>255</v>
      </c>
      <c r="P165" s="3"/>
      <c r="Q165" s="31" t="s">
        <v>256</v>
      </c>
      <c r="R165" s="3"/>
    </row>
    <row r="166" spans="1:18">
      <c r="A166" s="14"/>
      <c r="B166" s="9"/>
      <c r="C166" s="10" t="str">
        <f t="shared" si="28"/>
        <v/>
      </c>
      <c r="D166" s="9"/>
      <c r="E166" s="9" t="str">
        <f t="shared" si="29"/>
        <v/>
      </c>
      <c r="F166" s="9"/>
      <c r="G166" s="3"/>
      <c r="H166" s="3"/>
      <c r="I166" s="36"/>
      <c r="J166" s="3"/>
      <c r="K166" s="31"/>
      <c r="L166" s="3"/>
      <c r="M166" s="8"/>
      <c r="N166" s="3"/>
      <c r="O166" s="36"/>
      <c r="P166" s="3"/>
      <c r="Q166" s="31"/>
      <c r="R166" s="3"/>
    </row>
    <row r="167" spans="1:18">
      <c r="A167" s="14"/>
      <c r="B167" s="9"/>
      <c r="C167" s="10" t="str">
        <f t="shared" si="28"/>
        <v>RIG LEAD</v>
      </c>
      <c r="D167" s="9"/>
      <c r="E167" s="9" t="str">
        <f t="shared" si="29"/>
        <v>RATHTY PONGWORAPINIT</v>
      </c>
      <c r="F167" s="9"/>
      <c r="G167" s="3"/>
      <c r="H167" s="3"/>
      <c r="I167" s="36" t="s">
        <v>257</v>
      </c>
      <c r="J167" s="3"/>
      <c r="K167" s="31" t="s">
        <v>258</v>
      </c>
      <c r="L167" s="3"/>
      <c r="M167" s="8"/>
      <c r="N167" s="3"/>
      <c r="O167" s="36" t="s">
        <v>257</v>
      </c>
      <c r="P167" s="3"/>
      <c r="Q167" s="31" t="s">
        <v>258</v>
      </c>
      <c r="R167" s="3"/>
    </row>
    <row r="168" spans="1:18">
      <c r="A168" s="14"/>
      <c r="B168" s="9"/>
      <c r="C168" s="10" t="str">
        <f t="shared" si="28"/>
        <v/>
      </c>
      <c r="D168" s="9"/>
      <c r="E168" s="9" t="str">
        <f t="shared" si="29"/>
        <v>CHONNIKAN SONSAMRIT</v>
      </c>
      <c r="F168" s="9"/>
      <c r="G168" s="3"/>
      <c r="H168" s="3"/>
      <c r="I168" s="36"/>
      <c r="J168" s="3"/>
      <c r="K168" s="31" t="s">
        <v>259</v>
      </c>
      <c r="L168" s="3"/>
      <c r="M168" s="8"/>
      <c r="N168" s="3"/>
      <c r="O168" s="36"/>
      <c r="P168" s="3"/>
      <c r="Q168" s="31" t="s">
        <v>259</v>
      </c>
      <c r="R168" s="3"/>
    </row>
    <row r="169" spans="1:18">
      <c r="A169" s="14"/>
      <c r="B169" s="9"/>
      <c r="C169" s="10" t="str">
        <f t="shared" si="28"/>
        <v/>
      </c>
      <c r="D169" s="9"/>
      <c r="E169" s="9" t="str">
        <f t="shared" si="29"/>
        <v/>
      </c>
      <c r="F169" s="9"/>
      <c r="G169" s="3"/>
      <c r="H169" s="3"/>
      <c r="I169" s="36"/>
      <c r="J169" s="3"/>
      <c r="K169" s="31"/>
      <c r="L169" s="3"/>
      <c r="M169" s="8"/>
      <c r="N169" s="3"/>
      <c r="O169" s="36"/>
      <c r="P169" s="3"/>
      <c r="Q169" s="31"/>
      <c r="R169" s="3"/>
    </row>
    <row r="170" spans="1:18">
      <c r="A170" s="14"/>
      <c r="B170" s="9"/>
      <c r="C170" s="10" t="str">
        <f t="shared" si="28"/>
        <v>RIG ARTIST</v>
      </c>
      <c r="D170" s="9"/>
      <c r="E170" s="9" t="str">
        <f t="shared" si="29"/>
        <v>ALI RAZA</v>
      </c>
      <c r="F170" s="9"/>
      <c r="G170" s="3"/>
      <c r="H170" s="3"/>
      <c r="I170" s="36" t="s">
        <v>260</v>
      </c>
      <c r="J170" s="3"/>
      <c r="K170" s="31" t="s">
        <v>261</v>
      </c>
      <c r="L170" s="3"/>
      <c r="M170" s="8"/>
      <c r="N170" s="3"/>
      <c r="O170" s="36" t="s">
        <v>260</v>
      </c>
      <c r="P170" s="3"/>
      <c r="Q170" s="31" t="s">
        <v>261</v>
      </c>
      <c r="R170" s="3"/>
    </row>
    <row r="171" spans="1:18">
      <c r="A171" s="14"/>
      <c r="B171" s="9"/>
      <c r="C171" s="10" t="str">
        <f t="shared" si="28"/>
        <v/>
      </c>
      <c r="D171" s="9"/>
      <c r="E171" s="9" t="str">
        <f t="shared" si="29"/>
        <v>BHUMINAT CHATURAMETHANONT</v>
      </c>
      <c r="F171" s="9"/>
      <c r="G171" s="3"/>
      <c r="H171" s="3"/>
      <c r="I171" s="8"/>
      <c r="J171" s="3"/>
      <c r="K171" s="31" t="s">
        <v>262</v>
      </c>
      <c r="L171" s="3"/>
      <c r="M171" s="8"/>
      <c r="N171" s="3"/>
      <c r="O171" s="8"/>
      <c r="P171" s="3"/>
      <c r="Q171" s="31" t="s">
        <v>262</v>
      </c>
      <c r="R171" s="3"/>
    </row>
    <row r="172" spans="1:18">
      <c r="A172" s="14"/>
      <c r="B172" s="9"/>
      <c r="C172" s="10" t="str">
        <f t="shared" si="28"/>
        <v/>
      </c>
      <c r="D172" s="9"/>
      <c r="E172" s="9" t="str">
        <f t="shared" si="29"/>
        <v>KRITTAPAD DEJJEENMUANG</v>
      </c>
      <c r="F172" s="9"/>
      <c r="G172" s="3"/>
      <c r="H172" s="3"/>
      <c r="I172" s="8"/>
      <c r="J172" s="3"/>
      <c r="K172" s="31" t="s">
        <v>263</v>
      </c>
      <c r="L172" s="3"/>
      <c r="M172" s="8"/>
      <c r="N172" s="3"/>
      <c r="O172" s="8"/>
      <c r="P172" s="3"/>
      <c r="Q172" s="31" t="s">
        <v>263</v>
      </c>
      <c r="R172" s="3"/>
    </row>
    <row r="173" spans="1:18">
      <c r="A173" s="14"/>
      <c r="B173" s="9"/>
      <c r="C173" s="10" t="str">
        <f t="shared" si="28"/>
        <v/>
      </c>
      <c r="D173" s="9"/>
      <c r="E173" s="9" t="str">
        <f t="shared" si="29"/>
        <v>ANAWIN SARNMOUNG</v>
      </c>
      <c r="F173" s="9"/>
      <c r="G173" s="3"/>
      <c r="H173" s="3"/>
      <c r="I173" s="8"/>
      <c r="J173" s="3"/>
      <c r="K173" s="31" t="s">
        <v>264</v>
      </c>
      <c r="L173" s="3"/>
      <c r="M173" s="8"/>
      <c r="N173" s="3"/>
      <c r="O173" s="8"/>
      <c r="P173" s="3"/>
      <c r="Q173" s="31" t="s">
        <v>264</v>
      </c>
      <c r="R173" s="3"/>
    </row>
    <row r="174" spans="1:18">
      <c r="A174" s="14"/>
      <c r="B174" s="9"/>
      <c r="C174" s="10" t="str">
        <f t="shared" si="28"/>
        <v/>
      </c>
      <c r="D174" s="9"/>
      <c r="E174" s="9" t="str">
        <f t="shared" si="29"/>
        <v>CHANYA KANICHAPONG</v>
      </c>
      <c r="F174" s="9"/>
      <c r="G174" s="3"/>
      <c r="H174" s="3"/>
      <c r="I174" s="8"/>
      <c r="J174" s="3"/>
      <c r="K174" s="31" t="s">
        <v>265</v>
      </c>
      <c r="L174" s="3"/>
      <c r="M174" s="8"/>
      <c r="N174" s="3"/>
      <c r="O174" s="8"/>
      <c r="P174" s="3"/>
      <c r="Q174" s="31" t="s">
        <v>265</v>
      </c>
      <c r="R174" s="3"/>
    </row>
    <row r="175" spans="1:18">
      <c r="A175" s="14"/>
      <c r="B175" s="9"/>
      <c r="C175" s="10" t="str">
        <f t="shared" si="28"/>
        <v/>
      </c>
      <c r="D175" s="9"/>
      <c r="E175" s="9" t="str">
        <f t="shared" si="29"/>
        <v>JIRAYUT JAIKLA</v>
      </c>
      <c r="F175" s="9"/>
      <c r="G175" s="3"/>
      <c r="H175" s="3"/>
      <c r="I175" s="8"/>
      <c r="J175" s="3"/>
      <c r="K175" s="31" t="s">
        <v>266</v>
      </c>
      <c r="L175" s="3"/>
      <c r="M175" s="8"/>
      <c r="N175" s="3"/>
      <c r="O175" s="8"/>
      <c r="P175" s="3"/>
      <c r="Q175" s="31" t="s">
        <v>266</v>
      </c>
      <c r="R175" s="3"/>
    </row>
    <row r="176" spans="1:18">
      <c r="A176" s="14"/>
      <c r="B176" s="9"/>
      <c r="C176" s="10" t="str">
        <f t="shared" si="28"/>
        <v/>
      </c>
      <c r="D176" s="9"/>
      <c r="E176" s="9" t="str">
        <f t="shared" si="29"/>
        <v>NANTAPAK PRUANGKARN</v>
      </c>
      <c r="F176" s="9"/>
      <c r="G176" s="3"/>
      <c r="H176" s="3"/>
      <c r="I176" s="8"/>
      <c r="J176" s="3"/>
      <c r="K176" s="31" t="s">
        <v>267</v>
      </c>
      <c r="L176" s="3"/>
      <c r="M176" s="8"/>
      <c r="N176" s="3"/>
      <c r="O176" s="8"/>
      <c r="P176" s="3"/>
      <c r="Q176" s="31" t="s">
        <v>267</v>
      </c>
      <c r="R176" s="3"/>
    </row>
    <row r="177" spans="1:18">
      <c r="A177" s="14"/>
      <c r="B177" s="9"/>
      <c r="C177" s="10" t="str">
        <f t="shared" si="28"/>
        <v/>
      </c>
      <c r="D177" s="9"/>
      <c r="E177" s="9" t="str">
        <f t="shared" si="29"/>
        <v>PANCHANOK CHOMCHUEN</v>
      </c>
      <c r="F177" s="9"/>
      <c r="G177" s="3"/>
      <c r="H177" s="3"/>
      <c r="I177" s="8"/>
      <c r="J177" s="3"/>
      <c r="K177" s="31" t="s">
        <v>268</v>
      </c>
      <c r="L177" s="3"/>
      <c r="M177" s="8"/>
      <c r="N177" s="3"/>
      <c r="O177" s="8"/>
      <c r="P177" s="3"/>
      <c r="Q177" s="31" t="s">
        <v>268</v>
      </c>
      <c r="R177" s="3"/>
    </row>
    <row r="178" spans="1:18">
      <c r="A178" s="14"/>
      <c r="B178" s="9"/>
      <c r="C178" s="10"/>
      <c r="D178" s="9"/>
      <c r="E178" s="9" t="str">
        <f t="shared" si="29"/>
        <v>TAWEEWAT TAWEEPASAS</v>
      </c>
      <c r="F178" s="9"/>
      <c r="G178" s="3"/>
      <c r="H178" s="3"/>
      <c r="I178" s="8"/>
      <c r="J178" s="3"/>
      <c r="K178" s="31" t="s">
        <v>269</v>
      </c>
      <c r="L178" s="3"/>
      <c r="M178" s="8"/>
      <c r="N178" s="3"/>
      <c r="O178" s="8"/>
      <c r="P178" s="3"/>
      <c r="Q178" s="31" t="s">
        <v>269</v>
      </c>
      <c r="R178" s="3"/>
    </row>
    <row r="179" spans="1:18">
      <c r="A179" s="14"/>
      <c r="B179" s="9"/>
      <c r="C179" s="10"/>
      <c r="D179" s="9"/>
      <c r="E179" s="9"/>
      <c r="F179" s="9"/>
      <c r="G179" s="3"/>
      <c r="H179" s="3"/>
      <c r="I179" s="36"/>
      <c r="J179" s="3"/>
      <c r="K179" s="31"/>
      <c r="L179" s="3"/>
      <c r="M179" s="8"/>
      <c r="N179" s="8"/>
      <c r="O179" s="8"/>
      <c r="P179" s="3"/>
      <c r="Q179" s="3"/>
      <c r="R179" s="3"/>
    </row>
    <row r="180" spans="1:18">
      <c r="A180" s="14"/>
      <c r="B180" s="11"/>
      <c r="C180" s="12"/>
      <c r="D180" s="11"/>
      <c r="E180" s="11"/>
      <c r="F180" s="11"/>
      <c r="G180" s="3"/>
      <c r="H180" s="3"/>
      <c r="I180" s="36"/>
      <c r="J180" s="3"/>
      <c r="K180" s="31"/>
      <c r="L180" s="3"/>
      <c r="M180" s="8"/>
      <c r="N180" s="8"/>
      <c r="O180" s="8"/>
      <c r="P180" s="3"/>
      <c r="Q180" s="3"/>
      <c r="R180" s="3"/>
    </row>
    <row r="181" spans="1:18">
      <c r="A181" s="14"/>
      <c r="B181" s="9"/>
      <c r="C181" s="10"/>
      <c r="D181" s="9"/>
      <c r="E181" s="9"/>
      <c r="F181" s="9"/>
      <c r="G181" s="3"/>
      <c r="H181" s="3"/>
      <c r="I181" s="36"/>
      <c r="J181" s="3"/>
      <c r="K181" s="31"/>
      <c r="L181" s="3"/>
      <c r="M181" s="8"/>
      <c r="N181" s="8"/>
      <c r="O181" s="8"/>
      <c r="P181" s="3"/>
      <c r="Q181" s="3"/>
      <c r="R181" s="3"/>
    </row>
    <row r="182" spans="1:18">
      <c r="A182" s="14"/>
      <c r="B182" s="150" t="str">
        <f t="shared" ref="B182:B183" si="30">UPPER(H182)</f>
        <v xml:space="preserve">ASSET </v>
      </c>
      <c r="C182" s="141"/>
      <c r="D182" s="141"/>
      <c r="E182" s="141"/>
      <c r="F182" s="141"/>
      <c r="G182" s="28"/>
      <c r="H182" s="167" t="s">
        <v>208</v>
      </c>
      <c r="I182" s="141"/>
      <c r="J182" s="141"/>
      <c r="K182" s="141"/>
      <c r="L182" s="141"/>
      <c r="M182" s="8"/>
      <c r="N182" s="149" t="s">
        <v>818</v>
      </c>
      <c r="O182" s="141"/>
      <c r="P182" s="141"/>
      <c r="Q182" s="141"/>
      <c r="R182" s="141"/>
    </row>
    <row r="183" spans="1:18">
      <c r="A183" s="14"/>
      <c r="B183" s="146" t="str">
        <f t="shared" si="30"/>
        <v>THE MONK STUDIOS</v>
      </c>
      <c r="C183" s="141"/>
      <c r="D183" s="141"/>
      <c r="E183" s="141"/>
      <c r="F183" s="141"/>
      <c r="G183" s="3"/>
      <c r="H183" s="149" t="s">
        <v>202</v>
      </c>
      <c r="I183" s="141"/>
      <c r="J183" s="141"/>
      <c r="K183" s="141"/>
      <c r="L183" s="141"/>
      <c r="M183" s="8"/>
      <c r="N183" s="149" t="s">
        <v>202</v>
      </c>
      <c r="O183" s="141"/>
      <c r="P183" s="141"/>
      <c r="Q183" s="141"/>
      <c r="R183" s="141"/>
    </row>
    <row r="184" spans="1:18">
      <c r="A184" s="14"/>
      <c r="B184" s="9"/>
      <c r="C184" s="10"/>
      <c r="D184" s="9"/>
      <c r="E184" s="9"/>
      <c r="F184" s="9"/>
      <c r="G184" s="3"/>
      <c r="H184" s="3"/>
      <c r="I184" s="36"/>
      <c r="J184" s="3"/>
      <c r="K184" s="31"/>
      <c r="L184" s="3"/>
      <c r="M184" s="8"/>
      <c r="N184" s="3"/>
      <c r="O184" s="36"/>
      <c r="P184" s="3"/>
      <c r="Q184" s="31"/>
      <c r="R184" s="3"/>
    </row>
    <row r="185" spans="1:18">
      <c r="A185" s="14"/>
      <c r="B185" s="9"/>
      <c r="C185" s="10" t="str">
        <f>UPPER(I185)</f>
        <v>GROOMING SUPERVISOR</v>
      </c>
      <c r="D185" s="9"/>
      <c r="E185" s="9" t="str">
        <f>UPPER(K185)</f>
        <v>PHURINUT TANGCHAROEN</v>
      </c>
      <c r="F185" s="9"/>
      <c r="G185" s="3"/>
      <c r="H185" s="3"/>
      <c r="I185" s="36" t="s">
        <v>270</v>
      </c>
      <c r="J185" s="3"/>
      <c r="K185" s="31" t="s">
        <v>271</v>
      </c>
      <c r="L185" s="3"/>
      <c r="M185" s="8"/>
      <c r="N185" s="3"/>
      <c r="O185" s="36" t="s">
        <v>270</v>
      </c>
      <c r="P185" s="3"/>
      <c r="Q185" s="31" t="s">
        <v>271</v>
      </c>
      <c r="R185" s="3"/>
    </row>
    <row r="186" spans="1:18">
      <c r="A186" s="14"/>
      <c r="B186" s="9"/>
      <c r="C186" s="10"/>
      <c r="D186" s="9"/>
      <c r="E186" s="9"/>
      <c r="F186" s="9"/>
      <c r="G186" s="3"/>
      <c r="H186" s="3"/>
      <c r="I186" s="36"/>
      <c r="J186" s="3"/>
      <c r="K186" s="31"/>
      <c r="L186" s="3"/>
      <c r="M186" s="8"/>
      <c r="N186" s="3"/>
      <c r="O186" s="36"/>
      <c r="P186" s="3"/>
      <c r="Q186" s="31"/>
      <c r="R186" s="3"/>
    </row>
    <row r="187" spans="1:18">
      <c r="A187" s="14"/>
      <c r="B187" s="9"/>
      <c r="C187" s="10" t="str">
        <f t="shared" ref="C187:C190" si="31">UPPER(I187)</f>
        <v>GROOMING ARTIST</v>
      </c>
      <c r="D187" s="9"/>
      <c r="E187" s="9" t="str">
        <f t="shared" ref="E187:E191" si="32">UPPER(K187)</f>
        <v>BUDSARAPORN WAICHUENCHORM</v>
      </c>
      <c r="F187" s="9"/>
      <c r="G187" s="3"/>
      <c r="H187" s="3"/>
      <c r="I187" s="36" t="s">
        <v>272</v>
      </c>
      <c r="J187" s="3"/>
      <c r="K187" s="31" t="s">
        <v>273</v>
      </c>
      <c r="L187" s="3"/>
      <c r="M187" s="8"/>
      <c r="N187" s="3"/>
      <c r="O187" s="36" t="s">
        <v>272</v>
      </c>
      <c r="P187" s="3"/>
      <c r="Q187" s="31" t="s">
        <v>273</v>
      </c>
      <c r="R187" s="3"/>
    </row>
    <row r="188" spans="1:18">
      <c r="A188" s="14"/>
      <c r="B188" s="9"/>
      <c r="C188" s="10" t="str">
        <f t="shared" si="31"/>
        <v/>
      </c>
      <c r="D188" s="9"/>
      <c r="E188" s="9" t="str">
        <f t="shared" si="32"/>
        <v>PRAEWPAN SAEPUNG</v>
      </c>
      <c r="F188" s="9"/>
      <c r="G188" s="3"/>
      <c r="H188" s="3"/>
      <c r="I188" s="8"/>
      <c r="J188" s="3"/>
      <c r="K188" s="39" t="s">
        <v>274</v>
      </c>
      <c r="L188" s="3"/>
      <c r="M188" s="8"/>
      <c r="N188" s="3"/>
      <c r="O188" s="8"/>
      <c r="P188" s="3"/>
      <c r="Q188" s="39" t="s">
        <v>274</v>
      </c>
      <c r="R188" s="3"/>
    </row>
    <row r="189" spans="1:18">
      <c r="A189" s="14"/>
      <c r="B189" s="9"/>
      <c r="C189" s="10" t="str">
        <f t="shared" si="31"/>
        <v/>
      </c>
      <c r="D189" s="9"/>
      <c r="E189" s="9" t="str">
        <f t="shared" si="32"/>
        <v>VANLIPHA KAEWKHAO</v>
      </c>
      <c r="F189" s="9"/>
      <c r="G189" s="3"/>
      <c r="H189" s="3"/>
      <c r="I189" s="8"/>
      <c r="J189" s="3"/>
      <c r="K189" s="31" t="s">
        <v>275</v>
      </c>
      <c r="L189" s="3"/>
      <c r="M189" s="8"/>
      <c r="N189" s="3"/>
      <c r="O189" s="8"/>
      <c r="P189" s="3"/>
      <c r="Q189" s="31" t="s">
        <v>275</v>
      </c>
      <c r="R189" s="3"/>
    </row>
    <row r="190" spans="1:18">
      <c r="A190" s="14"/>
      <c r="B190" s="9"/>
      <c r="C190" s="10" t="str">
        <f t="shared" si="31"/>
        <v/>
      </c>
      <c r="D190" s="9"/>
      <c r="E190" s="9" t="str">
        <f t="shared" si="32"/>
        <v>PATIPARN KAWINCHAN</v>
      </c>
      <c r="F190" s="9"/>
      <c r="G190" s="3"/>
      <c r="H190" s="3"/>
      <c r="I190" s="8"/>
      <c r="J190" s="3"/>
      <c r="K190" s="31" t="s">
        <v>276</v>
      </c>
      <c r="L190" s="3"/>
      <c r="M190" s="8"/>
      <c r="N190" s="3"/>
      <c r="O190" s="8"/>
      <c r="P190" s="3"/>
      <c r="Q190" s="31" t="s">
        <v>276</v>
      </c>
      <c r="R190" s="3"/>
    </row>
    <row r="191" spans="1:18">
      <c r="A191" s="14"/>
      <c r="B191" s="9"/>
      <c r="C191" s="10"/>
      <c r="D191" s="9"/>
      <c r="E191" s="9" t="str">
        <f t="shared" si="32"/>
        <v>YOTIN TONGBANTURNG</v>
      </c>
      <c r="F191" s="9"/>
      <c r="G191" s="3"/>
      <c r="H191" s="3"/>
      <c r="I191" s="8"/>
      <c r="J191" s="3"/>
      <c r="K191" s="31" t="s">
        <v>277</v>
      </c>
      <c r="L191" s="3"/>
      <c r="M191" s="8"/>
      <c r="N191" s="3"/>
      <c r="O191" s="8"/>
      <c r="P191" s="3"/>
      <c r="Q191" s="31" t="s">
        <v>277</v>
      </c>
      <c r="R191" s="3"/>
    </row>
    <row r="192" spans="1:18">
      <c r="A192" s="14"/>
      <c r="B192" s="9"/>
      <c r="C192" s="10"/>
      <c r="D192" s="9"/>
      <c r="E192" s="9"/>
      <c r="F192" s="9"/>
      <c r="G192" s="3"/>
      <c r="H192" s="3"/>
      <c r="I192" s="8"/>
      <c r="J192" s="3"/>
      <c r="K192" s="31"/>
      <c r="L192" s="3"/>
      <c r="M192" s="8"/>
      <c r="N192" s="8"/>
      <c r="O192" s="8"/>
      <c r="P192" s="3"/>
      <c r="Q192" s="3"/>
      <c r="R192" s="3"/>
    </row>
    <row r="193" spans="1:18">
      <c r="A193" s="14"/>
      <c r="B193" s="11"/>
      <c r="C193" s="12"/>
      <c r="D193" s="11"/>
      <c r="E193" s="11"/>
      <c r="F193" s="11"/>
      <c r="G193" s="3"/>
      <c r="H193" s="3"/>
      <c r="I193" s="8"/>
      <c r="J193" s="3"/>
      <c r="K193" s="31"/>
      <c r="L193" s="3"/>
      <c r="M193" s="8"/>
      <c r="N193" s="8"/>
      <c r="O193" s="8"/>
      <c r="P193" s="3"/>
      <c r="Q193" s="3"/>
      <c r="R193" s="3"/>
    </row>
    <row r="194" spans="1:18">
      <c r="A194" s="14"/>
      <c r="B194" s="9"/>
      <c r="C194" s="10"/>
      <c r="D194" s="9"/>
      <c r="E194" s="9"/>
      <c r="F194" s="9"/>
      <c r="G194" s="3"/>
      <c r="H194" s="3"/>
      <c r="I194" s="8"/>
      <c r="J194" s="3"/>
      <c r="K194" s="31"/>
      <c r="L194" s="3"/>
      <c r="M194" s="8"/>
      <c r="N194" s="8"/>
      <c r="O194" s="8"/>
      <c r="P194" s="3"/>
      <c r="Q194" s="3"/>
      <c r="R194" s="3"/>
    </row>
    <row r="195" spans="1:18">
      <c r="A195" s="14"/>
      <c r="B195" s="150" t="str">
        <f>UPPER(H195)</f>
        <v>LAYOUT</v>
      </c>
      <c r="C195" s="141"/>
      <c r="D195" s="141"/>
      <c r="E195" s="141"/>
      <c r="F195" s="141"/>
      <c r="G195" s="28"/>
      <c r="H195" s="167" t="s">
        <v>278</v>
      </c>
      <c r="I195" s="141"/>
      <c r="J195" s="141"/>
      <c r="K195" s="141"/>
      <c r="L195" s="141"/>
      <c r="M195" s="29"/>
      <c r="N195" s="149" t="s">
        <v>829</v>
      </c>
      <c r="O195" s="141"/>
      <c r="P195" s="141"/>
      <c r="Q195" s="141"/>
      <c r="R195" s="141"/>
    </row>
    <row r="196" spans="1:18">
      <c r="A196" s="14"/>
      <c r="B196" s="9"/>
      <c r="C196" s="10" t="str">
        <f>UPPER(I196)</f>
        <v>LAYOUT DIRECTOR</v>
      </c>
      <c r="D196" s="9"/>
      <c r="E196" s="9" t="str">
        <f>UPPER(K196)</f>
        <v>KYUNGMIN KIM</v>
      </c>
      <c r="F196" s="9"/>
      <c r="G196" s="3"/>
      <c r="H196" s="3"/>
      <c r="I196" s="8" t="s">
        <v>279</v>
      </c>
      <c r="J196" s="3"/>
      <c r="K196" s="3" t="s">
        <v>280</v>
      </c>
      <c r="L196" s="3"/>
      <c r="M196" s="8"/>
      <c r="N196" s="8"/>
      <c r="O196" s="21" t="s">
        <v>830</v>
      </c>
      <c r="P196" s="3"/>
      <c r="Q196" s="3" t="s">
        <v>831</v>
      </c>
      <c r="R196" s="3"/>
    </row>
    <row r="197" spans="1:18">
      <c r="A197" s="14"/>
      <c r="B197" s="9"/>
      <c r="C197" s="10"/>
      <c r="D197" s="9"/>
      <c r="E197" s="9"/>
      <c r="F197" s="9"/>
      <c r="G197" s="3"/>
      <c r="H197" s="3"/>
      <c r="I197" s="8"/>
      <c r="J197" s="3"/>
      <c r="K197" s="31"/>
      <c r="L197" s="3"/>
      <c r="M197" s="8"/>
      <c r="N197" s="8"/>
      <c r="O197" s="8"/>
      <c r="P197" s="3"/>
      <c r="Q197" s="3"/>
      <c r="R197" s="3"/>
    </row>
    <row r="198" spans="1:18">
      <c r="A198" s="14"/>
      <c r="B198" s="9"/>
      <c r="C198" s="10"/>
      <c r="D198" s="9"/>
      <c r="E198" s="9"/>
      <c r="F198" s="9"/>
      <c r="G198" s="3"/>
      <c r="H198" s="3"/>
      <c r="I198" s="8"/>
      <c r="J198" s="3"/>
      <c r="K198" s="31"/>
      <c r="L198" s="3"/>
      <c r="M198" s="8"/>
      <c r="N198" s="8"/>
      <c r="O198" s="8"/>
      <c r="P198" s="3"/>
      <c r="Q198" s="3"/>
      <c r="R198" s="3"/>
    </row>
    <row r="199" spans="1:18">
      <c r="A199" s="14"/>
      <c r="B199" s="146" t="str">
        <f>UPPER(H199)</f>
        <v>THE MONK STUDIOS</v>
      </c>
      <c r="C199" s="141"/>
      <c r="D199" s="141"/>
      <c r="E199" s="141"/>
      <c r="F199" s="141"/>
      <c r="G199" s="3"/>
      <c r="H199" s="149" t="s">
        <v>202</v>
      </c>
      <c r="I199" s="141"/>
      <c r="J199" s="141"/>
      <c r="K199" s="141"/>
      <c r="L199" s="141"/>
      <c r="M199" s="8"/>
      <c r="N199" s="149" t="s">
        <v>202</v>
      </c>
      <c r="O199" s="141"/>
      <c r="P199" s="141"/>
      <c r="Q199" s="141"/>
      <c r="R199" s="141"/>
    </row>
    <row r="200" spans="1:18">
      <c r="A200" s="14"/>
      <c r="B200" s="9"/>
      <c r="C200" s="10" t="str">
        <f>UPPER(I200)</f>
        <v>LAYOUT SUPERVISOR</v>
      </c>
      <c r="D200" s="9"/>
      <c r="E200" s="9" t="str">
        <f>UPPER(K200)</f>
        <v>ANUSART SUPCHAROENCHAI</v>
      </c>
      <c r="F200" s="9"/>
      <c r="G200" s="3"/>
      <c r="H200" s="3"/>
      <c r="I200" s="36" t="s">
        <v>281</v>
      </c>
      <c r="J200" s="3"/>
      <c r="K200" s="31" t="s">
        <v>681</v>
      </c>
      <c r="L200" s="3"/>
      <c r="M200" s="8"/>
      <c r="N200" s="3"/>
      <c r="O200" s="36" t="s">
        <v>281</v>
      </c>
      <c r="P200" s="3"/>
      <c r="Q200" s="31" t="s">
        <v>282</v>
      </c>
      <c r="R200" s="3"/>
    </row>
    <row r="201" spans="1:18">
      <c r="A201" s="14"/>
      <c r="B201" s="9"/>
      <c r="C201" s="10"/>
      <c r="D201" s="9"/>
      <c r="E201" s="9"/>
      <c r="F201" s="9"/>
      <c r="G201" s="3"/>
      <c r="H201" s="3"/>
      <c r="I201" s="36"/>
      <c r="J201" s="3"/>
      <c r="K201" s="31"/>
      <c r="L201" s="3"/>
      <c r="M201" s="8"/>
      <c r="N201" s="3"/>
      <c r="O201" s="36"/>
      <c r="P201" s="3"/>
      <c r="Q201" s="31"/>
      <c r="R201" s="3"/>
    </row>
    <row r="202" spans="1:18">
      <c r="A202" s="14"/>
      <c r="B202" s="9"/>
      <c r="C202" s="10" t="str">
        <f t="shared" ref="C202:C207" si="33">UPPER(I202)</f>
        <v>LAYOUT ARTIST</v>
      </c>
      <c r="D202" s="9"/>
      <c r="E202" s="9" t="str">
        <f t="shared" ref="E202:E207" si="34">UPPER(K202)</f>
        <v>PHATCHARA CHATTUPOT</v>
      </c>
      <c r="F202" s="9"/>
      <c r="G202" s="3"/>
      <c r="H202" s="3"/>
      <c r="I202" s="36" t="s">
        <v>283</v>
      </c>
      <c r="J202" s="3"/>
      <c r="K202" s="31" t="s">
        <v>682</v>
      </c>
      <c r="L202" s="3"/>
      <c r="M202" s="8"/>
      <c r="N202" s="3"/>
      <c r="O202" s="36" t="s">
        <v>283</v>
      </c>
      <c r="P202" s="3"/>
      <c r="Q202" s="31" t="s">
        <v>682</v>
      </c>
      <c r="R202" s="3"/>
    </row>
    <row r="203" spans="1:18">
      <c r="A203" s="14"/>
      <c r="B203" s="9"/>
      <c r="C203" s="10" t="str">
        <f t="shared" si="33"/>
        <v/>
      </c>
      <c r="D203" s="9"/>
      <c r="E203" s="9" t="str">
        <f t="shared" si="34"/>
        <v>PHATTARAPON CHOORUJIPORN</v>
      </c>
      <c r="F203" s="9"/>
      <c r="G203" s="3"/>
      <c r="H203" s="3"/>
      <c r="I203" s="8"/>
      <c r="J203" s="3"/>
      <c r="K203" s="31" t="s">
        <v>683</v>
      </c>
      <c r="L203" s="3"/>
      <c r="M203" s="8"/>
      <c r="N203" s="3"/>
      <c r="O203" s="8"/>
      <c r="P203" s="3"/>
      <c r="Q203" s="31" t="s">
        <v>683</v>
      </c>
      <c r="R203" s="3"/>
    </row>
    <row r="204" spans="1:18">
      <c r="A204" s="14"/>
      <c r="B204" s="9"/>
      <c r="C204" s="10" t="str">
        <f t="shared" si="33"/>
        <v/>
      </c>
      <c r="D204" s="9"/>
      <c r="E204" s="9" t="str">
        <f t="shared" si="34"/>
        <v>WITCHAYUT PIAMBANCHONG</v>
      </c>
      <c r="F204" s="9"/>
      <c r="G204" s="3"/>
      <c r="H204" s="3"/>
      <c r="I204" s="8"/>
      <c r="J204" s="3"/>
      <c r="K204" s="31" t="s">
        <v>684</v>
      </c>
      <c r="L204" s="3"/>
      <c r="M204" s="8"/>
      <c r="N204" s="3"/>
      <c r="O204" s="8"/>
      <c r="P204" s="3"/>
      <c r="Q204" s="31" t="s">
        <v>684</v>
      </c>
      <c r="R204" s="3"/>
    </row>
    <row r="205" spans="1:18">
      <c r="A205" s="14"/>
      <c r="B205" s="9"/>
      <c r="C205" s="10" t="str">
        <f t="shared" si="33"/>
        <v/>
      </c>
      <c r="D205" s="9"/>
      <c r="E205" s="9" t="str">
        <f t="shared" si="34"/>
        <v>NUTCHA LAOHAPATCHARIN</v>
      </c>
      <c r="F205" s="9"/>
      <c r="G205" s="3"/>
      <c r="H205" s="3"/>
      <c r="I205" s="8"/>
      <c r="J205" s="3"/>
      <c r="K205" s="31" t="s">
        <v>685</v>
      </c>
      <c r="L205" s="3"/>
      <c r="M205" s="8"/>
      <c r="N205" s="3"/>
      <c r="O205" s="8"/>
      <c r="P205" s="3"/>
      <c r="Q205" s="31" t="s">
        <v>685</v>
      </c>
      <c r="R205" s="3"/>
    </row>
    <row r="206" spans="1:18">
      <c r="A206" s="14"/>
      <c r="B206" s="9"/>
      <c r="C206" s="10" t="str">
        <f t="shared" si="33"/>
        <v/>
      </c>
      <c r="D206" s="9"/>
      <c r="E206" s="9" t="str">
        <f t="shared" si="34"/>
        <v>PHATCHARAPOOM DAIDEE</v>
      </c>
      <c r="F206" s="9"/>
      <c r="G206" s="3"/>
      <c r="H206" s="3"/>
      <c r="I206" s="8"/>
      <c r="J206" s="3"/>
      <c r="K206" s="31" t="s">
        <v>686</v>
      </c>
      <c r="L206" s="3"/>
      <c r="M206" s="8"/>
      <c r="N206" s="3"/>
      <c r="O206" s="8"/>
      <c r="P206" s="3"/>
      <c r="Q206" s="31" t="s">
        <v>686</v>
      </c>
      <c r="R206" s="3"/>
    </row>
    <row r="207" spans="1:18">
      <c r="A207" s="14"/>
      <c r="B207" s="9"/>
      <c r="C207" s="10" t="str">
        <f t="shared" si="33"/>
        <v/>
      </c>
      <c r="D207" s="9"/>
      <c r="E207" s="9" t="str">
        <f t="shared" si="34"/>
        <v/>
      </c>
      <c r="F207" s="9"/>
      <c r="G207" s="3"/>
      <c r="H207" s="3"/>
      <c r="I207" s="8"/>
      <c r="J207" s="3"/>
      <c r="K207" s="31"/>
      <c r="L207" s="3"/>
      <c r="M207" s="8"/>
      <c r="N207" s="3"/>
      <c r="O207" s="8"/>
      <c r="P207" s="3"/>
      <c r="Q207" s="31" t="s">
        <v>289</v>
      </c>
      <c r="R207" s="3"/>
    </row>
    <row r="208" spans="1:18">
      <c r="A208" s="14"/>
      <c r="B208" s="11"/>
      <c r="C208" s="12"/>
      <c r="D208" s="11"/>
      <c r="E208" s="11"/>
      <c r="F208" s="11"/>
      <c r="G208" s="3"/>
      <c r="H208" s="3"/>
      <c r="I208" s="8"/>
      <c r="J208" s="3"/>
      <c r="K208" s="13"/>
      <c r="L208" s="3"/>
      <c r="M208" s="8"/>
      <c r="N208" s="8"/>
      <c r="O208" s="8"/>
      <c r="P208" s="3"/>
      <c r="Q208" s="3"/>
      <c r="R208" s="3"/>
    </row>
    <row r="209" spans="1:18">
      <c r="A209" s="14"/>
      <c r="B209" s="6"/>
      <c r="C209" s="6"/>
      <c r="D209" s="6"/>
      <c r="E209" s="6"/>
      <c r="F209" s="6"/>
      <c r="G209" s="3"/>
      <c r="H209" s="7"/>
      <c r="I209" s="8"/>
      <c r="J209" s="7"/>
      <c r="K209" s="13"/>
      <c r="L209" s="7"/>
      <c r="M209" s="8"/>
      <c r="N209" s="8"/>
      <c r="O209" s="8"/>
      <c r="P209" s="3"/>
      <c r="Q209" s="3"/>
      <c r="R209" s="3"/>
    </row>
    <row r="210" spans="1:18">
      <c r="A210" s="14"/>
      <c r="B210" s="150" t="str">
        <f>UPPER(H210)</f>
        <v>ANIMATION</v>
      </c>
      <c r="C210" s="141"/>
      <c r="D210" s="141"/>
      <c r="E210" s="141"/>
      <c r="F210" s="141"/>
      <c r="G210" s="28"/>
      <c r="H210" s="167" t="s">
        <v>290</v>
      </c>
      <c r="I210" s="141"/>
      <c r="J210" s="141"/>
      <c r="K210" s="141"/>
      <c r="L210" s="141"/>
      <c r="M210" s="29"/>
      <c r="N210" s="149" t="s">
        <v>832</v>
      </c>
      <c r="O210" s="141"/>
      <c r="P210" s="141"/>
      <c r="Q210" s="141"/>
      <c r="R210" s="141"/>
    </row>
    <row r="211" spans="1:18">
      <c r="A211" s="14"/>
      <c r="B211" s="9"/>
      <c r="C211" s="10" t="str">
        <f>UPPER(I211)</f>
        <v>ANIMATION DIRECTOR</v>
      </c>
      <c r="D211" s="9"/>
      <c r="E211" s="9" t="str">
        <f>UPPER(K211)</f>
        <v>JONGEUN LEE</v>
      </c>
      <c r="F211" s="9"/>
      <c r="G211" s="3"/>
      <c r="H211" s="3"/>
      <c r="I211" s="8" t="s">
        <v>291</v>
      </c>
      <c r="J211" s="3"/>
      <c r="K211" s="3" t="s">
        <v>292</v>
      </c>
      <c r="L211" s="3"/>
      <c r="M211" s="8"/>
      <c r="N211" s="3"/>
      <c r="O211" s="8" t="s">
        <v>833</v>
      </c>
      <c r="P211" s="3"/>
      <c r="Q211" s="3" t="s">
        <v>834</v>
      </c>
      <c r="R211" s="3"/>
    </row>
    <row r="212" spans="1:18">
      <c r="A212" s="14"/>
      <c r="B212" s="9"/>
      <c r="C212" s="10"/>
      <c r="D212" s="9"/>
      <c r="E212" s="9"/>
      <c r="F212" s="9"/>
      <c r="G212" s="3"/>
      <c r="H212" s="3"/>
      <c r="I212" s="8"/>
      <c r="J212" s="3"/>
      <c r="K212" s="13"/>
      <c r="L212" s="3"/>
      <c r="M212" s="8"/>
      <c r="N212" s="8"/>
      <c r="O212" s="8"/>
      <c r="P212" s="3"/>
      <c r="Q212" s="3"/>
      <c r="R212" s="3"/>
    </row>
    <row r="213" spans="1:18">
      <c r="A213" s="14"/>
      <c r="B213" s="9"/>
      <c r="C213" s="10" t="str">
        <f>UPPER(I213)</f>
        <v/>
      </c>
      <c r="D213" s="9"/>
      <c r="E213" s="9" t="str">
        <f t="shared" ref="E213:E214" si="35">UPPER(K213)</f>
        <v/>
      </c>
      <c r="F213" s="9"/>
      <c r="G213" s="3"/>
      <c r="H213" s="3"/>
      <c r="I213" s="5"/>
      <c r="J213" s="5"/>
      <c r="K213" s="5"/>
      <c r="L213" s="3"/>
      <c r="M213" s="8"/>
      <c r="N213" s="8"/>
      <c r="O213" s="8"/>
      <c r="P213" s="3"/>
      <c r="Q213" s="3"/>
      <c r="R213" s="3"/>
    </row>
    <row r="214" spans="1:18">
      <c r="A214" s="14"/>
      <c r="B214" s="9"/>
      <c r="C214" s="10"/>
      <c r="D214" s="9"/>
      <c r="E214" s="9" t="str">
        <f t="shared" si="35"/>
        <v/>
      </c>
      <c r="F214" s="9"/>
      <c r="G214" s="3"/>
      <c r="H214" s="3"/>
      <c r="I214" s="5"/>
      <c r="J214" s="5"/>
      <c r="K214" s="5"/>
      <c r="L214" s="3"/>
      <c r="M214" s="8"/>
      <c r="N214" s="8"/>
      <c r="O214" s="8"/>
      <c r="P214" s="3"/>
      <c r="Q214" s="3"/>
      <c r="R214" s="3"/>
    </row>
    <row r="215" spans="1:18">
      <c r="A215" s="14"/>
      <c r="B215" s="146" t="str">
        <f>UPPER(H215)</f>
        <v>THE MONK STUDIOS</v>
      </c>
      <c r="C215" s="141"/>
      <c r="D215" s="141"/>
      <c r="E215" s="141"/>
      <c r="F215" s="141"/>
      <c r="G215" s="3"/>
      <c r="H215" s="149" t="s">
        <v>202</v>
      </c>
      <c r="I215" s="141"/>
      <c r="J215" s="141"/>
      <c r="K215" s="141"/>
      <c r="L215" s="141"/>
      <c r="M215" s="8"/>
      <c r="N215" s="149" t="s">
        <v>202</v>
      </c>
      <c r="O215" s="141"/>
      <c r="P215" s="141"/>
      <c r="Q215" s="141"/>
      <c r="R215" s="141"/>
    </row>
    <row r="216" spans="1:18">
      <c r="A216" s="14"/>
      <c r="B216" s="9"/>
      <c r="C216" s="10" t="str">
        <f t="shared" ref="C216:C222" si="36">UPPER(I216)</f>
        <v>ANIMATION DIRECTOR</v>
      </c>
      <c r="D216" s="9"/>
      <c r="E216" s="9" t="str">
        <f t="shared" ref="E216:E230" si="37">UPPER(K216)</f>
        <v>SUPAPORN KLONGPHAJONKIT</v>
      </c>
      <c r="F216" s="9"/>
      <c r="G216" s="3"/>
      <c r="H216" s="3"/>
      <c r="I216" s="36" t="s">
        <v>291</v>
      </c>
      <c r="J216" s="3"/>
      <c r="K216" s="31" t="s">
        <v>303</v>
      </c>
      <c r="L216" s="3"/>
      <c r="M216" s="8"/>
      <c r="N216" s="3"/>
      <c r="O216" s="36" t="s">
        <v>291</v>
      </c>
      <c r="P216" s="3"/>
      <c r="Q216" s="31" t="s">
        <v>303</v>
      </c>
      <c r="R216" s="3"/>
    </row>
    <row r="217" spans="1:18">
      <c r="A217" s="14"/>
      <c r="B217" s="9"/>
      <c r="C217" s="10" t="str">
        <f t="shared" si="36"/>
        <v/>
      </c>
      <c r="D217" s="9"/>
      <c r="E217" s="9" t="str">
        <f t="shared" si="37"/>
        <v/>
      </c>
      <c r="F217" s="9"/>
      <c r="G217" s="3"/>
      <c r="H217" s="3"/>
      <c r="I217" s="36"/>
      <c r="J217" s="3"/>
      <c r="K217" s="31"/>
      <c r="L217" s="3"/>
      <c r="M217" s="8"/>
      <c r="N217" s="3"/>
      <c r="O217" s="36"/>
      <c r="P217" s="3"/>
      <c r="Q217" s="31"/>
      <c r="R217" s="3"/>
    </row>
    <row r="218" spans="1:18">
      <c r="A218" s="14"/>
      <c r="B218" s="9"/>
      <c r="C218" s="10" t="str">
        <f t="shared" si="36"/>
        <v>ANIMATION SUPERVISOR</v>
      </c>
      <c r="D218" s="9"/>
      <c r="E218" s="9" t="str">
        <f t="shared" si="37"/>
        <v>CHET JEAMKITRUNG</v>
      </c>
      <c r="F218" s="9"/>
      <c r="G218" s="3"/>
      <c r="H218" s="3"/>
      <c r="I218" s="36" t="s">
        <v>293</v>
      </c>
      <c r="J218" s="3"/>
      <c r="K218" s="31" t="s">
        <v>304</v>
      </c>
      <c r="L218" s="3"/>
      <c r="M218" s="8"/>
      <c r="N218" s="3"/>
      <c r="O218" s="36" t="s">
        <v>293</v>
      </c>
      <c r="P218" s="3"/>
      <c r="Q218" s="31" t="s">
        <v>304</v>
      </c>
      <c r="R218" s="3"/>
    </row>
    <row r="219" spans="1:18">
      <c r="A219" s="14"/>
      <c r="B219" s="9"/>
      <c r="C219" s="10" t="str">
        <f t="shared" si="36"/>
        <v/>
      </c>
      <c r="D219" s="9"/>
      <c r="E219" s="9" t="str">
        <f t="shared" si="37"/>
        <v>DONNAPAT CHANTAVICHANUWONG</v>
      </c>
      <c r="F219" s="9"/>
      <c r="G219" s="3"/>
      <c r="H219" s="3"/>
      <c r="I219" s="36"/>
      <c r="J219" s="3"/>
      <c r="K219" s="31" t="s">
        <v>305</v>
      </c>
      <c r="L219" s="3"/>
      <c r="M219" s="8"/>
      <c r="N219" s="3"/>
      <c r="O219" s="36"/>
      <c r="P219" s="3"/>
      <c r="Q219" s="31" t="s">
        <v>305</v>
      </c>
      <c r="R219" s="3"/>
    </row>
    <row r="220" spans="1:18">
      <c r="A220" s="14"/>
      <c r="B220" s="9"/>
      <c r="C220" s="10" t="str">
        <f t="shared" si="36"/>
        <v/>
      </c>
      <c r="D220" s="9"/>
      <c r="E220" s="9" t="str">
        <f t="shared" si="37"/>
        <v/>
      </c>
      <c r="F220" s="9"/>
      <c r="G220" s="3"/>
      <c r="H220" s="3"/>
      <c r="I220" s="36"/>
      <c r="J220" s="3"/>
      <c r="K220" s="31"/>
      <c r="L220" s="3"/>
      <c r="M220" s="8"/>
      <c r="N220" s="3"/>
      <c r="O220" s="36"/>
      <c r="P220" s="3"/>
      <c r="Q220" s="31"/>
      <c r="R220" s="3"/>
    </row>
    <row r="221" spans="1:18">
      <c r="A221" s="14"/>
      <c r="B221" s="9"/>
      <c r="C221" s="10" t="str">
        <f t="shared" si="36"/>
        <v>ANIMATOR</v>
      </c>
      <c r="D221" s="9"/>
      <c r="E221" s="9" t="str">
        <f t="shared" si="37"/>
        <v>CHANIDAPA SRISAWANG</v>
      </c>
      <c r="F221" s="9"/>
      <c r="G221" s="3"/>
      <c r="H221" s="3"/>
      <c r="I221" s="36" t="s">
        <v>296</v>
      </c>
      <c r="J221" s="3"/>
      <c r="K221" s="31" t="s">
        <v>687</v>
      </c>
      <c r="L221" s="3"/>
      <c r="M221" s="8"/>
      <c r="N221" s="3"/>
      <c r="O221" s="36" t="s">
        <v>296</v>
      </c>
      <c r="P221" s="3"/>
      <c r="Q221" s="31" t="s">
        <v>687</v>
      </c>
      <c r="R221" s="3"/>
    </row>
    <row r="222" spans="1:18">
      <c r="A222" s="14"/>
      <c r="B222" s="9"/>
      <c r="C222" s="10" t="str">
        <f t="shared" si="36"/>
        <v/>
      </c>
      <c r="D222" s="9"/>
      <c r="E222" s="9" t="str">
        <f t="shared" si="37"/>
        <v>CHATTRIYA THATAYU</v>
      </c>
      <c r="F222" s="9"/>
      <c r="G222" s="3"/>
      <c r="H222" s="3"/>
      <c r="I222" s="8"/>
      <c r="J222" s="3"/>
      <c r="K222" s="31" t="s">
        <v>306</v>
      </c>
      <c r="L222" s="3"/>
      <c r="M222" s="8"/>
      <c r="N222" s="3"/>
      <c r="O222" s="8"/>
      <c r="P222" s="3"/>
      <c r="Q222" s="31" t="s">
        <v>306</v>
      </c>
      <c r="R222" s="3"/>
    </row>
    <row r="223" spans="1:18">
      <c r="A223" s="14"/>
      <c r="B223" s="9"/>
      <c r="C223" s="10"/>
      <c r="D223" s="9"/>
      <c r="E223" s="9" t="str">
        <f t="shared" si="37"/>
        <v>JATURATHEP KONGKHIAW</v>
      </c>
      <c r="F223" s="9"/>
      <c r="G223" s="3"/>
      <c r="H223" s="3"/>
      <c r="I223" s="8"/>
      <c r="J223" s="3"/>
      <c r="K223" s="31" t="s">
        <v>307</v>
      </c>
      <c r="L223" s="3"/>
      <c r="M223" s="8"/>
      <c r="N223" s="3"/>
      <c r="O223" s="8"/>
      <c r="P223" s="3"/>
      <c r="Q223" s="31" t="s">
        <v>307</v>
      </c>
      <c r="R223" s="3"/>
    </row>
    <row r="224" spans="1:18">
      <c r="A224" s="14"/>
      <c r="B224" s="9"/>
      <c r="C224" s="10"/>
      <c r="D224" s="9"/>
      <c r="E224" s="9" t="str">
        <f t="shared" si="37"/>
        <v>JEDSADAPONG CHUNTHP</v>
      </c>
      <c r="F224" s="9"/>
      <c r="G224" s="3"/>
      <c r="H224" s="3"/>
      <c r="I224" s="8"/>
      <c r="J224" s="3"/>
      <c r="K224" s="31" t="s">
        <v>688</v>
      </c>
      <c r="L224" s="3"/>
      <c r="M224" s="8"/>
      <c r="N224" s="3"/>
      <c r="O224" s="8"/>
      <c r="P224" s="3"/>
      <c r="Q224" s="31" t="s">
        <v>688</v>
      </c>
      <c r="R224" s="3"/>
    </row>
    <row r="225" spans="1:18">
      <c r="A225" s="14"/>
      <c r="B225" s="9"/>
      <c r="C225" s="10"/>
      <c r="D225" s="9"/>
      <c r="E225" s="9" t="str">
        <f t="shared" si="37"/>
        <v>KORAPATH WUNCHUM</v>
      </c>
      <c r="F225" s="9"/>
      <c r="G225" s="3"/>
      <c r="H225" s="3"/>
      <c r="I225" s="8"/>
      <c r="J225" s="3"/>
      <c r="K225" s="31" t="s">
        <v>310</v>
      </c>
      <c r="L225" s="3"/>
      <c r="M225" s="8"/>
      <c r="N225" s="3"/>
      <c r="O225" s="8"/>
      <c r="P225" s="3"/>
      <c r="Q225" s="31" t="s">
        <v>310</v>
      </c>
      <c r="R225" s="3"/>
    </row>
    <row r="226" spans="1:18">
      <c r="A226" s="14"/>
      <c r="B226" s="9"/>
      <c r="C226" s="10"/>
      <c r="D226" s="9"/>
      <c r="E226" s="9" t="str">
        <f t="shared" si="37"/>
        <v>NANTATCHAPORN MATTARAS</v>
      </c>
      <c r="F226" s="9"/>
      <c r="G226" s="3"/>
      <c r="H226" s="3"/>
      <c r="I226" s="8"/>
      <c r="J226" s="3"/>
      <c r="K226" s="31" t="s">
        <v>311</v>
      </c>
      <c r="L226" s="3"/>
      <c r="M226" s="8"/>
      <c r="N226" s="3"/>
      <c r="O226" s="8"/>
      <c r="P226" s="3"/>
      <c r="Q226" s="31" t="s">
        <v>311</v>
      </c>
      <c r="R226" s="3"/>
    </row>
    <row r="227" spans="1:18">
      <c r="A227" s="14"/>
      <c r="B227" s="9"/>
      <c r="C227" s="10"/>
      <c r="D227" s="9"/>
      <c r="E227" s="9" t="str">
        <f t="shared" si="37"/>
        <v>NAPAT TEMSITTICHOK</v>
      </c>
      <c r="F227" s="9"/>
      <c r="G227" s="3"/>
      <c r="H227" s="3"/>
      <c r="I227" s="8"/>
      <c r="J227" s="3"/>
      <c r="K227" s="31" t="s">
        <v>689</v>
      </c>
      <c r="L227" s="3"/>
      <c r="M227" s="8"/>
      <c r="N227" s="3"/>
      <c r="O227" s="8"/>
      <c r="P227" s="3"/>
      <c r="Q227" s="31" t="s">
        <v>689</v>
      </c>
      <c r="R227" s="3"/>
    </row>
    <row r="228" spans="1:18">
      <c r="A228" s="14"/>
      <c r="B228" s="9"/>
      <c r="C228" s="10"/>
      <c r="D228" s="9"/>
      <c r="E228" s="9" t="str">
        <f t="shared" si="37"/>
        <v>NATTAPON HONGTHONG</v>
      </c>
      <c r="F228" s="9"/>
      <c r="G228" s="3"/>
      <c r="H228" s="3"/>
      <c r="I228" s="8"/>
      <c r="J228" s="3"/>
      <c r="K228" s="31" t="s">
        <v>621</v>
      </c>
      <c r="L228" s="3"/>
      <c r="M228" s="8"/>
      <c r="N228" s="3"/>
      <c r="O228" s="8"/>
      <c r="P228" s="3"/>
      <c r="Q228" s="31" t="s">
        <v>621</v>
      </c>
      <c r="R228" s="3"/>
    </row>
    <row r="229" spans="1:18">
      <c r="A229" s="14"/>
      <c r="B229" s="9"/>
      <c r="C229" s="10"/>
      <c r="D229" s="9"/>
      <c r="E229" s="9" t="str">
        <f t="shared" si="37"/>
        <v>NATTAWUT TONGPOR</v>
      </c>
      <c r="F229" s="9"/>
      <c r="G229" s="3"/>
      <c r="H229" s="3"/>
      <c r="I229" s="8"/>
      <c r="J229" s="3"/>
      <c r="K229" s="31" t="s">
        <v>314</v>
      </c>
      <c r="L229" s="3"/>
      <c r="M229" s="8"/>
      <c r="N229" s="3"/>
      <c r="O229" s="8"/>
      <c r="P229" s="3"/>
      <c r="Q229" s="31" t="s">
        <v>314</v>
      </c>
      <c r="R229" s="3"/>
    </row>
    <row r="230" spans="1:18">
      <c r="A230" s="14"/>
      <c r="B230" s="9"/>
      <c r="C230" s="10"/>
      <c r="D230" s="9"/>
      <c r="E230" s="9" t="str">
        <f t="shared" si="37"/>
        <v>NAVARUJ PANYASING</v>
      </c>
      <c r="F230" s="9"/>
      <c r="G230" s="3"/>
      <c r="H230" s="3"/>
      <c r="I230" s="8"/>
      <c r="J230" s="3"/>
      <c r="K230" s="31" t="s">
        <v>690</v>
      </c>
      <c r="L230" s="3"/>
      <c r="M230" s="8"/>
      <c r="N230" s="3"/>
      <c r="O230" s="8"/>
      <c r="P230" s="3"/>
      <c r="Q230" s="31" t="s">
        <v>690</v>
      </c>
      <c r="R230" s="3"/>
    </row>
    <row r="231" spans="1:18">
      <c r="A231" s="14"/>
      <c r="B231" s="9"/>
      <c r="C231" s="10"/>
      <c r="D231" s="9"/>
      <c r="E231" s="9"/>
      <c r="F231" s="9"/>
      <c r="G231" s="3"/>
      <c r="H231" s="3"/>
      <c r="I231" s="8"/>
      <c r="J231" s="3"/>
      <c r="K231" s="31"/>
      <c r="L231" s="3"/>
      <c r="M231" s="8"/>
      <c r="N231" s="8"/>
      <c r="O231" s="8"/>
      <c r="P231" s="3"/>
      <c r="Q231" s="3"/>
      <c r="R231" s="3"/>
    </row>
    <row r="232" spans="1:18">
      <c r="A232" s="14"/>
      <c r="B232" s="26"/>
      <c r="C232" s="26"/>
      <c r="D232" s="26"/>
      <c r="E232" s="26"/>
      <c r="F232" s="26"/>
      <c r="G232" s="3"/>
      <c r="H232" s="5"/>
      <c r="I232" s="5"/>
      <c r="J232" s="5"/>
      <c r="K232" s="5"/>
      <c r="L232" s="5"/>
      <c r="M232" s="8"/>
      <c r="N232" s="8"/>
      <c r="O232" s="8"/>
      <c r="P232" s="3"/>
      <c r="Q232" s="3"/>
      <c r="R232" s="3"/>
    </row>
    <row r="233" spans="1:18">
      <c r="A233" s="14"/>
      <c r="B233" s="6"/>
      <c r="C233" s="6"/>
      <c r="D233" s="6"/>
      <c r="E233" s="6"/>
      <c r="F233" s="6"/>
      <c r="G233" s="3"/>
      <c r="H233" s="5"/>
      <c r="I233" s="5"/>
      <c r="J233" s="5"/>
      <c r="K233" s="5"/>
      <c r="L233" s="5"/>
      <c r="M233" s="8"/>
      <c r="N233" s="8"/>
      <c r="O233" s="8"/>
      <c r="P233" s="3"/>
      <c r="Q233" s="3"/>
      <c r="R233" s="3"/>
    </row>
    <row r="234" spans="1:18">
      <c r="A234" s="14"/>
      <c r="B234" s="150" t="str">
        <f t="shared" ref="B234:B235" si="38">UPPER(H234)</f>
        <v>ANIMATION</v>
      </c>
      <c r="C234" s="141"/>
      <c r="D234" s="141"/>
      <c r="E234" s="141"/>
      <c r="F234" s="141"/>
      <c r="G234" s="28"/>
      <c r="H234" s="167" t="s">
        <v>290</v>
      </c>
      <c r="I234" s="141"/>
      <c r="J234" s="141"/>
      <c r="K234" s="141"/>
      <c r="L234" s="141"/>
      <c r="M234" s="8"/>
      <c r="N234" s="149" t="s">
        <v>832</v>
      </c>
      <c r="O234" s="141"/>
      <c r="P234" s="141"/>
      <c r="Q234" s="141"/>
      <c r="R234" s="141"/>
    </row>
    <row r="235" spans="1:18">
      <c r="A235" s="14"/>
      <c r="B235" s="146" t="str">
        <f t="shared" si="38"/>
        <v>THE MONK STUDIOS</v>
      </c>
      <c r="C235" s="141"/>
      <c r="D235" s="141"/>
      <c r="E235" s="141"/>
      <c r="F235" s="141"/>
      <c r="G235" s="3"/>
      <c r="H235" s="149" t="s">
        <v>202</v>
      </c>
      <c r="I235" s="141"/>
      <c r="J235" s="141"/>
      <c r="K235" s="141"/>
      <c r="L235" s="141"/>
      <c r="M235" s="8"/>
      <c r="N235" s="149" t="s">
        <v>202</v>
      </c>
      <c r="O235" s="141"/>
      <c r="P235" s="141"/>
      <c r="Q235" s="141"/>
      <c r="R235" s="141"/>
    </row>
    <row r="236" spans="1:18">
      <c r="A236" s="14"/>
      <c r="B236" s="9"/>
      <c r="C236" s="10"/>
      <c r="D236" s="9"/>
      <c r="E236" s="9"/>
      <c r="F236" s="9"/>
      <c r="G236" s="3"/>
      <c r="H236" s="3"/>
      <c r="I236" s="36"/>
      <c r="J236" s="3"/>
      <c r="K236" s="31"/>
      <c r="L236" s="3"/>
      <c r="M236" s="8"/>
      <c r="N236" s="3"/>
      <c r="O236" s="36"/>
      <c r="P236" s="3"/>
      <c r="Q236" s="31"/>
      <c r="R236" s="3"/>
    </row>
    <row r="237" spans="1:18">
      <c r="A237" s="14"/>
      <c r="B237" s="9"/>
      <c r="C237" s="10" t="str">
        <f>UPPER(I237)</f>
        <v>ANIMATOR</v>
      </c>
      <c r="D237" s="9"/>
      <c r="E237" s="9" t="str">
        <f t="shared" ref="E237:E250" si="39">UPPER(K237)</f>
        <v>NAVATEP DANKAO</v>
      </c>
      <c r="F237" s="9"/>
      <c r="G237" s="3"/>
      <c r="H237" s="3"/>
      <c r="I237" s="36" t="s">
        <v>296</v>
      </c>
      <c r="J237" s="3"/>
      <c r="K237" s="31" t="s">
        <v>315</v>
      </c>
      <c r="L237" s="3"/>
      <c r="M237" s="8"/>
      <c r="N237" s="3"/>
      <c r="O237" s="36" t="s">
        <v>296</v>
      </c>
      <c r="P237" s="3"/>
      <c r="Q237" s="31" t="s">
        <v>315</v>
      </c>
      <c r="R237" s="3"/>
    </row>
    <row r="238" spans="1:18">
      <c r="A238" s="14"/>
      <c r="B238" s="9"/>
      <c r="C238" s="10"/>
      <c r="D238" s="9"/>
      <c r="E238" s="9" t="str">
        <f t="shared" si="39"/>
        <v>PASIN NAKIN</v>
      </c>
      <c r="F238" s="9"/>
      <c r="G238" s="3"/>
      <c r="H238" s="3"/>
      <c r="I238" s="8"/>
      <c r="J238" s="3"/>
      <c r="K238" s="31" t="s">
        <v>626</v>
      </c>
      <c r="L238" s="3"/>
      <c r="M238" s="8"/>
      <c r="N238" s="3"/>
      <c r="O238" s="8"/>
      <c r="P238" s="3"/>
      <c r="Q238" s="31" t="s">
        <v>626</v>
      </c>
      <c r="R238" s="3"/>
    </row>
    <row r="239" spans="1:18">
      <c r="A239" s="14"/>
      <c r="B239" s="9"/>
      <c r="C239" s="10" t="str">
        <f t="shared" ref="C239:C240" si="40">UPPER(I239)</f>
        <v/>
      </c>
      <c r="D239" s="9"/>
      <c r="E239" s="9" t="str">
        <f t="shared" si="39"/>
        <v>PISIT KITTIPUTTAPIM</v>
      </c>
      <c r="F239" s="9"/>
      <c r="G239" s="3"/>
      <c r="H239" s="3"/>
      <c r="I239" s="8"/>
      <c r="J239" s="3"/>
      <c r="K239" s="31" t="s">
        <v>691</v>
      </c>
      <c r="L239" s="3"/>
      <c r="M239" s="8"/>
      <c r="N239" s="3"/>
      <c r="O239" s="8"/>
      <c r="P239" s="3"/>
      <c r="Q239" s="31" t="s">
        <v>691</v>
      </c>
      <c r="R239" s="3"/>
    </row>
    <row r="240" spans="1:18">
      <c r="A240" s="14"/>
      <c r="B240" s="9"/>
      <c r="C240" s="10" t="str">
        <f t="shared" si="40"/>
        <v/>
      </c>
      <c r="D240" s="9"/>
      <c r="E240" s="9" t="str">
        <f t="shared" si="39"/>
        <v>JIRAPORN SOONLIANG</v>
      </c>
      <c r="F240" s="9"/>
      <c r="G240" s="3"/>
      <c r="H240" s="3"/>
      <c r="I240" s="8"/>
      <c r="J240" s="3"/>
      <c r="K240" s="31" t="s">
        <v>329</v>
      </c>
      <c r="L240" s="3"/>
      <c r="M240" s="8"/>
      <c r="N240" s="3"/>
      <c r="O240" s="8"/>
      <c r="P240" s="3"/>
      <c r="Q240" s="31" t="s">
        <v>329</v>
      </c>
      <c r="R240" s="3"/>
    </row>
    <row r="241" spans="1:18">
      <c r="A241" s="14"/>
      <c r="B241" s="9"/>
      <c r="C241" s="10"/>
      <c r="D241" s="9"/>
      <c r="E241" s="9" t="str">
        <f t="shared" si="39"/>
        <v>RATCHATA DADUANG</v>
      </c>
      <c r="F241" s="9"/>
      <c r="G241" s="3"/>
      <c r="H241" s="3"/>
      <c r="I241" s="8"/>
      <c r="J241" s="3"/>
      <c r="K241" s="31" t="s">
        <v>319</v>
      </c>
      <c r="L241" s="3"/>
      <c r="M241" s="8"/>
      <c r="N241" s="3"/>
      <c r="O241" s="8"/>
      <c r="P241" s="3"/>
      <c r="Q241" s="31" t="s">
        <v>319</v>
      </c>
      <c r="R241" s="3"/>
    </row>
    <row r="242" spans="1:18">
      <c r="A242" s="14"/>
      <c r="B242" s="9"/>
      <c r="C242" s="10" t="str">
        <f t="shared" ref="C242:C250" si="41">UPPER(I242)</f>
        <v/>
      </c>
      <c r="D242" s="9"/>
      <c r="E242" s="9" t="str">
        <f t="shared" si="39"/>
        <v>RUNGTIWA TOOMCHAI</v>
      </c>
      <c r="F242" s="9"/>
      <c r="G242" s="3"/>
      <c r="H242" s="3"/>
      <c r="I242" s="8"/>
      <c r="J242" s="3"/>
      <c r="K242" s="31" t="s">
        <v>692</v>
      </c>
      <c r="L242" s="3"/>
      <c r="M242" s="8"/>
      <c r="N242" s="3"/>
      <c r="O242" s="8"/>
      <c r="P242" s="3"/>
      <c r="Q242" s="31" t="s">
        <v>692</v>
      </c>
      <c r="R242" s="3"/>
    </row>
    <row r="243" spans="1:18">
      <c r="A243" s="14"/>
      <c r="B243" s="9"/>
      <c r="C243" s="10" t="str">
        <f t="shared" si="41"/>
        <v/>
      </c>
      <c r="D243" s="9"/>
      <c r="E243" s="9" t="str">
        <f t="shared" si="39"/>
        <v>SUPICHA SITTI</v>
      </c>
      <c r="F243" s="9"/>
      <c r="G243" s="3"/>
      <c r="H243" s="3"/>
      <c r="I243" s="8"/>
      <c r="J243" s="3"/>
      <c r="K243" s="31" t="s">
        <v>322</v>
      </c>
      <c r="L243" s="3"/>
      <c r="M243" s="8"/>
      <c r="N243" s="3"/>
      <c r="O243" s="8"/>
      <c r="P243" s="3"/>
      <c r="Q243" s="31" t="s">
        <v>322</v>
      </c>
      <c r="R243" s="3"/>
    </row>
    <row r="244" spans="1:18">
      <c r="A244" s="14"/>
      <c r="B244" s="9"/>
      <c r="C244" s="10" t="str">
        <f t="shared" si="41"/>
        <v/>
      </c>
      <c r="D244" s="9"/>
      <c r="E244" s="9" t="str">
        <f t="shared" si="39"/>
        <v>SUTHIROJ JAYASANANON</v>
      </c>
      <c r="F244" s="9"/>
      <c r="G244" s="3"/>
      <c r="H244" s="3"/>
      <c r="I244" s="8"/>
      <c r="J244" s="3"/>
      <c r="K244" s="31" t="s">
        <v>324</v>
      </c>
      <c r="L244" s="3"/>
      <c r="M244" s="8"/>
      <c r="N244" s="3"/>
      <c r="O244" s="8"/>
      <c r="P244" s="3"/>
      <c r="Q244" s="31" t="s">
        <v>324</v>
      </c>
      <c r="R244" s="3"/>
    </row>
    <row r="245" spans="1:18">
      <c r="A245" s="14"/>
      <c r="B245" s="9"/>
      <c r="C245" s="10" t="str">
        <f t="shared" si="41"/>
        <v/>
      </c>
      <c r="D245" s="9"/>
      <c r="E245" s="9" t="str">
        <f t="shared" si="39"/>
        <v>TANAKRIT CHANRUNGRUEANG</v>
      </c>
      <c r="F245" s="9"/>
      <c r="G245" s="3"/>
      <c r="H245" s="3"/>
      <c r="I245" s="8"/>
      <c r="J245" s="3"/>
      <c r="K245" s="31" t="s">
        <v>693</v>
      </c>
      <c r="L245" s="3"/>
      <c r="M245" s="8"/>
      <c r="N245" s="3"/>
      <c r="O245" s="8"/>
      <c r="P245" s="3"/>
      <c r="Q245" s="31" t="s">
        <v>693</v>
      </c>
      <c r="R245" s="3"/>
    </row>
    <row r="246" spans="1:18">
      <c r="A246" s="14"/>
      <c r="B246" s="9"/>
      <c r="C246" s="10" t="str">
        <f t="shared" si="41"/>
        <v/>
      </c>
      <c r="D246" s="9"/>
      <c r="E246" s="9" t="str">
        <f t="shared" si="39"/>
        <v>THANAPHA YANA</v>
      </c>
      <c r="F246" s="9"/>
      <c r="G246" s="3"/>
      <c r="H246" s="3"/>
      <c r="I246" s="8"/>
      <c r="J246" s="3"/>
      <c r="K246" s="31" t="s">
        <v>326</v>
      </c>
      <c r="L246" s="3"/>
      <c r="M246" s="8"/>
      <c r="N246" s="3"/>
      <c r="O246" s="8"/>
      <c r="P246" s="3"/>
      <c r="Q246" s="31" t="s">
        <v>326</v>
      </c>
      <c r="R246" s="3"/>
    </row>
    <row r="247" spans="1:18">
      <c r="A247" s="14"/>
      <c r="B247" s="9"/>
      <c r="C247" s="10" t="str">
        <f t="shared" si="41"/>
        <v/>
      </c>
      <c r="D247" s="9"/>
      <c r="E247" s="9" t="str">
        <f t="shared" si="39"/>
        <v>WANATCHAPORN JANTARAPITAK</v>
      </c>
      <c r="F247" s="9"/>
      <c r="G247" s="3"/>
      <c r="H247" s="3"/>
      <c r="I247" s="8"/>
      <c r="J247" s="3"/>
      <c r="K247" s="31" t="s">
        <v>654</v>
      </c>
      <c r="L247" s="3"/>
      <c r="M247" s="8"/>
      <c r="N247" s="3"/>
      <c r="O247" s="8"/>
      <c r="P247" s="3"/>
      <c r="Q247" s="31" t="s">
        <v>654</v>
      </c>
      <c r="R247" s="3"/>
    </row>
    <row r="248" spans="1:18">
      <c r="A248" s="14"/>
      <c r="B248" s="9"/>
      <c r="C248" s="10" t="str">
        <f t="shared" si="41"/>
        <v/>
      </c>
      <c r="D248" s="9"/>
      <c r="E248" s="9" t="str">
        <f t="shared" si="39"/>
        <v>WORAPOT PONCHAICHAROENKIT</v>
      </c>
      <c r="F248" s="9"/>
      <c r="G248" s="3"/>
      <c r="H248" s="3"/>
      <c r="I248" s="8"/>
      <c r="J248" s="3"/>
      <c r="K248" s="31" t="s">
        <v>631</v>
      </c>
      <c r="L248" s="3"/>
      <c r="M248" s="8"/>
      <c r="N248" s="3"/>
      <c r="O248" s="8"/>
      <c r="P248" s="3"/>
      <c r="Q248" s="31" t="s">
        <v>631</v>
      </c>
      <c r="R248" s="3"/>
    </row>
    <row r="249" spans="1:18">
      <c r="A249" s="14"/>
      <c r="B249" s="9"/>
      <c r="C249" s="10" t="str">
        <f t="shared" si="41"/>
        <v/>
      </c>
      <c r="D249" s="9"/>
      <c r="E249" s="9" t="str">
        <f t="shared" si="39"/>
        <v>MONNATEE KULPANUN</v>
      </c>
      <c r="F249" s="9"/>
      <c r="G249" s="3"/>
      <c r="H249" s="3"/>
      <c r="I249" s="8"/>
      <c r="J249" s="3"/>
      <c r="K249" s="31" t="s">
        <v>328</v>
      </c>
      <c r="L249" s="3"/>
      <c r="M249" s="8"/>
      <c r="N249" s="3"/>
      <c r="O249" s="8"/>
      <c r="P249" s="3"/>
      <c r="Q249" s="31" t="s">
        <v>328</v>
      </c>
      <c r="R249" s="3"/>
    </row>
    <row r="250" spans="1:18">
      <c r="A250" s="14"/>
      <c r="B250" s="9"/>
      <c r="C250" s="10" t="str">
        <f t="shared" si="41"/>
        <v/>
      </c>
      <c r="D250" s="9"/>
      <c r="E250" s="9" t="str">
        <f t="shared" si="39"/>
        <v>NARAWIT PIMONPHUN</v>
      </c>
      <c r="F250" s="9"/>
      <c r="G250" s="3"/>
      <c r="H250" s="3"/>
      <c r="I250" s="8"/>
      <c r="J250" s="3"/>
      <c r="K250" s="31" t="s">
        <v>694</v>
      </c>
      <c r="L250" s="3"/>
      <c r="M250" s="8"/>
      <c r="N250" s="3"/>
      <c r="O250" s="8"/>
      <c r="P250" s="3"/>
      <c r="Q250" s="31" t="s">
        <v>694</v>
      </c>
      <c r="R250" s="3"/>
    </row>
    <row r="251" spans="1:18">
      <c r="A251" s="14"/>
      <c r="B251" s="9"/>
      <c r="C251" s="10"/>
      <c r="D251" s="9"/>
      <c r="E251" s="9"/>
      <c r="F251" s="9"/>
      <c r="G251" s="3"/>
      <c r="H251" s="3"/>
      <c r="I251" s="8"/>
      <c r="J251" s="3"/>
      <c r="K251" s="31"/>
      <c r="L251" s="3"/>
      <c r="M251" s="8"/>
      <c r="N251" s="8"/>
      <c r="O251" s="8"/>
      <c r="P251" s="3"/>
      <c r="Q251" s="3"/>
      <c r="R251" s="3"/>
    </row>
    <row r="252" spans="1:18">
      <c r="A252" s="14"/>
      <c r="B252" s="11"/>
      <c r="C252" s="12" t="str">
        <f>UPPER(I252)</f>
        <v/>
      </c>
      <c r="D252" s="11"/>
      <c r="E252" s="11" t="str">
        <f>UPPER(K252)</f>
        <v/>
      </c>
      <c r="F252" s="11"/>
      <c r="G252" s="3"/>
      <c r="H252" s="3"/>
      <c r="I252" s="8"/>
      <c r="J252" s="3"/>
      <c r="K252" s="13"/>
      <c r="L252" s="3"/>
      <c r="M252" s="3"/>
      <c r="N252" s="3"/>
      <c r="O252" s="8"/>
      <c r="P252" s="3"/>
      <c r="Q252" s="3"/>
      <c r="R252" s="3"/>
    </row>
    <row r="253" spans="1:18">
      <c r="A253" s="14"/>
      <c r="B253" s="6"/>
      <c r="C253" s="6"/>
      <c r="D253" s="6"/>
      <c r="E253" s="6"/>
      <c r="F253" s="6"/>
      <c r="G253" s="3"/>
      <c r="H253" s="7"/>
      <c r="I253" s="8"/>
      <c r="J253" s="7"/>
      <c r="K253" s="13"/>
      <c r="L253" s="7"/>
      <c r="M253" s="8"/>
      <c r="N253" s="8"/>
      <c r="O253" s="8"/>
      <c r="P253" s="3"/>
      <c r="Q253" s="3"/>
      <c r="R253" s="3"/>
    </row>
    <row r="254" spans="1:18">
      <c r="A254" s="14"/>
      <c r="B254" s="150" t="str">
        <f>UPPER(H254)</f>
        <v>LIGHTING / VFX / COMPOSITING</v>
      </c>
      <c r="C254" s="141"/>
      <c r="D254" s="141"/>
      <c r="E254" s="141"/>
      <c r="F254" s="141"/>
      <c r="G254" s="28"/>
      <c r="H254" s="167" t="s">
        <v>330</v>
      </c>
      <c r="I254" s="141"/>
      <c r="J254" s="141"/>
      <c r="K254" s="141"/>
      <c r="L254" s="141"/>
      <c r="M254" s="29"/>
      <c r="N254" s="149" t="s">
        <v>845</v>
      </c>
      <c r="O254" s="141"/>
      <c r="P254" s="141"/>
      <c r="Q254" s="141"/>
      <c r="R254" s="141"/>
    </row>
    <row r="255" spans="1:18">
      <c r="A255" s="14"/>
      <c r="B255" s="9"/>
      <c r="C255" s="10" t="str">
        <f t="shared" ref="C255:C264" si="42">UPPER(I255)</f>
        <v>VFX SUPERVISOR</v>
      </c>
      <c r="D255" s="9"/>
      <c r="E255" s="9" t="str">
        <f t="shared" ref="E255:E264" si="43">UPPER(K255)</f>
        <v>HYEONGKI KIM</v>
      </c>
      <c r="F255" s="9"/>
      <c r="G255" s="3"/>
      <c r="H255" s="3"/>
      <c r="I255" s="8" t="s">
        <v>331</v>
      </c>
      <c r="J255" s="3"/>
      <c r="K255" s="13" t="s">
        <v>332</v>
      </c>
      <c r="L255" s="3"/>
      <c r="M255" s="8"/>
      <c r="N255" s="8"/>
      <c r="O255" s="8" t="s">
        <v>846</v>
      </c>
      <c r="P255" s="3"/>
      <c r="Q255" s="3" t="s">
        <v>847</v>
      </c>
      <c r="R255" s="3"/>
    </row>
    <row r="256" spans="1:18">
      <c r="A256" s="14"/>
      <c r="B256" s="9"/>
      <c r="C256" s="10" t="str">
        <f t="shared" si="42"/>
        <v/>
      </c>
      <c r="D256" s="9"/>
      <c r="E256" s="9" t="str">
        <f t="shared" si="43"/>
        <v/>
      </c>
      <c r="F256" s="9"/>
      <c r="G256" s="3"/>
      <c r="H256" s="3"/>
      <c r="I256" s="8"/>
      <c r="J256" s="3"/>
      <c r="K256" s="13"/>
      <c r="L256" s="3"/>
      <c r="M256" s="8"/>
      <c r="N256" s="8"/>
      <c r="O256" s="8"/>
      <c r="P256" s="3"/>
      <c r="Q256" s="3"/>
      <c r="R256" s="3"/>
    </row>
    <row r="257" spans="1:18">
      <c r="A257" s="14"/>
      <c r="B257" s="9"/>
      <c r="C257" s="10" t="str">
        <f t="shared" si="42"/>
        <v>LIGHTING SUPERVISOR</v>
      </c>
      <c r="D257" s="9"/>
      <c r="E257" s="9" t="str">
        <f t="shared" si="43"/>
        <v>TAE-IN LEE</v>
      </c>
      <c r="F257" s="9"/>
      <c r="G257" s="3"/>
      <c r="H257" s="3"/>
      <c r="I257" s="8" t="s">
        <v>333</v>
      </c>
      <c r="J257" s="3"/>
      <c r="K257" s="13" t="s">
        <v>334</v>
      </c>
      <c r="L257" s="3"/>
      <c r="M257" s="8"/>
      <c r="N257" s="8"/>
      <c r="O257" s="8" t="s">
        <v>848</v>
      </c>
      <c r="P257" s="3"/>
      <c r="Q257" s="3" t="s">
        <v>849</v>
      </c>
      <c r="R257" s="3"/>
    </row>
    <row r="258" spans="1:18">
      <c r="A258" s="14"/>
      <c r="B258" s="9"/>
      <c r="C258" s="10" t="str">
        <f t="shared" si="42"/>
        <v>LIGHTING ARTIST</v>
      </c>
      <c r="D258" s="9"/>
      <c r="E258" s="9" t="str">
        <f t="shared" si="43"/>
        <v>BYEONGHYEON HWANG</v>
      </c>
      <c r="F258" s="9"/>
      <c r="G258" s="3"/>
      <c r="H258" s="3"/>
      <c r="I258" s="8" t="s">
        <v>335</v>
      </c>
      <c r="J258" s="3"/>
      <c r="K258" s="13" t="s">
        <v>336</v>
      </c>
      <c r="L258" s="3"/>
      <c r="M258" s="8"/>
      <c r="N258" s="8"/>
      <c r="O258" s="8" t="s">
        <v>850</v>
      </c>
      <c r="P258" s="3"/>
      <c r="Q258" s="3" t="s">
        <v>851</v>
      </c>
      <c r="R258" s="3"/>
    </row>
    <row r="259" spans="1:18">
      <c r="A259" s="14"/>
      <c r="B259" s="9"/>
      <c r="C259" s="10" t="str">
        <f t="shared" si="42"/>
        <v/>
      </c>
      <c r="D259" s="9"/>
      <c r="E259" s="9" t="str">
        <f t="shared" si="43"/>
        <v/>
      </c>
      <c r="F259" s="9"/>
      <c r="G259" s="3"/>
      <c r="H259" s="3"/>
      <c r="I259" s="8"/>
      <c r="J259" s="3"/>
      <c r="K259" s="13"/>
      <c r="L259" s="3"/>
      <c r="M259" s="8"/>
      <c r="N259" s="8"/>
      <c r="O259" s="8"/>
      <c r="P259" s="3"/>
      <c r="Q259" s="3"/>
      <c r="R259" s="3"/>
    </row>
    <row r="260" spans="1:18">
      <c r="A260" s="14"/>
      <c r="B260" s="9"/>
      <c r="C260" s="10" t="str">
        <f t="shared" si="42"/>
        <v>FX SUPERVISOR</v>
      </c>
      <c r="D260" s="9"/>
      <c r="E260" s="9" t="str">
        <f t="shared" si="43"/>
        <v>SEWANG KIM</v>
      </c>
      <c r="F260" s="9"/>
      <c r="G260" s="3"/>
      <c r="H260" s="3"/>
      <c r="I260" s="8" t="s">
        <v>337</v>
      </c>
      <c r="J260" s="3"/>
      <c r="K260" s="13" t="s">
        <v>338</v>
      </c>
      <c r="L260" s="3"/>
      <c r="M260" s="8"/>
      <c r="N260" s="8"/>
      <c r="O260" s="8" t="s">
        <v>852</v>
      </c>
      <c r="P260" s="3"/>
      <c r="Q260" s="3" t="s">
        <v>853</v>
      </c>
      <c r="R260" s="3"/>
    </row>
    <row r="261" spans="1:18">
      <c r="A261" s="14"/>
      <c r="B261" s="9"/>
      <c r="C261" s="10" t="str">
        <f t="shared" si="42"/>
        <v>FX ARTIST</v>
      </c>
      <c r="D261" s="9"/>
      <c r="E261" s="9" t="str">
        <f t="shared" si="43"/>
        <v>SAEBOM OH</v>
      </c>
      <c r="F261" s="9"/>
      <c r="G261" s="3"/>
      <c r="H261" s="3"/>
      <c r="I261" s="8" t="s">
        <v>339</v>
      </c>
      <c r="J261" s="3"/>
      <c r="K261" s="13" t="s">
        <v>340</v>
      </c>
      <c r="L261" s="3"/>
      <c r="M261" s="8"/>
      <c r="N261" s="8"/>
      <c r="O261" s="8" t="s">
        <v>854</v>
      </c>
      <c r="P261" s="3"/>
      <c r="Q261" s="137" t="s">
        <v>855</v>
      </c>
      <c r="R261" s="3"/>
    </row>
    <row r="262" spans="1:18">
      <c r="A262" s="14"/>
      <c r="B262" s="9"/>
      <c r="C262" s="10" t="str">
        <f t="shared" si="42"/>
        <v/>
      </c>
      <c r="D262" s="9"/>
      <c r="E262" s="9" t="str">
        <f t="shared" si="43"/>
        <v/>
      </c>
      <c r="F262" s="9"/>
      <c r="G262" s="3"/>
      <c r="H262" s="3"/>
      <c r="I262" s="8"/>
      <c r="J262" s="3"/>
      <c r="K262" s="13"/>
      <c r="L262" s="3"/>
      <c r="M262" s="8"/>
      <c r="N262" s="8"/>
      <c r="O262" s="8"/>
      <c r="P262" s="3"/>
      <c r="Q262" s="3"/>
      <c r="R262" s="3"/>
    </row>
    <row r="263" spans="1:18">
      <c r="A263" s="14"/>
      <c r="B263" s="9"/>
      <c r="C263" s="10" t="str">
        <f t="shared" si="42"/>
        <v>COMPOSITING SUPERVISOR</v>
      </c>
      <c r="D263" s="9"/>
      <c r="E263" s="40" t="str">
        <f t="shared" si="43"/>
        <v>YOONHEE JUNG</v>
      </c>
      <c r="F263" s="9"/>
      <c r="G263" s="3"/>
      <c r="H263" s="3"/>
      <c r="I263" s="8" t="s">
        <v>341</v>
      </c>
      <c r="J263" s="3"/>
      <c r="K263" s="13" t="s">
        <v>342</v>
      </c>
      <c r="L263" s="3"/>
      <c r="M263" s="3"/>
      <c r="N263" s="3"/>
      <c r="O263" s="8" t="s">
        <v>856</v>
      </c>
      <c r="P263" s="3"/>
      <c r="Q263" s="3" t="s">
        <v>857</v>
      </c>
      <c r="R263" s="3"/>
    </row>
    <row r="264" spans="1:18">
      <c r="A264" s="14"/>
      <c r="B264" s="9"/>
      <c r="C264" s="10" t="str">
        <f t="shared" si="42"/>
        <v>COMPOSITING ARTIST</v>
      </c>
      <c r="D264" s="9"/>
      <c r="E264" s="9" t="str">
        <f t="shared" si="43"/>
        <v>NAMMIN KIM</v>
      </c>
      <c r="F264" s="9"/>
      <c r="G264" s="3"/>
      <c r="H264" s="3"/>
      <c r="I264" s="8" t="s">
        <v>343</v>
      </c>
      <c r="J264" s="3"/>
      <c r="K264" s="13" t="s">
        <v>344</v>
      </c>
      <c r="L264" s="3"/>
      <c r="M264" s="8"/>
      <c r="N264" s="8"/>
      <c r="O264" s="8" t="s">
        <v>858</v>
      </c>
      <c r="P264" s="3"/>
      <c r="Q264" s="3" t="s">
        <v>859</v>
      </c>
      <c r="R264" s="3"/>
    </row>
    <row r="265" spans="1:18">
      <c r="A265" s="14"/>
      <c r="B265" s="6"/>
      <c r="C265" s="6"/>
      <c r="D265" s="6"/>
      <c r="E265" s="6"/>
      <c r="F265" s="6"/>
      <c r="G265" s="3"/>
      <c r="H265" s="5"/>
      <c r="I265" s="5"/>
      <c r="J265" s="5"/>
      <c r="K265" s="5"/>
      <c r="L265" s="5"/>
      <c r="M265" s="8"/>
      <c r="N265" s="8"/>
      <c r="O265" s="8"/>
      <c r="P265" s="3"/>
      <c r="Q265" s="3"/>
      <c r="R265" s="3"/>
    </row>
    <row r="266" spans="1:18">
      <c r="A266" s="14"/>
      <c r="B266" s="26"/>
      <c r="C266" s="26"/>
      <c r="D266" s="26"/>
      <c r="E266" s="26"/>
      <c r="F266" s="26"/>
      <c r="G266" s="3"/>
      <c r="H266" s="5"/>
      <c r="I266" s="5"/>
      <c r="J266" s="5"/>
      <c r="K266" s="5"/>
      <c r="L266" s="5"/>
      <c r="M266" s="8"/>
      <c r="N266" s="8"/>
      <c r="O266" s="8"/>
      <c r="P266" s="3"/>
      <c r="Q266" s="3"/>
      <c r="R266" s="3"/>
    </row>
    <row r="267" spans="1:18">
      <c r="A267" s="14"/>
      <c r="B267" s="6"/>
      <c r="C267" s="6"/>
      <c r="D267" s="6"/>
      <c r="E267" s="6"/>
      <c r="F267" s="6"/>
      <c r="G267" s="3"/>
      <c r="H267" s="5"/>
      <c r="I267" s="5"/>
      <c r="J267" s="5"/>
      <c r="K267" s="5"/>
      <c r="L267" s="5"/>
      <c r="M267" s="8"/>
      <c r="N267" s="8"/>
      <c r="O267" s="8"/>
      <c r="P267" s="3"/>
      <c r="Q267" s="3"/>
      <c r="R267" s="3"/>
    </row>
    <row r="268" spans="1:18">
      <c r="A268" s="14"/>
      <c r="B268" s="150" t="str">
        <f t="shared" ref="B268:B269" si="44">UPPER(H268)</f>
        <v>LIGHTING / VFX / COMPOSITING</v>
      </c>
      <c r="C268" s="141"/>
      <c r="D268" s="141"/>
      <c r="E268" s="141"/>
      <c r="F268" s="141"/>
      <c r="G268" s="28"/>
      <c r="H268" s="167" t="s">
        <v>330</v>
      </c>
      <c r="I268" s="141"/>
      <c r="J268" s="141"/>
      <c r="K268" s="141"/>
      <c r="L268" s="141"/>
      <c r="M268" s="8"/>
      <c r="N268" s="149" t="s">
        <v>845</v>
      </c>
      <c r="O268" s="141"/>
      <c r="P268" s="141"/>
      <c r="Q268" s="141"/>
      <c r="R268" s="141"/>
    </row>
    <row r="269" spans="1:18">
      <c r="A269" s="14"/>
      <c r="B269" s="146" t="str">
        <f t="shared" si="44"/>
        <v>THE MONK STUDIOS</v>
      </c>
      <c r="C269" s="141"/>
      <c r="D269" s="141"/>
      <c r="E269" s="141"/>
      <c r="F269" s="141"/>
      <c r="G269" s="3"/>
      <c r="H269" s="149" t="s">
        <v>202</v>
      </c>
      <c r="I269" s="141"/>
      <c r="J269" s="141"/>
      <c r="K269" s="141"/>
      <c r="L269" s="141"/>
      <c r="M269" s="8"/>
      <c r="N269" s="149" t="s">
        <v>202</v>
      </c>
      <c r="O269" s="141"/>
      <c r="P269" s="141"/>
      <c r="Q269" s="141"/>
      <c r="R269" s="141"/>
    </row>
    <row r="270" spans="1:18">
      <c r="A270" s="14"/>
      <c r="B270" s="9"/>
      <c r="C270" s="10"/>
      <c r="D270" s="9"/>
      <c r="E270" s="9"/>
      <c r="F270" s="9"/>
      <c r="G270" s="3"/>
      <c r="H270" s="3"/>
      <c r="I270" s="36"/>
      <c r="J270" s="3"/>
      <c r="K270" s="22"/>
      <c r="L270" s="3"/>
      <c r="M270" s="8"/>
      <c r="N270" s="3"/>
      <c r="O270" s="36"/>
      <c r="P270" s="3"/>
      <c r="Q270" s="22"/>
      <c r="R270" s="3"/>
    </row>
    <row r="271" spans="1:18">
      <c r="A271" s="14"/>
      <c r="B271" s="9"/>
      <c r="C271" s="10" t="str">
        <f>UPPER(I271)</f>
        <v>CFX SUPERVISOR</v>
      </c>
      <c r="D271" s="9"/>
      <c r="E271" s="41" t="str">
        <f>UPPER(K271)</f>
        <v>KORRAPAT TANGSUTTHIWONG</v>
      </c>
      <c r="F271" s="9"/>
      <c r="G271" s="3"/>
      <c r="H271" s="3"/>
      <c r="I271" s="36" t="s">
        <v>345</v>
      </c>
      <c r="J271" s="3"/>
      <c r="K271" s="22" t="s">
        <v>346</v>
      </c>
      <c r="L271" s="3"/>
      <c r="M271" s="8"/>
      <c r="N271" s="3"/>
      <c r="O271" s="36" t="s">
        <v>345</v>
      </c>
      <c r="P271" s="3"/>
      <c r="Q271" s="22" t="s">
        <v>346</v>
      </c>
      <c r="R271" s="3"/>
    </row>
    <row r="272" spans="1:18">
      <c r="A272" s="14"/>
      <c r="B272" s="9"/>
      <c r="C272" s="10"/>
      <c r="D272" s="9"/>
      <c r="E272" s="9"/>
      <c r="F272" s="9"/>
      <c r="G272" s="3"/>
      <c r="H272" s="3"/>
      <c r="I272" s="36"/>
      <c r="J272" s="3"/>
      <c r="K272" s="22"/>
      <c r="L272" s="3"/>
      <c r="M272" s="8"/>
      <c r="N272" s="3"/>
      <c r="O272" s="36"/>
      <c r="P272" s="3"/>
      <c r="Q272" s="22"/>
      <c r="R272" s="3"/>
    </row>
    <row r="273" spans="1:18">
      <c r="A273" s="14"/>
      <c r="B273" s="9"/>
      <c r="C273" s="10" t="str">
        <f>UPPER(I273)</f>
        <v>CFX ARTIST</v>
      </c>
      <c r="D273" s="9"/>
      <c r="E273" s="9" t="str">
        <f t="shared" ref="E273:E280" si="45">UPPER(K273)</f>
        <v>CHERMAR WITOONWUTTIKUL</v>
      </c>
      <c r="F273" s="9"/>
      <c r="G273" s="3"/>
      <c r="H273" s="3"/>
      <c r="I273" s="36" t="s">
        <v>349</v>
      </c>
      <c r="J273" s="3"/>
      <c r="K273" s="22" t="s">
        <v>350</v>
      </c>
      <c r="L273" s="3"/>
      <c r="M273" s="8"/>
      <c r="N273" s="3"/>
      <c r="O273" s="36" t="s">
        <v>349</v>
      </c>
      <c r="P273" s="3"/>
      <c r="Q273" s="22" t="s">
        <v>350</v>
      </c>
      <c r="R273" s="3"/>
    </row>
    <row r="274" spans="1:18">
      <c r="A274" s="14"/>
      <c r="B274" s="9"/>
      <c r="C274" s="10"/>
      <c r="D274" s="9"/>
      <c r="E274" s="9" t="str">
        <f t="shared" si="45"/>
        <v>KOMSON SEECHAN</v>
      </c>
      <c r="F274" s="9"/>
      <c r="G274" s="3"/>
      <c r="H274" s="3"/>
      <c r="I274" s="36"/>
      <c r="J274" s="3"/>
      <c r="K274" s="22" t="s">
        <v>351</v>
      </c>
      <c r="L274" s="3"/>
      <c r="M274" s="8"/>
      <c r="N274" s="3"/>
      <c r="O274" s="36"/>
      <c r="P274" s="3"/>
      <c r="Q274" s="22" t="s">
        <v>351</v>
      </c>
      <c r="R274" s="3"/>
    </row>
    <row r="275" spans="1:18">
      <c r="A275" s="14"/>
      <c r="B275" s="9"/>
      <c r="C275" s="10" t="str">
        <f t="shared" ref="C275:C280" si="46">UPPER(I275)</f>
        <v/>
      </c>
      <c r="D275" s="9"/>
      <c r="E275" s="9" t="str">
        <f t="shared" si="45"/>
        <v>PREECHAPONG NOPRUMPA</v>
      </c>
      <c r="F275" s="9"/>
      <c r="G275" s="3"/>
      <c r="H275" s="3"/>
      <c r="I275" s="36"/>
      <c r="J275" s="3"/>
      <c r="K275" s="22" t="s">
        <v>352</v>
      </c>
      <c r="L275" s="3"/>
      <c r="M275" s="8"/>
      <c r="N275" s="3"/>
      <c r="O275" s="36"/>
      <c r="P275" s="3"/>
      <c r="Q275" s="22" t="s">
        <v>352</v>
      </c>
      <c r="R275" s="3"/>
    </row>
    <row r="276" spans="1:18">
      <c r="A276" s="14"/>
      <c r="B276" s="9"/>
      <c r="C276" s="10" t="str">
        <f t="shared" si="46"/>
        <v/>
      </c>
      <c r="D276" s="9"/>
      <c r="E276" s="9" t="str">
        <f t="shared" si="45"/>
        <v>SUPPACHAI WONGSALINGKARN</v>
      </c>
      <c r="F276" s="9"/>
      <c r="G276" s="3"/>
      <c r="H276" s="3"/>
      <c r="I276" s="8"/>
      <c r="J276" s="3"/>
      <c r="K276" s="22" t="s">
        <v>353</v>
      </c>
      <c r="L276" s="3"/>
      <c r="M276" s="8"/>
      <c r="N276" s="3"/>
      <c r="O276" s="8"/>
      <c r="P276" s="3"/>
      <c r="Q276" s="22" t="s">
        <v>353</v>
      </c>
      <c r="R276" s="3"/>
    </row>
    <row r="277" spans="1:18">
      <c r="A277" s="14"/>
      <c r="B277" s="9"/>
      <c r="C277" s="10" t="str">
        <f t="shared" si="46"/>
        <v/>
      </c>
      <c r="D277" s="9"/>
      <c r="E277" s="9" t="str">
        <f t="shared" si="45"/>
        <v>THAWATCHAY KAEWPHUY</v>
      </c>
      <c r="F277" s="9"/>
      <c r="G277" s="3"/>
      <c r="H277" s="3"/>
      <c r="I277" s="8"/>
      <c r="J277" s="3"/>
      <c r="K277" s="22" t="s">
        <v>354</v>
      </c>
      <c r="L277" s="3"/>
      <c r="M277" s="8"/>
      <c r="N277" s="3"/>
      <c r="O277" s="8"/>
      <c r="P277" s="3"/>
      <c r="Q277" s="22" t="s">
        <v>354</v>
      </c>
      <c r="R277" s="3"/>
    </row>
    <row r="278" spans="1:18">
      <c r="A278" s="14"/>
      <c r="B278" s="9"/>
      <c r="C278" s="10" t="str">
        <f t="shared" si="46"/>
        <v/>
      </c>
      <c r="D278" s="9"/>
      <c r="E278" s="9" t="str">
        <f t="shared" si="45"/>
        <v>TITTAYANAN WANNUBOL</v>
      </c>
      <c r="F278" s="9"/>
      <c r="G278" s="3"/>
      <c r="H278" s="3"/>
      <c r="I278" s="8"/>
      <c r="J278" s="3"/>
      <c r="K278" s="22" t="s">
        <v>355</v>
      </c>
      <c r="L278" s="3"/>
      <c r="M278" s="8"/>
      <c r="N278" s="3"/>
      <c r="O278" s="8"/>
      <c r="P278" s="3"/>
      <c r="Q278" s="22" t="s">
        <v>355</v>
      </c>
      <c r="R278" s="3"/>
    </row>
    <row r="279" spans="1:18">
      <c r="A279" s="14"/>
      <c r="B279" s="9"/>
      <c r="C279" s="10" t="str">
        <f t="shared" si="46"/>
        <v/>
      </c>
      <c r="D279" s="9"/>
      <c r="E279" s="9" t="str">
        <f t="shared" si="45"/>
        <v>PORNNEEKA THAMWONG</v>
      </c>
      <c r="F279" s="9"/>
      <c r="G279" s="3"/>
      <c r="H279" s="3"/>
      <c r="I279" s="8"/>
      <c r="J279" s="3"/>
      <c r="K279" s="22" t="s">
        <v>356</v>
      </c>
      <c r="L279" s="3"/>
      <c r="M279" s="8"/>
      <c r="N279" s="3"/>
      <c r="O279" s="8"/>
      <c r="P279" s="3"/>
      <c r="Q279" s="22" t="s">
        <v>356</v>
      </c>
      <c r="R279" s="3"/>
    </row>
    <row r="280" spans="1:18">
      <c r="A280" s="14"/>
      <c r="B280" s="9"/>
      <c r="C280" s="10" t="str">
        <f t="shared" si="46"/>
        <v/>
      </c>
      <c r="D280" s="9"/>
      <c r="E280" s="9" t="str">
        <f t="shared" si="45"/>
        <v/>
      </c>
      <c r="F280" s="9"/>
      <c r="G280" s="3"/>
      <c r="H280" s="3"/>
      <c r="I280" s="8"/>
      <c r="J280" s="3"/>
      <c r="K280" s="22"/>
      <c r="L280" s="3"/>
      <c r="M280" s="8"/>
      <c r="N280" s="8"/>
      <c r="O280" s="8"/>
      <c r="P280" s="3"/>
      <c r="Q280" s="3"/>
      <c r="R280" s="3"/>
    </row>
    <row r="281" spans="1:18">
      <c r="A281" s="14"/>
      <c r="B281" s="26"/>
      <c r="C281" s="26"/>
      <c r="D281" s="26"/>
      <c r="E281" s="26"/>
      <c r="F281" s="26"/>
      <c r="G281" s="3"/>
      <c r="H281" s="5"/>
      <c r="I281" s="5"/>
      <c r="J281" s="5"/>
      <c r="K281" s="5"/>
      <c r="L281" s="5"/>
      <c r="M281" s="8"/>
      <c r="N281" s="8"/>
      <c r="O281" s="8"/>
      <c r="P281" s="3"/>
      <c r="Q281" s="3"/>
      <c r="R281" s="3"/>
    </row>
    <row r="282" spans="1:18">
      <c r="A282" s="14"/>
      <c r="B282" s="17"/>
      <c r="C282" s="17"/>
      <c r="D282" s="17"/>
      <c r="E282" s="17"/>
      <c r="F282" s="17"/>
      <c r="G282" s="28"/>
      <c r="H282" s="18"/>
      <c r="I282" s="18"/>
      <c r="J282" s="18"/>
      <c r="K282" s="18"/>
      <c r="L282" s="18"/>
      <c r="M282" s="8"/>
      <c r="N282" s="8"/>
      <c r="O282" s="8"/>
      <c r="P282" s="3"/>
      <c r="Q282" s="3"/>
      <c r="R282" s="3"/>
    </row>
    <row r="283" spans="1:18">
      <c r="A283" s="14"/>
      <c r="B283" s="150" t="str">
        <f t="shared" ref="B283:B284" si="47">UPPER(H283)</f>
        <v>LIGHTING / VFX / COMPOSITING</v>
      </c>
      <c r="C283" s="141"/>
      <c r="D283" s="141"/>
      <c r="E283" s="141"/>
      <c r="F283" s="141"/>
      <c r="G283" s="28"/>
      <c r="H283" s="167" t="s">
        <v>330</v>
      </c>
      <c r="I283" s="141"/>
      <c r="J283" s="141"/>
      <c r="K283" s="141"/>
      <c r="L283" s="141"/>
      <c r="M283" s="8"/>
      <c r="N283" s="149" t="s">
        <v>845</v>
      </c>
      <c r="O283" s="141"/>
      <c r="P283" s="141"/>
      <c r="Q283" s="141"/>
      <c r="R283" s="141"/>
    </row>
    <row r="284" spans="1:18">
      <c r="A284" s="14"/>
      <c r="B284" s="146" t="str">
        <f t="shared" si="47"/>
        <v>THE MONK STUDIOS</v>
      </c>
      <c r="C284" s="141"/>
      <c r="D284" s="141"/>
      <c r="E284" s="141"/>
      <c r="F284" s="141"/>
      <c r="G284" s="3"/>
      <c r="H284" s="149" t="s">
        <v>202</v>
      </c>
      <c r="I284" s="141"/>
      <c r="J284" s="141"/>
      <c r="K284" s="141"/>
      <c r="L284" s="141"/>
      <c r="M284" s="8"/>
      <c r="N284" s="149" t="s">
        <v>202</v>
      </c>
      <c r="O284" s="141"/>
      <c r="P284" s="141"/>
      <c r="Q284" s="141"/>
      <c r="R284" s="141"/>
    </row>
    <row r="285" spans="1:18">
      <c r="A285" s="14"/>
      <c r="B285" s="9"/>
      <c r="C285" s="10"/>
      <c r="D285" s="9"/>
      <c r="E285" s="9"/>
      <c r="F285" s="9"/>
      <c r="G285" s="3"/>
      <c r="H285" s="3"/>
      <c r="I285" s="36"/>
      <c r="J285" s="3"/>
      <c r="K285" s="31"/>
      <c r="L285" s="3"/>
      <c r="M285" s="8"/>
      <c r="N285" s="3"/>
      <c r="O285" s="36"/>
      <c r="P285" s="3"/>
      <c r="Q285" s="31"/>
      <c r="R285" s="3"/>
    </row>
    <row r="286" spans="1:18">
      <c r="A286" s="14"/>
      <c r="B286" s="9"/>
      <c r="C286" s="10" t="str">
        <f>UPPER(I286)</f>
        <v xml:space="preserve">EFFECT SUPERVISOR </v>
      </c>
      <c r="D286" s="9"/>
      <c r="E286" s="9" t="str">
        <f t="shared" ref="E286:E292" si="48">UPPER(K286)</f>
        <v>THACHAPONG RUANGROJ</v>
      </c>
      <c r="F286" s="9"/>
      <c r="G286" s="3"/>
      <c r="H286" s="3"/>
      <c r="I286" s="36" t="s">
        <v>357</v>
      </c>
      <c r="J286" s="3"/>
      <c r="K286" s="31" t="s">
        <v>358</v>
      </c>
      <c r="L286" s="3"/>
      <c r="M286" s="8"/>
      <c r="N286" s="3"/>
      <c r="O286" s="36" t="s">
        <v>357</v>
      </c>
      <c r="P286" s="3"/>
      <c r="Q286" s="31" t="s">
        <v>358</v>
      </c>
      <c r="R286" s="3"/>
    </row>
    <row r="287" spans="1:18">
      <c r="A287" s="14"/>
      <c r="B287" s="9"/>
      <c r="C287" s="10"/>
      <c r="D287" s="9"/>
      <c r="E287" s="9" t="str">
        <f t="shared" si="48"/>
        <v/>
      </c>
      <c r="F287" s="9"/>
      <c r="G287" s="3"/>
      <c r="H287" s="3"/>
      <c r="I287" s="36"/>
      <c r="J287" s="3"/>
      <c r="K287" s="31"/>
      <c r="L287" s="3"/>
      <c r="M287" s="8"/>
      <c r="N287" s="3"/>
      <c r="O287" s="36"/>
      <c r="P287" s="3"/>
      <c r="Q287" s="31"/>
      <c r="R287" s="3"/>
    </row>
    <row r="288" spans="1:18">
      <c r="A288" s="14"/>
      <c r="B288" s="9"/>
      <c r="C288" s="10" t="str">
        <f>UPPER(I288)</f>
        <v>EFFECTS ARTIST</v>
      </c>
      <c r="D288" s="9"/>
      <c r="E288" s="9" t="str">
        <f t="shared" si="48"/>
        <v>CHAIPAT WINYOOVIJIT</v>
      </c>
      <c r="F288" s="9"/>
      <c r="G288" s="3"/>
      <c r="H288" s="3"/>
      <c r="I288" s="36" t="s">
        <v>361</v>
      </c>
      <c r="J288" s="3"/>
      <c r="K288" s="31" t="s">
        <v>362</v>
      </c>
      <c r="L288" s="3"/>
      <c r="M288" s="8"/>
      <c r="N288" s="3"/>
      <c r="O288" s="36" t="s">
        <v>361</v>
      </c>
      <c r="P288" s="3"/>
      <c r="Q288" s="31" t="s">
        <v>362</v>
      </c>
      <c r="R288" s="3"/>
    </row>
    <row r="289" spans="1:18">
      <c r="A289" s="14"/>
      <c r="B289" s="9"/>
      <c r="C289" s="10"/>
      <c r="D289" s="9"/>
      <c r="E289" s="9" t="str">
        <f t="shared" si="48"/>
        <v>PIYAPONG JANHALUTAI</v>
      </c>
      <c r="F289" s="9"/>
      <c r="G289" s="3"/>
      <c r="H289" s="3"/>
      <c r="I289" s="36"/>
      <c r="J289" s="3"/>
      <c r="K289" s="31" t="s">
        <v>365</v>
      </c>
      <c r="L289" s="3"/>
      <c r="M289" s="8"/>
      <c r="N289" s="3"/>
      <c r="O289" s="36"/>
      <c r="P289" s="3"/>
      <c r="Q289" s="31" t="s">
        <v>365</v>
      </c>
      <c r="R289" s="3"/>
    </row>
    <row r="290" spans="1:18">
      <c r="A290" s="14"/>
      <c r="B290" s="9"/>
      <c r="C290" s="10" t="str">
        <f t="shared" ref="C290:C292" si="49">UPPER(I290)</f>
        <v/>
      </c>
      <c r="D290" s="9"/>
      <c r="E290" s="9" t="str">
        <f t="shared" si="48"/>
        <v>THANAKORN THAEVAKANJANAPHOKHIN</v>
      </c>
      <c r="F290" s="9"/>
      <c r="G290" s="3"/>
      <c r="H290" s="3"/>
      <c r="I290" s="36"/>
      <c r="J290" s="3"/>
      <c r="K290" s="39" t="s">
        <v>368</v>
      </c>
      <c r="L290" s="3"/>
      <c r="M290" s="8"/>
      <c r="N290" s="3"/>
      <c r="O290" s="36"/>
      <c r="P290" s="3"/>
      <c r="Q290" s="39" t="s">
        <v>368</v>
      </c>
      <c r="R290" s="3"/>
    </row>
    <row r="291" spans="1:18">
      <c r="A291" s="14"/>
      <c r="B291" s="9"/>
      <c r="C291" s="10" t="str">
        <f t="shared" si="49"/>
        <v/>
      </c>
      <c r="D291" s="9"/>
      <c r="E291" s="9" t="str">
        <f t="shared" si="48"/>
        <v>KULAPONG VAIYAMUGAMUYGUL</v>
      </c>
      <c r="F291" s="9"/>
      <c r="G291" s="3"/>
      <c r="H291" s="3"/>
      <c r="I291" s="8"/>
      <c r="J291" s="3"/>
      <c r="K291" s="31" t="s">
        <v>661</v>
      </c>
      <c r="L291" s="3"/>
      <c r="M291" s="8"/>
      <c r="N291" s="3"/>
      <c r="O291" s="8"/>
      <c r="P291" s="3"/>
      <c r="Q291" s="31" t="s">
        <v>661</v>
      </c>
      <c r="R291" s="3"/>
    </row>
    <row r="292" spans="1:18">
      <c r="A292" s="14"/>
      <c r="B292" s="9"/>
      <c r="C292" s="10" t="str">
        <f t="shared" si="49"/>
        <v/>
      </c>
      <c r="D292" s="9"/>
      <c r="E292" s="9" t="str">
        <f t="shared" si="48"/>
        <v/>
      </c>
      <c r="F292" s="9"/>
      <c r="G292" s="3"/>
      <c r="H292" s="3"/>
      <c r="I292" s="36"/>
      <c r="J292" s="3"/>
      <c r="K292" s="31"/>
      <c r="L292" s="3"/>
      <c r="M292" s="8"/>
      <c r="N292" s="8"/>
      <c r="O292" s="8"/>
      <c r="P292" s="3"/>
      <c r="Q292" s="3"/>
      <c r="R292" s="3"/>
    </row>
    <row r="293" spans="1:18">
      <c r="A293" s="14"/>
      <c r="B293" s="11"/>
      <c r="C293" s="12"/>
      <c r="D293" s="11"/>
      <c r="E293" s="11"/>
      <c r="F293" s="11"/>
      <c r="G293" s="3"/>
      <c r="H293" s="3"/>
      <c r="I293" s="8"/>
      <c r="J293" s="3"/>
      <c r="K293" s="13"/>
      <c r="L293" s="3"/>
      <c r="M293" s="8"/>
      <c r="N293" s="8"/>
      <c r="O293" s="8"/>
      <c r="P293" s="3"/>
      <c r="Q293" s="3"/>
      <c r="R293" s="3"/>
    </row>
    <row r="294" spans="1:18">
      <c r="A294" s="14"/>
      <c r="B294" s="9"/>
      <c r="C294" s="10"/>
      <c r="D294" s="9"/>
      <c r="E294" s="9"/>
      <c r="F294" s="9"/>
      <c r="G294" s="3"/>
      <c r="H294" s="3"/>
      <c r="I294" s="8"/>
      <c r="J294" s="3"/>
      <c r="K294" s="13"/>
      <c r="L294" s="3"/>
      <c r="M294" s="8"/>
      <c r="N294" s="8"/>
      <c r="O294" s="8"/>
      <c r="P294" s="3"/>
      <c r="Q294" s="3"/>
      <c r="R294" s="3"/>
    </row>
    <row r="295" spans="1:18">
      <c r="A295" s="14"/>
      <c r="B295" s="150" t="str">
        <f t="shared" ref="B295:B296" si="50">UPPER(H295)</f>
        <v>LIGHTING / VFX / COMPOSITING</v>
      </c>
      <c r="C295" s="141"/>
      <c r="D295" s="141"/>
      <c r="E295" s="141"/>
      <c r="F295" s="141"/>
      <c r="G295" s="28"/>
      <c r="H295" s="167" t="s">
        <v>330</v>
      </c>
      <c r="I295" s="141"/>
      <c r="J295" s="141"/>
      <c r="K295" s="141"/>
      <c r="L295" s="141"/>
      <c r="M295" s="8"/>
      <c r="N295" s="149" t="s">
        <v>845</v>
      </c>
      <c r="O295" s="141"/>
      <c r="P295" s="141"/>
      <c r="Q295" s="141"/>
      <c r="R295" s="141"/>
    </row>
    <row r="296" spans="1:18">
      <c r="A296" s="14"/>
      <c r="B296" s="146" t="str">
        <f t="shared" si="50"/>
        <v>THE MONK STUDIOS</v>
      </c>
      <c r="C296" s="141"/>
      <c r="D296" s="141"/>
      <c r="E296" s="141"/>
      <c r="F296" s="141"/>
      <c r="G296" s="3"/>
      <c r="H296" s="149" t="s">
        <v>202</v>
      </c>
      <c r="I296" s="141"/>
      <c r="J296" s="141"/>
      <c r="K296" s="141"/>
      <c r="L296" s="141"/>
      <c r="M296" s="8"/>
      <c r="N296" s="149" t="s">
        <v>202</v>
      </c>
      <c r="O296" s="141"/>
      <c r="P296" s="141"/>
      <c r="Q296" s="141"/>
      <c r="R296" s="141"/>
    </row>
    <row r="297" spans="1:18">
      <c r="A297" s="14"/>
      <c r="B297" s="9"/>
      <c r="C297" s="10"/>
      <c r="D297" s="9"/>
      <c r="E297" s="9"/>
      <c r="F297" s="9"/>
      <c r="G297" s="3"/>
      <c r="H297" s="3"/>
      <c r="I297" s="36"/>
      <c r="J297" s="3"/>
      <c r="K297" s="31"/>
      <c r="L297" s="3"/>
      <c r="M297" s="8"/>
      <c r="N297" s="3"/>
      <c r="O297" s="36"/>
      <c r="P297" s="3"/>
      <c r="Q297" s="31"/>
      <c r="R297" s="3"/>
    </row>
    <row r="298" spans="1:18">
      <c r="A298" s="14"/>
      <c r="B298" s="9"/>
      <c r="C298" s="10" t="str">
        <f>UPPER(I298)</f>
        <v>LIGHTING SUPERVISOR</v>
      </c>
      <c r="D298" s="9"/>
      <c r="E298" s="9" t="str">
        <f>UPPER(K298)</f>
        <v>TIKUMPORN SRISANG-NGAM</v>
      </c>
      <c r="F298" s="9"/>
      <c r="G298" s="3"/>
      <c r="H298" s="3"/>
      <c r="I298" s="36" t="s">
        <v>371</v>
      </c>
      <c r="J298" s="3"/>
      <c r="K298" s="22" t="s">
        <v>372</v>
      </c>
      <c r="L298" s="3"/>
      <c r="M298" s="8"/>
      <c r="N298" s="3"/>
      <c r="O298" s="36" t="s">
        <v>371</v>
      </c>
      <c r="P298" s="3"/>
      <c r="Q298" s="22" t="s">
        <v>372</v>
      </c>
      <c r="R298" s="3"/>
    </row>
    <row r="299" spans="1:18">
      <c r="A299" s="14"/>
      <c r="B299" s="9"/>
      <c r="C299" s="10"/>
      <c r="D299" s="9"/>
      <c r="E299" s="9"/>
      <c r="F299" s="9"/>
      <c r="G299" s="3"/>
      <c r="H299" s="3"/>
      <c r="I299" s="36"/>
      <c r="J299" s="3"/>
      <c r="K299" s="31"/>
      <c r="L299" s="3"/>
      <c r="M299" s="8"/>
      <c r="N299" s="3"/>
      <c r="O299" s="36"/>
      <c r="P299" s="3"/>
      <c r="Q299" s="31"/>
      <c r="R299" s="3"/>
    </row>
    <row r="300" spans="1:18">
      <c r="A300" s="14"/>
      <c r="B300" s="9"/>
      <c r="C300" s="10" t="str">
        <f>UPPER(I300)</f>
        <v>LEAD LIGHTING ARTIST</v>
      </c>
      <c r="D300" s="9"/>
      <c r="E300" s="9" t="str">
        <f>UPPER(K300)</f>
        <v>CHANIN PHEUNGKLAY</v>
      </c>
      <c r="F300" s="9"/>
      <c r="G300" s="3"/>
      <c r="H300" s="3"/>
      <c r="I300" s="36" t="s">
        <v>373</v>
      </c>
      <c r="J300" s="3"/>
      <c r="K300" s="22" t="s">
        <v>374</v>
      </c>
      <c r="L300" s="3"/>
      <c r="M300" s="8"/>
      <c r="N300" s="3"/>
      <c r="O300" s="36" t="s">
        <v>373</v>
      </c>
      <c r="P300" s="3"/>
      <c r="Q300" s="22" t="s">
        <v>374</v>
      </c>
      <c r="R300" s="3"/>
    </row>
    <row r="301" spans="1:18">
      <c r="A301" s="14"/>
      <c r="B301" s="9"/>
      <c r="C301" s="10"/>
      <c r="D301" s="9"/>
      <c r="E301" s="9"/>
      <c r="F301" s="9"/>
      <c r="G301" s="3"/>
      <c r="H301" s="3"/>
      <c r="I301" s="36"/>
      <c r="J301" s="3"/>
      <c r="K301" s="31"/>
      <c r="L301" s="3"/>
      <c r="M301" s="8"/>
      <c r="N301" s="3"/>
      <c r="O301" s="36"/>
      <c r="P301" s="3"/>
      <c r="Q301" s="31"/>
      <c r="R301" s="3"/>
    </row>
    <row r="302" spans="1:18">
      <c r="A302" s="14"/>
      <c r="B302" s="9"/>
      <c r="C302" s="10" t="str">
        <f t="shared" ref="C302:C313" si="51">UPPER(I302)</f>
        <v>LIGHTING ARTIST</v>
      </c>
      <c r="D302" s="9"/>
      <c r="E302" s="9" t="str">
        <f t="shared" ref="E302:E315" si="52">UPPER(K302)</f>
        <v>TITIKAMON NANRUDON</v>
      </c>
      <c r="F302" s="9"/>
      <c r="G302" s="3"/>
      <c r="H302" s="3"/>
      <c r="I302" s="36" t="s">
        <v>335</v>
      </c>
      <c r="J302" s="3"/>
      <c r="K302" s="31" t="s">
        <v>375</v>
      </c>
      <c r="L302" s="3"/>
      <c r="M302" s="8"/>
      <c r="N302" s="3"/>
      <c r="O302" s="36" t="s">
        <v>335</v>
      </c>
      <c r="P302" s="3"/>
      <c r="Q302" s="31" t="s">
        <v>375</v>
      </c>
      <c r="R302" s="3"/>
    </row>
    <row r="303" spans="1:18">
      <c r="A303" s="14"/>
      <c r="B303" s="9"/>
      <c r="C303" s="10" t="str">
        <f t="shared" si="51"/>
        <v/>
      </c>
      <c r="D303" s="9"/>
      <c r="E303" s="9" t="str">
        <f t="shared" si="52"/>
        <v>PRADTANA KARALOP</v>
      </c>
      <c r="F303" s="9"/>
      <c r="G303" s="3"/>
      <c r="H303" s="3"/>
      <c r="I303" s="8"/>
      <c r="J303" s="3"/>
      <c r="K303" s="31" t="s">
        <v>376</v>
      </c>
      <c r="L303" s="3"/>
      <c r="M303" s="8"/>
      <c r="N303" s="3"/>
      <c r="O303" s="8"/>
      <c r="P303" s="3"/>
      <c r="Q303" s="31" t="s">
        <v>376</v>
      </c>
      <c r="R303" s="3"/>
    </row>
    <row r="304" spans="1:18">
      <c r="A304" s="14"/>
      <c r="B304" s="9"/>
      <c r="C304" s="10" t="str">
        <f t="shared" si="51"/>
        <v/>
      </c>
      <c r="D304" s="9"/>
      <c r="E304" s="9" t="str">
        <f t="shared" si="52"/>
        <v>JIRAWUT KEMGLAD</v>
      </c>
      <c r="F304" s="9"/>
      <c r="G304" s="3"/>
      <c r="H304" s="3"/>
      <c r="I304" s="8"/>
      <c r="J304" s="3"/>
      <c r="K304" s="31" t="s">
        <v>662</v>
      </c>
      <c r="L304" s="3"/>
      <c r="M304" s="8"/>
      <c r="N304" s="3"/>
      <c r="O304" s="8"/>
      <c r="P304" s="3"/>
      <c r="Q304" s="31" t="s">
        <v>662</v>
      </c>
      <c r="R304" s="3"/>
    </row>
    <row r="305" spans="1:18">
      <c r="A305" s="14"/>
      <c r="B305" s="9"/>
      <c r="C305" s="10" t="str">
        <f t="shared" si="51"/>
        <v/>
      </c>
      <c r="D305" s="9"/>
      <c r="E305" s="9" t="str">
        <f t="shared" si="52"/>
        <v>PHANATHON WARATHIP</v>
      </c>
      <c r="F305" s="9"/>
      <c r="G305" s="3"/>
      <c r="H305" s="3"/>
      <c r="I305" s="8"/>
      <c r="J305" s="3"/>
      <c r="K305" s="31" t="s">
        <v>378</v>
      </c>
      <c r="L305" s="3"/>
      <c r="M305" s="8"/>
      <c r="N305" s="3"/>
      <c r="O305" s="8"/>
      <c r="P305" s="3"/>
      <c r="Q305" s="31" t="s">
        <v>378</v>
      </c>
      <c r="R305" s="3"/>
    </row>
    <row r="306" spans="1:18">
      <c r="A306" s="14"/>
      <c r="B306" s="9"/>
      <c r="C306" s="10" t="str">
        <f t="shared" si="51"/>
        <v/>
      </c>
      <c r="D306" s="9"/>
      <c r="E306" s="9" t="str">
        <f t="shared" si="52"/>
        <v>BOONYARAT PONOMCHOENG</v>
      </c>
      <c r="F306" s="9"/>
      <c r="G306" s="3"/>
      <c r="H306" s="3"/>
      <c r="I306" s="8"/>
      <c r="J306" s="3"/>
      <c r="K306" s="31" t="s">
        <v>379</v>
      </c>
      <c r="L306" s="3"/>
      <c r="M306" s="8"/>
      <c r="N306" s="3"/>
      <c r="O306" s="8"/>
      <c r="P306" s="3"/>
      <c r="Q306" s="31" t="s">
        <v>379</v>
      </c>
      <c r="R306" s="3"/>
    </row>
    <row r="307" spans="1:18">
      <c r="A307" s="14"/>
      <c r="B307" s="9"/>
      <c r="C307" s="10" t="str">
        <f t="shared" si="51"/>
        <v/>
      </c>
      <c r="D307" s="9"/>
      <c r="E307" s="9" t="str">
        <f t="shared" si="52"/>
        <v>CHANIPORN PORSEELA</v>
      </c>
      <c r="F307" s="9"/>
      <c r="G307" s="3"/>
      <c r="H307" s="3"/>
      <c r="I307" s="8"/>
      <c r="J307" s="3"/>
      <c r="K307" s="31" t="s">
        <v>381</v>
      </c>
      <c r="L307" s="3"/>
      <c r="M307" s="8"/>
      <c r="N307" s="3"/>
      <c r="O307" s="8"/>
      <c r="P307" s="3"/>
      <c r="Q307" s="31" t="s">
        <v>381</v>
      </c>
      <c r="R307" s="3"/>
    </row>
    <row r="308" spans="1:18">
      <c r="A308" s="14"/>
      <c r="B308" s="9"/>
      <c r="C308" s="10" t="str">
        <f t="shared" si="51"/>
        <v/>
      </c>
      <c r="D308" s="9"/>
      <c r="E308" s="9" t="str">
        <f t="shared" si="52"/>
        <v>KORRAPHAT PONGPAIBOON</v>
      </c>
      <c r="F308" s="9"/>
      <c r="G308" s="3"/>
      <c r="H308" s="3"/>
      <c r="I308" s="8"/>
      <c r="J308" s="3"/>
      <c r="K308" s="31" t="s">
        <v>383</v>
      </c>
      <c r="L308" s="3"/>
      <c r="M308" s="8"/>
      <c r="N308" s="3"/>
      <c r="O308" s="8"/>
      <c r="P308" s="3"/>
      <c r="Q308" s="31" t="s">
        <v>383</v>
      </c>
      <c r="R308" s="3"/>
    </row>
    <row r="309" spans="1:18">
      <c r="A309" s="14"/>
      <c r="B309" s="9"/>
      <c r="C309" s="10" t="str">
        <f t="shared" si="51"/>
        <v/>
      </c>
      <c r="D309" s="9"/>
      <c r="E309" s="9" t="str">
        <f t="shared" si="52"/>
        <v>SUPHATCHA NUAMTHONG</v>
      </c>
      <c r="F309" s="9"/>
      <c r="G309" s="3"/>
      <c r="H309" s="3"/>
      <c r="I309" s="8"/>
      <c r="J309" s="3"/>
      <c r="K309" s="31" t="s">
        <v>384</v>
      </c>
      <c r="L309" s="3"/>
      <c r="M309" s="8"/>
      <c r="N309" s="3"/>
      <c r="O309" s="8"/>
      <c r="P309" s="3"/>
      <c r="Q309" s="31" t="s">
        <v>384</v>
      </c>
      <c r="R309" s="3"/>
    </row>
    <row r="310" spans="1:18">
      <c r="A310" s="14"/>
      <c r="B310" s="9"/>
      <c r="C310" s="10" t="str">
        <f t="shared" si="51"/>
        <v/>
      </c>
      <c r="D310" s="9"/>
      <c r="E310" s="9" t="str">
        <f t="shared" si="52"/>
        <v>CHAIYAVUDH BURANASONGGRAM</v>
      </c>
      <c r="F310" s="9"/>
      <c r="G310" s="3"/>
      <c r="H310" s="3"/>
      <c r="I310" s="8"/>
      <c r="J310" s="3"/>
      <c r="K310" s="31" t="s">
        <v>385</v>
      </c>
      <c r="L310" s="3"/>
      <c r="M310" s="8"/>
      <c r="N310" s="3"/>
      <c r="O310" s="8"/>
      <c r="P310" s="3"/>
      <c r="Q310" s="31" t="s">
        <v>385</v>
      </c>
      <c r="R310" s="3"/>
    </row>
    <row r="311" spans="1:18">
      <c r="A311" s="14"/>
      <c r="B311" s="9"/>
      <c r="C311" s="10" t="str">
        <f t="shared" si="51"/>
        <v/>
      </c>
      <c r="D311" s="9"/>
      <c r="E311" s="9" t="str">
        <f t="shared" si="52"/>
        <v>PHUWADON KHAYANYIAM</v>
      </c>
      <c r="F311" s="9"/>
      <c r="G311" s="3"/>
      <c r="H311" s="3"/>
      <c r="I311" s="8"/>
      <c r="J311" s="3"/>
      <c r="K311" s="31" t="s">
        <v>386</v>
      </c>
      <c r="L311" s="3"/>
      <c r="M311" s="8"/>
      <c r="N311" s="3"/>
      <c r="O311" s="8"/>
      <c r="P311" s="3"/>
      <c r="Q311" s="31" t="s">
        <v>386</v>
      </c>
      <c r="R311" s="3"/>
    </row>
    <row r="312" spans="1:18">
      <c r="A312" s="14"/>
      <c r="B312" s="9"/>
      <c r="C312" s="10" t="str">
        <f t="shared" si="51"/>
        <v/>
      </c>
      <c r="D312" s="9"/>
      <c r="E312" s="9" t="str">
        <f t="shared" si="52"/>
        <v>SIRAPOB KOSITCHAIMONGKHON</v>
      </c>
      <c r="F312" s="9"/>
      <c r="G312" s="3"/>
      <c r="H312" s="3"/>
      <c r="I312" s="8"/>
      <c r="J312" s="3"/>
      <c r="K312" s="31" t="s">
        <v>663</v>
      </c>
      <c r="L312" s="3"/>
      <c r="M312" s="8"/>
      <c r="N312" s="3"/>
      <c r="O312" s="8"/>
      <c r="P312" s="3"/>
      <c r="Q312" s="31" t="s">
        <v>663</v>
      </c>
      <c r="R312" s="3"/>
    </row>
    <row r="313" spans="1:18">
      <c r="A313" s="14"/>
      <c r="B313" s="9"/>
      <c r="C313" s="10" t="str">
        <f t="shared" si="51"/>
        <v/>
      </c>
      <c r="D313" s="9"/>
      <c r="E313" s="9" t="str">
        <f t="shared" si="52"/>
        <v>TANAWAN JAMSRI</v>
      </c>
      <c r="F313" s="9"/>
      <c r="G313" s="3"/>
      <c r="H313" s="3"/>
      <c r="I313" s="8"/>
      <c r="J313" s="3"/>
      <c r="K313" s="31" t="s">
        <v>664</v>
      </c>
      <c r="L313" s="3"/>
      <c r="M313" s="8"/>
      <c r="N313" s="3"/>
      <c r="O313" s="8"/>
      <c r="P313" s="3"/>
      <c r="Q313" s="31" t="s">
        <v>664</v>
      </c>
      <c r="R313" s="3"/>
    </row>
    <row r="314" spans="1:18">
      <c r="A314" s="14"/>
      <c r="B314" s="9"/>
      <c r="C314" s="10"/>
      <c r="D314" s="9"/>
      <c r="E314" s="9" t="str">
        <f t="shared" si="52"/>
        <v>CHANCHOL JANTARAT</v>
      </c>
      <c r="F314" s="9"/>
      <c r="G314" s="3"/>
      <c r="H314" s="3"/>
      <c r="I314" s="8"/>
      <c r="J314" s="3"/>
      <c r="K314" s="31" t="s">
        <v>665</v>
      </c>
      <c r="L314" s="3"/>
      <c r="M314" s="8"/>
      <c r="N314" s="3"/>
      <c r="O314" s="8"/>
      <c r="P314" s="3"/>
      <c r="Q314" s="31" t="s">
        <v>665</v>
      </c>
      <c r="R314" s="3"/>
    </row>
    <row r="315" spans="1:18">
      <c r="A315" s="14"/>
      <c r="B315" s="9"/>
      <c r="C315" s="10" t="str">
        <f>UPPER(I315)</f>
        <v/>
      </c>
      <c r="D315" s="9"/>
      <c r="E315" s="9" t="str">
        <f t="shared" si="52"/>
        <v>SIRUNDA SUWANNAPRACHA</v>
      </c>
      <c r="F315" s="9"/>
      <c r="G315" s="3"/>
      <c r="H315" s="3"/>
      <c r="I315" s="8"/>
      <c r="J315" s="3"/>
      <c r="K315" s="31" t="s">
        <v>666</v>
      </c>
      <c r="L315" s="3"/>
      <c r="M315" s="8"/>
      <c r="N315" s="3"/>
      <c r="O315" s="8"/>
      <c r="P315" s="3"/>
      <c r="Q315" s="31" t="s">
        <v>666</v>
      </c>
      <c r="R315" s="3"/>
    </row>
    <row r="316" spans="1:18">
      <c r="A316" s="14"/>
      <c r="B316" s="9"/>
      <c r="C316" s="10"/>
      <c r="D316" s="9"/>
      <c r="E316" s="9"/>
      <c r="F316" s="9"/>
      <c r="G316" s="3"/>
      <c r="H316" s="3"/>
      <c r="I316" s="8"/>
      <c r="J316" s="3"/>
      <c r="K316" s="13"/>
      <c r="L316" s="3"/>
      <c r="M316" s="8"/>
      <c r="N316" s="8"/>
      <c r="O316" s="8"/>
      <c r="P316" s="3"/>
      <c r="Q316" s="3"/>
      <c r="R316" s="3"/>
    </row>
    <row r="317" spans="1:18">
      <c r="A317" s="14"/>
      <c r="B317" s="11"/>
      <c r="C317" s="12"/>
      <c r="D317" s="11"/>
      <c r="E317" s="11"/>
      <c r="F317" s="11"/>
      <c r="G317" s="3"/>
      <c r="H317" s="3"/>
      <c r="I317" s="8"/>
      <c r="J317" s="3"/>
      <c r="K317" s="13"/>
      <c r="L317" s="3"/>
      <c r="M317" s="8"/>
      <c r="N317" s="8"/>
      <c r="O317" s="8"/>
      <c r="P317" s="3"/>
      <c r="Q317" s="3"/>
      <c r="R317" s="3"/>
    </row>
    <row r="318" spans="1:18">
      <c r="A318" s="14"/>
      <c r="B318" s="9"/>
      <c r="C318" s="10"/>
      <c r="D318" s="9"/>
      <c r="E318" s="9"/>
      <c r="F318" s="9"/>
      <c r="G318" s="3"/>
      <c r="H318" s="3"/>
      <c r="I318" s="8"/>
      <c r="J318" s="3"/>
      <c r="K318" s="13"/>
      <c r="L318" s="3"/>
      <c r="M318" s="8"/>
      <c r="N318" s="8"/>
      <c r="O318" s="8"/>
      <c r="P318" s="3"/>
      <c r="Q318" s="3"/>
      <c r="R318" s="3"/>
    </row>
    <row r="319" spans="1:18">
      <c r="A319" s="14"/>
      <c r="B319" s="150" t="str">
        <f t="shared" ref="B319:B320" si="53">UPPER(H319)</f>
        <v>LIGHTING / VFX / COMPOSITING</v>
      </c>
      <c r="C319" s="141"/>
      <c r="D319" s="141"/>
      <c r="E319" s="141"/>
      <c r="F319" s="141"/>
      <c r="G319" s="28"/>
      <c r="H319" s="167" t="s">
        <v>330</v>
      </c>
      <c r="I319" s="141"/>
      <c r="J319" s="141"/>
      <c r="K319" s="141"/>
      <c r="L319" s="141"/>
      <c r="M319" s="8"/>
      <c r="N319" s="149" t="s">
        <v>845</v>
      </c>
      <c r="O319" s="141"/>
      <c r="P319" s="141"/>
      <c r="Q319" s="141"/>
      <c r="R319" s="141"/>
    </row>
    <row r="320" spans="1:18">
      <c r="A320" s="14"/>
      <c r="B320" s="146" t="str">
        <f t="shared" si="53"/>
        <v>THE MONK STUDIOS</v>
      </c>
      <c r="C320" s="141"/>
      <c r="D320" s="141"/>
      <c r="E320" s="141"/>
      <c r="F320" s="141"/>
      <c r="G320" s="3"/>
      <c r="H320" s="149" t="s">
        <v>202</v>
      </c>
      <c r="I320" s="141"/>
      <c r="J320" s="141"/>
      <c r="K320" s="141"/>
      <c r="L320" s="141"/>
      <c r="M320" s="8"/>
      <c r="N320" s="149" t="s">
        <v>202</v>
      </c>
      <c r="O320" s="141"/>
      <c r="P320" s="141"/>
      <c r="Q320" s="141"/>
      <c r="R320" s="141"/>
    </row>
    <row r="321" spans="1:18">
      <c r="A321" s="14"/>
      <c r="B321" s="9"/>
      <c r="C321" s="10"/>
      <c r="D321" s="9"/>
      <c r="E321" s="9"/>
      <c r="F321" s="9"/>
      <c r="G321" s="3"/>
      <c r="H321" s="3"/>
      <c r="I321" s="36"/>
      <c r="J321" s="3"/>
      <c r="K321" s="31"/>
      <c r="L321" s="3"/>
      <c r="M321" s="8"/>
      <c r="N321" s="3"/>
      <c r="O321" s="36"/>
      <c r="P321" s="3"/>
      <c r="Q321" s="31"/>
      <c r="R321" s="3"/>
    </row>
    <row r="322" spans="1:18">
      <c r="A322" s="14"/>
      <c r="B322" s="9"/>
      <c r="C322" s="10" t="str">
        <f>UPPER(I322)</f>
        <v>LIGHTING ARTIST</v>
      </c>
      <c r="D322" s="9"/>
      <c r="E322" s="9" t="str">
        <f t="shared" ref="E322:E328" si="54">UPPER(K322)</f>
        <v>KASET REABREANG</v>
      </c>
      <c r="F322" s="9"/>
      <c r="G322" s="3"/>
      <c r="H322" s="3"/>
      <c r="I322" s="36" t="s">
        <v>335</v>
      </c>
      <c r="J322" s="3"/>
      <c r="K322" s="31" t="s">
        <v>667</v>
      </c>
      <c r="L322" s="3"/>
      <c r="M322" s="8"/>
      <c r="N322" s="3"/>
      <c r="O322" s="36" t="s">
        <v>335</v>
      </c>
      <c r="P322" s="3"/>
      <c r="Q322" s="31" t="s">
        <v>667</v>
      </c>
      <c r="R322" s="3"/>
    </row>
    <row r="323" spans="1:18">
      <c r="A323" s="14"/>
      <c r="B323" s="9"/>
      <c r="C323" s="10"/>
      <c r="D323" s="9"/>
      <c r="E323" s="9" t="str">
        <f t="shared" si="54"/>
        <v>LALITA CHINTHAWAN</v>
      </c>
      <c r="F323" s="9"/>
      <c r="G323" s="3"/>
      <c r="H323" s="3"/>
      <c r="I323" s="36"/>
      <c r="J323" s="3"/>
      <c r="K323" s="31" t="s">
        <v>668</v>
      </c>
      <c r="L323" s="3"/>
      <c r="M323" s="8"/>
      <c r="N323" s="3"/>
      <c r="O323" s="36"/>
      <c r="P323" s="3"/>
      <c r="Q323" s="31" t="s">
        <v>668</v>
      </c>
      <c r="R323" s="3"/>
    </row>
    <row r="324" spans="1:18">
      <c r="A324" s="14"/>
      <c r="B324" s="9"/>
      <c r="C324" s="10" t="str">
        <f>UPPER(I324)</f>
        <v/>
      </c>
      <c r="D324" s="9"/>
      <c r="E324" s="9" t="str">
        <f t="shared" si="54"/>
        <v>SONGSAK JANSAWANG</v>
      </c>
      <c r="F324" s="9"/>
      <c r="G324" s="3"/>
      <c r="H324" s="3"/>
      <c r="I324" s="36"/>
      <c r="J324" s="3"/>
      <c r="K324" s="31" t="s">
        <v>669</v>
      </c>
      <c r="L324" s="3"/>
      <c r="M324" s="8"/>
      <c r="N324" s="3"/>
      <c r="O324" s="36"/>
      <c r="P324" s="3"/>
      <c r="Q324" s="31" t="s">
        <v>669</v>
      </c>
      <c r="R324" s="3"/>
    </row>
    <row r="325" spans="1:18">
      <c r="A325" s="14"/>
      <c r="B325" s="9"/>
      <c r="C325" s="10"/>
      <c r="D325" s="9"/>
      <c r="E325" s="9" t="str">
        <f t="shared" si="54"/>
        <v>NITHIRUT JIRAKANGVANPHAT</v>
      </c>
      <c r="F325" s="9"/>
      <c r="G325" s="3"/>
      <c r="H325" s="3"/>
      <c r="I325" s="36"/>
      <c r="J325" s="3"/>
      <c r="K325" s="31" t="s">
        <v>670</v>
      </c>
      <c r="L325" s="3"/>
      <c r="M325" s="8"/>
      <c r="N325" s="3"/>
      <c r="O325" s="36"/>
      <c r="P325" s="3"/>
      <c r="Q325" s="31" t="s">
        <v>670</v>
      </c>
      <c r="R325" s="3"/>
    </row>
    <row r="326" spans="1:18">
      <c r="A326" s="14"/>
      <c r="B326" s="9"/>
      <c r="C326" s="10" t="str">
        <f t="shared" ref="C326:C328" si="55">UPPER(I326)</f>
        <v/>
      </c>
      <c r="D326" s="9"/>
      <c r="E326" s="9" t="str">
        <f t="shared" si="54"/>
        <v>CHITAWADEE SRIRUK</v>
      </c>
      <c r="F326" s="9"/>
      <c r="G326" s="3"/>
      <c r="H326" s="3"/>
      <c r="I326" s="36"/>
      <c r="J326" s="3"/>
      <c r="K326" s="31" t="s">
        <v>671</v>
      </c>
      <c r="L326" s="3"/>
      <c r="M326" s="8"/>
      <c r="N326" s="3"/>
      <c r="O326" s="36"/>
      <c r="P326" s="3"/>
      <c r="Q326" s="31" t="s">
        <v>671</v>
      </c>
      <c r="R326" s="3"/>
    </row>
    <row r="327" spans="1:18">
      <c r="A327" s="14"/>
      <c r="B327" s="9"/>
      <c r="C327" s="10" t="str">
        <f t="shared" si="55"/>
        <v/>
      </c>
      <c r="D327" s="9"/>
      <c r="E327" s="9" t="str">
        <f t="shared" si="54"/>
        <v>SIRAWAT PUNYARIT</v>
      </c>
      <c r="F327" s="9"/>
      <c r="G327" s="3"/>
      <c r="H327" s="3"/>
      <c r="I327" s="8"/>
      <c r="J327" s="3"/>
      <c r="K327" s="31" t="s">
        <v>672</v>
      </c>
      <c r="L327" s="3"/>
      <c r="M327" s="8"/>
      <c r="N327" s="3"/>
      <c r="O327" s="8"/>
      <c r="P327" s="3"/>
      <c r="Q327" s="31" t="s">
        <v>672</v>
      </c>
      <c r="R327" s="3"/>
    </row>
    <row r="328" spans="1:18">
      <c r="A328" s="14"/>
      <c r="B328" s="9"/>
      <c r="C328" s="10" t="str">
        <f t="shared" si="55"/>
        <v/>
      </c>
      <c r="D328" s="9"/>
      <c r="E328" s="9" t="str">
        <f t="shared" si="54"/>
        <v/>
      </c>
      <c r="F328" s="9"/>
      <c r="G328" s="3"/>
      <c r="H328" s="3"/>
      <c r="I328" s="8"/>
      <c r="J328" s="3"/>
      <c r="K328" s="31"/>
      <c r="L328" s="3"/>
      <c r="M328" s="8"/>
      <c r="N328" s="8"/>
      <c r="O328" s="8"/>
      <c r="P328" s="3"/>
      <c r="Q328" s="3"/>
      <c r="R328" s="3"/>
    </row>
    <row r="329" spans="1:18">
      <c r="A329" s="14"/>
      <c r="B329" s="11"/>
      <c r="C329" s="12"/>
      <c r="D329" s="11"/>
      <c r="E329" s="11"/>
      <c r="F329" s="11"/>
      <c r="G329" s="3"/>
      <c r="H329" s="3"/>
      <c r="I329" s="8"/>
      <c r="J329" s="3"/>
      <c r="K329" s="13"/>
      <c r="L329" s="3"/>
      <c r="M329" s="8"/>
      <c r="N329" s="8"/>
      <c r="O329" s="8"/>
      <c r="P329" s="3"/>
      <c r="Q329" s="3"/>
      <c r="R329" s="3"/>
    </row>
    <row r="330" spans="1:18">
      <c r="A330" s="14"/>
      <c r="B330" s="6"/>
      <c r="C330" s="6"/>
      <c r="D330" s="6"/>
      <c r="E330" s="6"/>
      <c r="F330" s="6"/>
      <c r="G330" s="3"/>
      <c r="H330" s="5"/>
      <c r="I330" s="5"/>
      <c r="J330" s="5"/>
      <c r="K330" s="5"/>
      <c r="L330" s="5"/>
      <c r="M330" s="8"/>
      <c r="N330" s="5"/>
      <c r="O330" s="5"/>
      <c r="P330" s="5"/>
      <c r="Q330" s="5"/>
      <c r="R330" s="5"/>
    </row>
    <row r="331" spans="1:18">
      <c r="A331" s="14"/>
      <c r="B331" s="150" t="str">
        <f>UPPER(H331)</f>
        <v>PIPELINE &amp; SYSTEM</v>
      </c>
      <c r="C331" s="141"/>
      <c r="D331" s="141"/>
      <c r="E331" s="141"/>
      <c r="F331" s="141"/>
      <c r="G331" s="28"/>
      <c r="H331" s="167" t="s">
        <v>387</v>
      </c>
      <c r="I331" s="141"/>
      <c r="J331" s="141"/>
      <c r="K331" s="141"/>
      <c r="L331" s="141"/>
      <c r="M331" s="29"/>
      <c r="N331" s="149" t="s">
        <v>860</v>
      </c>
      <c r="O331" s="141"/>
      <c r="P331" s="141"/>
      <c r="Q331" s="141"/>
      <c r="R331" s="141"/>
    </row>
    <row r="332" spans="1:18">
      <c r="A332" s="14"/>
      <c r="B332" s="9"/>
      <c r="C332" s="10"/>
      <c r="D332" s="9"/>
      <c r="E332" s="9"/>
      <c r="F332" s="9"/>
      <c r="G332" s="3"/>
      <c r="H332" s="3"/>
      <c r="I332" s="8"/>
      <c r="J332" s="3"/>
      <c r="K332" s="13"/>
      <c r="L332" s="3"/>
      <c r="M332" s="8"/>
      <c r="N332" s="3"/>
      <c r="O332" s="8"/>
      <c r="P332" s="3"/>
      <c r="Q332" s="3"/>
      <c r="R332" s="3"/>
    </row>
    <row r="333" spans="1:18">
      <c r="A333" s="14"/>
      <c r="B333" s="9"/>
      <c r="C333" s="10" t="str">
        <f t="shared" ref="C333:C336" si="56">UPPER(I333)</f>
        <v>PIPELINE SUPERVISOR</v>
      </c>
      <c r="D333" s="9"/>
      <c r="E333" s="9" t="str">
        <f t="shared" ref="E333:E336" si="57">UPPER(K333)</f>
        <v>HYUNKYU PARK</v>
      </c>
      <c r="F333" s="9"/>
      <c r="G333" s="3"/>
      <c r="H333" s="3"/>
      <c r="I333" s="8" t="s">
        <v>388</v>
      </c>
      <c r="J333" s="3"/>
      <c r="K333" s="13" t="s">
        <v>389</v>
      </c>
      <c r="L333" s="3"/>
      <c r="M333" s="8"/>
      <c r="N333" s="3"/>
      <c r="O333" s="8" t="s">
        <v>861</v>
      </c>
      <c r="P333" s="3"/>
      <c r="Q333" s="3" t="s">
        <v>862</v>
      </c>
      <c r="R333" s="3"/>
    </row>
    <row r="334" spans="1:18">
      <c r="A334" s="14"/>
      <c r="B334" s="9"/>
      <c r="C334" s="10" t="str">
        <f t="shared" si="56"/>
        <v/>
      </c>
      <c r="D334" s="9"/>
      <c r="E334" s="9" t="str">
        <f t="shared" si="57"/>
        <v/>
      </c>
      <c r="F334" s="9"/>
      <c r="G334" s="3"/>
      <c r="H334" s="3"/>
      <c r="I334" s="8"/>
      <c r="J334" s="3"/>
      <c r="K334" s="13"/>
      <c r="L334" s="3"/>
      <c r="M334" s="8"/>
      <c r="N334" s="3"/>
      <c r="O334" s="8"/>
      <c r="P334" s="3"/>
      <c r="Q334" s="3"/>
      <c r="R334" s="3"/>
    </row>
    <row r="335" spans="1:18">
      <c r="A335" s="14"/>
      <c r="B335" s="9"/>
      <c r="C335" s="10" t="str">
        <f t="shared" si="56"/>
        <v>SYSTEM MANAGER</v>
      </c>
      <c r="D335" s="9"/>
      <c r="E335" s="9" t="str">
        <f t="shared" si="57"/>
        <v>JIWOONG RYU</v>
      </c>
      <c r="F335" s="9"/>
      <c r="G335" s="3"/>
      <c r="H335" s="3"/>
      <c r="I335" s="8" t="s">
        <v>390</v>
      </c>
      <c r="J335" s="3"/>
      <c r="K335" s="13" t="s">
        <v>391</v>
      </c>
      <c r="L335" s="3"/>
      <c r="M335" s="8"/>
      <c r="N335" s="3"/>
      <c r="O335" s="8" t="s">
        <v>863</v>
      </c>
      <c r="P335" s="3"/>
      <c r="Q335" s="3" t="s">
        <v>864</v>
      </c>
      <c r="R335" s="3"/>
    </row>
    <row r="336" spans="1:18">
      <c r="A336" s="14"/>
      <c r="B336" s="9"/>
      <c r="C336" s="10" t="str">
        <f t="shared" si="56"/>
        <v/>
      </c>
      <c r="D336" s="9"/>
      <c r="E336" s="9" t="str">
        <f t="shared" si="57"/>
        <v/>
      </c>
      <c r="F336" s="9"/>
      <c r="G336" s="3"/>
      <c r="H336" s="3"/>
      <c r="I336" s="8"/>
      <c r="J336" s="3"/>
      <c r="K336" s="13"/>
      <c r="L336" s="3"/>
      <c r="M336" s="8"/>
      <c r="N336" s="8"/>
      <c r="O336" s="21"/>
      <c r="P336" s="3"/>
      <c r="Q336" s="3"/>
      <c r="R336" s="3"/>
    </row>
    <row r="337" spans="1:18">
      <c r="A337" s="14"/>
      <c r="B337" s="150" t="str">
        <f>UPPER(H337)</f>
        <v>MANAGEMENT</v>
      </c>
      <c r="C337" s="141"/>
      <c r="D337" s="141"/>
      <c r="E337" s="141"/>
      <c r="F337" s="141"/>
      <c r="G337" s="28"/>
      <c r="H337" s="167" t="s">
        <v>392</v>
      </c>
      <c r="I337" s="141"/>
      <c r="J337" s="141"/>
      <c r="K337" s="141"/>
      <c r="L337" s="141"/>
      <c r="M337" s="29"/>
      <c r="N337" s="149" t="s">
        <v>865</v>
      </c>
      <c r="O337" s="141"/>
      <c r="P337" s="141"/>
      <c r="Q337" s="141"/>
      <c r="R337" s="141"/>
    </row>
    <row r="338" spans="1:18">
      <c r="A338" s="14"/>
      <c r="B338" s="9"/>
      <c r="C338" s="10"/>
      <c r="D338" s="9"/>
      <c r="E338" s="9"/>
      <c r="F338" s="9"/>
      <c r="G338" s="3"/>
      <c r="H338" s="3"/>
      <c r="I338" s="8"/>
      <c r="J338" s="3"/>
      <c r="K338" s="3"/>
      <c r="L338" s="3"/>
      <c r="M338" s="3"/>
      <c r="N338" s="3"/>
      <c r="O338" s="8"/>
      <c r="P338" s="3"/>
      <c r="Q338" s="3"/>
      <c r="R338" s="3"/>
    </row>
    <row r="339" spans="1:18">
      <c r="A339" s="14"/>
      <c r="B339" s="9"/>
      <c r="C339" s="10" t="str">
        <f>UPPER(I339)</f>
        <v>STUDIO MANAGEMENT</v>
      </c>
      <c r="D339" s="9"/>
      <c r="E339" s="9" t="str">
        <f>UPPER(K339)</f>
        <v>SANGWAN SEOK</v>
      </c>
      <c r="F339" s="9"/>
      <c r="G339" s="3"/>
      <c r="H339" s="3"/>
      <c r="I339" s="8" t="s">
        <v>393</v>
      </c>
      <c r="J339" s="3"/>
      <c r="K339" s="3" t="s">
        <v>394</v>
      </c>
      <c r="L339" s="3"/>
      <c r="M339" s="3"/>
      <c r="N339" s="3"/>
      <c r="O339" s="8" t="s">
        <v>866</v>
      </c>
      <c r="P339" s="3"/>
      <c r="Q339" s="3" t="s">
        <v>867</v>
      </c>
      <c r="R339" s="3"/>
    </row>
    <row r="340" spans="1:18">
      <c r="A340" s="14"/>
      <c r="B340" s="146" t="str">
        <f>UPPER(H340)</f>
        <v/>
      </c>
      <c r="C340" s="141"/>
      <c r="D340" s="141"/>
      <c r="E340" s="141"/>
      <c r="F340" s="141"/>
      <c r="G340" s="3"/>
      <c r="H340" s="3"/>
      <c r="I340" s="8"/>
      <c r="J340" s="3"/>
      <c r="K340" s="3"/>
      <c r="L340" s="3"/>
      <c r="M340" s="3"/>
      <c r="N340" s="3"/>
      <c r="O340" s="8"/>
      <c r="P340" s="3"/>
      <c r="Q340" s="3"/>
      <c r="R340" s="3"/>
    </row>
    <row r="341" spans="1:18">
      <c r="A341" s="14"/>
      <c r="B341" s="9"/>
      <c r="C341" s="10" t="str">
        <f t="shared" ref="C341:C345" si="58">UPPER(I341)</f>
        <v>SUPERVISING PRODUCER</v>
      </c>
      <c r="D341" s="9"/>
      <c r="E341" s="9" t="str">
        <f t="shared" ref="E341:E345" si="59">UPPER(K341)</f>
        <v>JARIN SOHN</v>
      </c>
      <c r="F341" s="9"/>
      <c r="G341" s="3"/>
      <c r="H341" s="3"/>
      <c r="I341" s="8" t="s">
        <v>395</v>
      </c>
      <c r="J341" s="3"/>
      <c r="K341" s="3" t="s">
        <v>396</v>
      </c>
      <c r="L341" s="3"/>
      <c r="M341" s="8"/>
      <c r="N341" s="3"/>
      <c r="O341" s="8" t="s">
        <v>868</v>
      </c>
      <c r="P341" s="3"/>
      <c r="Q341" s="3" t="s">
        <v>869</v>
      </c>
      <c r="R341" s="3"/>
    </row>
    <row r="342" spans="1:18">
      <c r="A342" s="14"/>
      <c r="B342" s="9"/>
      <c r="C342" s="10" t="str">
        <f t="shared" si="58"/>
        <v/>
      </c>
      <c r="D342" s="9"/>
      <c r="E342" s="9" t="str">
        <f t="shared" si="59"/>
        <v/>
      </c>
      <c r="F342" s="9"/>
      <c r="G342" s="3"/>
      <c r="H342" s="3"/>
      <c r="I342" s="8"/>
      <c r="J342" s="3"/>
      <c r="K342" s="3"/>
      <c r="L342" s="3"/>
      <c r="M342" s="8"/>
      <c r="N342" s="3"/>
      <c r="O342" s="8"/>
      <c r="P342" s="3"/>
      <c r="Q342" s="3"/>
      <c r="R342" s="3"/>
    </row>
    <row r="343" spans="1:18">
      <c r="A343" s="14"/>
      <c r="B343" s="6"/>
      <c r="C343" s="10" t="str">
        <f t="shared" si="58"/>
        <v>IP BUSINESS</v>
      </c>
      <c r="D343" s="9"/>
      <c r="E343" s="9" t="str">
        <f t="shared" si="59"/>
        <v>YEOMIN YOON</v>
      </c>
      <c r="F343" s="6"/>
      <c r="G343" s="3"/>
      <c r="H343" s="3"/>
      <c r="I343" s="8" t="s">
        <v>397</v>
      </c>
      <c r="J343" s="3"/>
      <c r="K343" s="3" t="s">
        <v>398</v>
      </c>
      <c r="L343" s="3"/>
      <c r="M343" s="8"/>
      <c r="N343" s="3"/>
      <c r="O343" s="8" t="s">
        <v>870</v>
      </c>
      <c r="P343" s="3"/>
      <c r="Q343" s="3" t="s">
        <v>871</v>
      </c>
      <c r="R343" s="3"/>
    </row>
    <row r="344" spans="1:18">
      <c r="A344" s="14"/>
      <c r="B344" s="9"/>
      <c r="C344" s="10" t="str">
        <f t="shared" si="58"/>
        <v/>
      </c>
      <c r="D344" s="9"/>
      <c r="E344" s="9" t="str">
        <f t="shared" si="59"/>
        <v>SANGWON NAM</v>
      </c>
      <c r="F344" s="9"/>
      <c r="G344" s="3"/>
      <c r="H344" s="3"/>
      <c r="I344" s="8"/>
      <c r="J344" s="3"/>
      <c r="K344" s="3" t="s">
        <v>399</v>
      </c>
      <c r="L344" s="3"/>
      <c r="M344" s="8"/>
      <c r="N344" s="3"/>
      <c r="O344" s="8"/>
      <c r="P344" s="3"/>
      <c r="Q344" s="3" t="s">
        <v>872</v>
      </c>
      <c r="R344" s="3"/>
    </row>
    <row r="345" spans="1:18">
      <c r="A345" s="14"/>
      <c r="B345" s="9"/>
      <c r="C345" s="10" t="str">
        <f t="shared" si="58"/>
        <v/>
      </c>
      <c r="D345" s="9"/>
      <c r="E345" s="9" t="str">
        <f t="shared" si="59"/>
        <v xml:space="preserve">GAHYUN BAIK </v>
      </c>
      <c r="F345" s="9"/>
      <c r="G345" s="3"/>
      <c r="H345" s="3"/>
      <c r="I345" s="8"/>
      <c r="J345" s="3"/>
      <c r="K345" s="3" t="s">
        <v>400</v>
      </c>
      <c r="L345" s="3"/>
      <c r="M345" s="8"/>
      <c r="N345" s="3"/>
      <c r="O345" s="8"/>
      <c r="P345" s="3"/>
      <c r="Q345" s="3" t="s">
        <v>873</v>
      </c>
      <c r="R345" s="3"/>
    </row>
    <row r="346" spans="1:18">
      <c r="A346" s="14"/>
      <c r="B346" s="9"/>
      <c r="C346" s="10"/>
      <c r="D346" s="9"/>
      <c r="E346" s="9"/>
      <c r="F346" s="9"/>
      <c r="G346" s="3"/>
      <c r="H346" s="3"/>
      <c r="I346" s="8"/>
      <c r="J346" s="3"/>
      <c r="K346" s="3" t="s">
        <v>874</v>
      </c>
      <c r="L346" s="3"/>
      <c r="M346" s="8"/>
      <c r="N346" s="3"/>
      <c r="O346" s="8"/>
      <c r="P346" s="3"/>
      <c r="Q346" s="3" t="s">
        <v>875</v>
      </c>
      <c r="R346" s="3"/>
    </row>
    <row r="347" spans="1:18">
      <c r="A347" s="14"/>
      <c r="B347" s="9"/>
      <c r="C347" s="10" t="str">
        <f t="shared" ref="C347:C351" si="60">UPPER(I347)</f>
        <v/>
      </c>
      <c r="D347" s="9"/>
      <c r="E347" s="9" t="str">
        <f t="shared" ref="E347:E351" si="61">UPPER(K347)</f>
        <v/>
      </c>
      <c r="F347" s="9"/>
      <c r="G347" s="3"/>
      <c r="H347" s="3"/>
      <c r="I347" s="8"/>
      <c r="J347" s="3"/>
      <c r="K347" s="3"/>
      <c r="L347" s="3"/>
      <c r="M347" s="8"/>
      <c r="N347" s="3"/>
      <c r="O347" s="8"/>
      <c r="P347" s="3"/>
      <c r="Q347" s="3"/>
      <c r="R347" s="3"/>
    </row>
    <row r="348" spans="1:18">
      <c r="A348" s="14"/>
      <c r="B348" s="9"/>
      <c r="C348" s="10" t="str">
        <f t="shared" si="60"/>
        <v>ACCOUNTING</v>
      </c>
      <c r="D348" s="9"/>
      <c r="E348" s="9" t="str">
        <f t="shared" si="61"/>
        <v>JAEHWAN SHIN</v>
      </c>
      <c r="F348" s="9"/>
      <c r="G348" s="3"/>
      <c r="H348" s="3"/>
      <c r="I348" s="8" t="s">
        <v>401</v>
      </c>
      <c r="J348" s="3"/>
      <c r="K348" s="3" t="s">
        <v>402</v>
      </c>
      <c r="L348" s="3"/>
      <c r="M348" s="8"/>
      <c r="N348" s="3"/>
      <c r="O348" s="8" t="s">
        <v>876</v>
      </c>
      <c r="P348" s="3"/>
      <c r="Q348" s="3" t="s">
        <v>877</v>
      </c>
      <c r="R348" s="3"/>
    </row>
    <row r="349" spans="1:18">
      <c r="A349" s="14"/>
      <c r="B349" s="9"/>
      <c r="C349" s="10" t="str">
        <f t="shared" si="60"/>
        <v/>
      </c>
      <c r="D349" s="9"/>
      <c r="E349" s="9" t="str">
        <f t="shared" si="61"/>
        <v/>
      </c>
      <c r="F349" s="9"/>
      <c r="G349" s="3"/>
      <c r="H349" s="3"/>
      <c r="I349" s="8"/>
      <c r="J349" s="3"/>
      <c r="K349" s="3"/>
      <c r="L349" s="3"/>
      <c r="M349" s="8"/>
      <c r="N349" s="8"/>
      <c r="O349" s="21"/>
      <c r="P349" s="3"/>
      <c r="Q349" s="3"/>
      <c r="R349" s="3"/>
    </row>
    <row r="350" spans="1:18">
      <c r="A350" s="14"/>
      <c r="B350" s="9"/>
      <c r="C350" s="10" t="str">
        <f t="shared" si="60"/>
        <v>HUMAN RESOURCES</v>
      </c>
      <c r="D350" s="9"/>
      <c r="E350" s="9" t="str">
        <f t="shared" si="61"/>
        <v>JIN KIM</v>
      </c>
      <c r="F350" s="9"/>
      <c r="G350" s="3"/>
      <c r="H350" s="3"/>
      <c r="I350" s="8" t="s">
        <v>403</v>
      </c>
      <c r="J350" s="3"/>
      <c r="K350" s="3" t="s">
        <v>404</v>
      </c>
      <c r="L350" s="3"/>
      <c r="M350" s="8"/>
      <c r="N350" s="8"/>
      <c r="O350" s="8" t="s">
        <v>878</v>
      </c>
      <c r="P350" s="3"/>
      <c r="Q350" s="3" t="s">
        <v>879</v>
      </c>
      <c r="R350" s="3"/>
    </row>
    <row r="351" spans="1:18">
      <c r="A351" s="14"/>
      <c r="B351" s="9"/>
      <c r="C351" s="10" t="str">
        <f t="shared" si="60"/>
        <v/>
      </c>
      <c r="D351" s="9"/>
      <c r="E351" s="9" t="str">
        <f t="shared" si="61"/>
        <v/>
      </c>
      <c r="F351" s="9"/>
      <c r="G351" s="3"/>
      <c r="H351" s="3"/>
      <c r="I351" s="8"/>
      <c r="J351" s="3"/>
      <c r="K351" s="3"/>
      <c r="L351" s="3"/>
      <c r="M351" s="8"/>
      <c r="N351" s="3"/>
      <c r="O351" s="8"/>
      <c r="P351" s="3"/>
      <c r="Q351" s="3"/>
      <c r="R351" s="3"/>
    </row>
    <row r="352" spans="1:18">
      <c r="A352" s="14"/>
      <c r="B352" s="11"/>
      <c r="C352" s="12"/>
      <c r="D352" s="11"/>
      <c r="E352" s="11"/>
      <c r="F352" s="11"/>
      <c r="G352" s="3"/>
      <c r="H352" s="3"/>
      <c r="I352" s="8"/>
      <c r="J352" s="3"/>
      <c r="K352" s="13"/>
      <c r="L352" s="3"/>
      <c r="M352" s="3"/>
      <c r="N352" s="3"/>
      <c r="O352" s="8"/>
      <c r="P352" s="3"/>
      <c r="Q352" s="3"/>
      <c r="R352" s="3"/>
    </row>
    <row r="353" spans="1:18">
      <c r="A353" s="14"/>
      <c r="B353" s="42"/>
      <c r="C353" s="10" t="str">
        <f>UPPER(I353)</f>
        <v/>
      </c>
      <c r="D353" s="9"/>
      <c r="E353" s="9" t="str">
        <f>UPPER(K353)</f>
        <v/>
      </c>
      <c r="F353" s="42"/>
      <c r="G353" s="3"/>
      <c r="H353" s="8"/>
      <c r="I353" s="8"/>
      <c r="J353" s="8"/>
      <c r="K353" s="13"/>
      <c r="L353" s="8"/>
      <c r="M353" s="8"/>
      <c r="N353" s="8"/>
      <c r="O353" s="8"/>
      <c r="P353" s="3"/>
      <c r="Q353" s="3"/>
      <c r="R353" s="3"/>
    </row>
    <row r="354" spans="1:18">
      <c r="A354" s="14"/>
      <c r="B354" s="150" t="str">
        <f t="shared" ref="B354:B355" si="62">UPPER(H354)</f>
        <v>ADDITIONAL ARTISTS</v>
      </c>
      <c r="C354" s="141"/>
      <c r="D354" s="141"/>
      <c r="E354" s="141"/>
      <c r="F354" s="141"/>
      <c r="G354" s="28"/>
      <c r="H354" s="167" t="s">
        <v>405</v>
      </c>
      <c r="I354" s="141"/>
      <c r="J354" s="141"/>
      <c r="K354" s="141"/>
      <c r="L354" s="141"/>
      <c r="M354" s="29"/>
      <c r="N354" s="149" t="s">
        <v>880</v>
      </c>
      <c r="O354" s="141"/>
      <c r="P354" s="141"/>
      <c r="Q354" s="141"/>
      <c r="R354" s="141"/>
    </row>
    <row r="355" spans="1:18">
      <c r="A355" s="14"/>
      <c r="B355" s="165" t="str">
        <f t="shared" si="62"/>
        <v>YGGDRAZIL GROUP PUBLIC CO., LTD.</v>
      </c>
      <c r="C355" s="141"/>
      <c r="D355" s="141"/>
      <c r="E355" s="141"/>
      <c r="F355" s="141"/>
      <c r="G355" s="44"/>
      <c r="H355" s="168" t="s">
        <v>406</v>
      </c>
      <c r="I355" s="141"/>
      <c r="J355" s="141"/>
      <c r="K355" s="141"/>
      <c r="L355" s="141"/>
      <c r="M355" s="44"/>
      <c r="N355" s="168" t="s">
        <v>406</v>
      </c>
      <c r="O355" s="141"/>
      <c r="P355" s="141"/>
      <c r="Q355" s="141"/>
      <c r="R355" s="141"/>
    </row>
    <row r="356" spans="1:18">
      <c r="A356" s="14"/>
      <c r="B356" s="9"/>
      <c r="C356" s="10"/>
      <c r="D356" s="9"/>
      <c r="E356" s="9"/>
      <c r="F356" s="9"/>
      <c r="G356" s="3"/>
      <c r="H356" s="13"/>
      <c r="I356" s="8"/>
      <c r="J356" s="3"/>
      <c r="K356" s="3"/>
      <c r="L356" s="3"/>
      <c r="M356" s="8"/>
      <c r="N356" s="13"/>
      <c r="O356" s="8"/>
      <c r="P356" s="3"/>
      <c r="Q356" s="3"/>
      <c r="R356" s="3"/>
    </row>
    <row r="357" spans="1:18">
      <c r="A357" s="14"/>
      <c r="B357" s="9"/>
      <c r="C357" s="10" t="str">
        <f>UPPER(I357)</f>
        <v>ANIMATION DIRECTOR</v>
      </c>
      <c r="D357" s="9"/>
      <c r="E357" s="9" t="str">
        <f>UPPER(K357)</f>
        <v>PAIRATCH LERTKAJORNWONG</v>
      </c>
      <c r="F357" s="9"/>
      <c r="G357" s="3"/>
      <c r="H357" s="13"/>
      <c r="I357" s="8" t="s">
        <v>291</v>
      </c>
      <c r="J357" s="3"/>
      <c r="K357" s="3" t="s">
        <v>407</v>
      </c>
      <c r="L357" s="3"/>
      <c r="M357" s="8"/>
      <c r="N357" s="13"/>
      <c r="O357" s="8" t="s">
        <v>291</v>
      </c>
      <c r="P357" s="3"/>
      <c r="Q357" s="3" t="s">
        <v>407</v>
      </c>
      <c r="R357" s="3"/>
    </row>
    <row r="358" spans="1:18">
      <c r="A358" s="14"/>
      <c r="B358" s="6"/>
      <c r="C358" s="6"/>
      <c r="D358" s="6"/>
      <c r="E358" s="6"/>
      <c r="F358" s="6"/>
      <c r="G358" s="3"/>
      <c r="H358" s="5"/>
      <c r="I358" s="5"/>
      <c r="J358" s="5"/>
      <c r="K358" s="5"/>
      <c r="L358" s="5"/>
      <c r="M358" s="8"/>
      <c r="N358" s="5"/>
      <c r="O358" s="5"/>
      <c r="P358" s="5"/>
      <c r="Q358" s="5"/>
      <c r="R358" s="5"/>
    </row>
    <row r="359" spans="1:18">
      <c r="A359" s="14"/>
      <c r="B359" s="42"/>
      <c r="C359" s="10" t="str">
        <f t="shared" ref="C359:C375" si="63">UPPER(I359)</f>
        <v>ASSET SUPERVISOR</v>
      </c>
      <c r="D359" s="9"/>
      <c r="E359" s="9" t="str">
        <f t="shared" ref="E359:E376" si="64">UPPER(K359)</f>
        <v>PANUWAT BOVORNSIRISARP</v>
      </c>
      <c r="F359" s="42"/>
      <c r="G359" s="3"/>
      <c r="H359" s="8"/>
      <c r="I359" s="8" t="s">
        <v>209</v>
      </c>
      <c r="J359" s="8"/>
      <c r="K359" s="2" t="s">
        <v>408</v>
      </c>
      <c r="L359" s="8"/>
      <c r="M359" s="8"/>
      <c r="N359" s="8"/>
      <c r="O359" s="8" t="s">
        <v>209</v>
      </c>
      <c r="P359" s="8"/>
      <c r="Q359" s="2" t="s">
        <v>408</v>
      </c>
      <c r="R359" s="8"/>
    </row>
    <row r="360" spans="1:18">
      <c r="A360" s="14"/>
      <c r="B360" s="42"/>
      <c r="C360" s="10" t="str">
        <f t="shared" si="63"/>
        <v>LEAD ASSET</v>
      </c>
      <c r="D360" s="9"/>
      <c r="E360" s="9" t="str">
        <f t="shared" si="64"/>
        <v>PRADTANA TARWONG</v>
      </c>
      <c r="F360" s="42"/>
      <c r="G360" s="3"/>
      <c r="H360" s="8"/>
      <c r="I360" s="8" t="s">
        <v>409</v>
      </c>
      <c r="J360" s="8"/>
      <c r="K360" s="2" t="s">
        <v>410</v>
      </c>
      <c r="L360" s="8"/>
      <c r="M360" s="8"/>
      <c r="N360" s="8"/>
      <c r="O360" s="8" t="s">
        <v>409</v>
      </c>
      <c r="P360" s="8"/>
      <c r="Q360" s="2" t="s">
        <v>410</v>
      </c>
      <c r="R360" s="8"/>
    </row>
    <row r="361" spans="1:18">
      <c r="A361" s="14"/>
      <c r="B361" s="42"/>
      <c r="C361" s="10" t="str">
        <f t="shared" si="63"/>
        <v>ASSET ARTIST</v>
      </c>
      <c r="D361" s="9"/>
      <c r="E361" s="9" t="str">
        <f t="shared" si="64"/>
        <v>PUCHIT YOTWICHAI</v>
      </c>
      <c r="F361" s="42"/>
      <c r="G361" s="3"/>
      <c r="H361" s="8"/>
      <c r="I361" s="8" t="s">
        <v>411</v>
      </c>
      <c r="J361" s="8"/>
      <c r="K361" s="2" t="s">
        <v>412</v>
      </c>
      <c r="L361" s="8"/>
      <c r="M361" s="8"/>
      <c r="N361" s="8"/>
      <c r="O361" s="8" t="s">
        <v>411</v>
      </c>
      <c r="P361" s="8"/>
      <c r="Q361" s="2" t="s">
        <v>412</v>
      </c>
      <c r="R361" s="8"/>
    </row>
    <row r="362" spans="1:18">
      <c r="A362" s="14"/>
      <c r="B362" s="42"/>
      <c r="C362" s="10" t="str">
        <f t="shared" si="63"/>
        <v/>
      </c>
      <c r="D362" s="9"/>
      <c r="E362" s="9" t="str">
        <f t="shared" si="64"/>
        <v>RITHIKEAT TEACHO</v>
      </c>
      <c r="F362" s="42"/>
      <c r="G362" s="3"/>
      <c r="H362" s="8"/>
      <c r="I362" s="8"/>
      <c r="J362" s="8"/>
      <c r="K362" s="2" t="s">
        <v>413</v>
      </c>
      <c r="L362" s="8"/>
      <c r="M362" s="8"/>
      <c r="N362" s="8"/>
      <c r="O362" s="8"/>
      <c r="P362" s="8"/>
      <c r="Q362" s="2" t="s">
        <v>413</v>
      </c>
      <c r="R362" s="8"/>
    </row>
    <row r="363" spans="1:18">
      <c r="A363" s="14"/>
      <c r="B363" s="42"/>
      <c r="C363" s="10" t="str">
        <f t="shared" si="63"/>
        <v/>
      </c>
      <c r="D363" s="9"/>
      <c r="E363" s="9" t="str">
        <f t="shared" si="64"/>
        <v>JAKKRIT JAROENSUK</v>
      </c>
      <c r="F363" s="42"/>
      <c r="G363" s="3"/>
      <c r="H363" s="8"/>
      <c r="I363" s="8"/>
      <c r="J363" s="8"/>
      <c r="K363" s="2" t="s">
        <v>414</v>
      </c>
      <c r="L363" s="8"/>
      <c r="M363" s="8"/>
      <c r="N363" s="8"/>
      <c r="O363" s="8"/>
      <c r="P363" s="8"/>
      <c r="Q363" s="2" t="s">
        <v>414</v>
      </c>
      <c r="R363" s="8"/>
    </row>
    <row r="364" spans="1:18">
      <c r="A364" s="14"/>
      <c r="B364" s="42"/>
      <c r="C364" s="10" t="str">
        <f t="shared" si="63"/>
        <v/>
      </c>
      <c r="D364" s="9"/>
      <c r="E364" s="9" t="str">
        <f t="shared" si="64"/>
        <v>NAWAPAS MAINKOON</v>
      </c>
      <c r="F364" s="42"/>
      <c r="G364" s="3"/>
      <c r="H364" s="8"/>
      <c r="I364" s="8"/>
      <c r="J364" s="8"/>
      <c r="K364" s="2" t="s">
        <v>415</v>
      </c>
      <c r="L364" s="8"/>
      <c r="M364" s="8"/>
      <c r="N364" s="8"/>
      <c r="O364" s="8"/>
      <c r="P364" s="8"/>
      <c r="Q364" s="2" t="s">
        <v>415</v>
      </c>
      <c r="R364" s="8"/>
    </row>
    <row r="365" spans="1:18">
      <c r="A365" s="14"/>
      <c r="B365" s="42"/>
      <c r="C365" s="10" t="str">
        <f t="shared" si="63"/>
        <v/>
      </c>
      <c r="D365" s="9"/>
      <c r="E365" s="9" t="str">
        <f t="shared" si="64"/>
        <v>THARIT BANCHANURAT</v>
      </c>
      <c r="F365" s="42"/>
      <c r="G365" s="3"/>
      <c r="H365" s="8"/>
      <c r="I365" s="8"/>
      <c r="J365" s="3"/>
      <c r="K365" s="2" t="s">
        <v>416</v>
      </c>
      <c r="L365" s="8"/>
      <c r="M365" s="8"/>
      <c r="N365" s="8"/>
      <c r="O365" s="8"/>
      <c r="P365" s="3"/>
      <c r="Q365" s="2" t="s">
        <v>416</v>
      </c>
      <c r="R365" s="8"/>
    </row>
    <row r="366" spans="1:18">
      <c r="A366" s="14"/>
      <c r="B366" s="42"/>
      <c r="C366" s="10" t="str">
        <f t="shared" si="63"/>
        <v/>
      </c>
      <c r="D366" s="9"/>
      <c r="E366" s="9" t="str">
        <f t="shared" si="64"/>
        <v>PALINEE ANURATANAPRASIT</v>
      </c>
      <c r="F366" s="42"/>
      <c r="G366" s="3"/>
      <c r="H366" s="8"/>
      <c r="I366" s="8"/>
      <c r="J366" s="3"/>
      <c r="K366" s="2" t="s">
        <v>417</v>
      </c>
      <c r="L366" s="8"/>
      <c r="M366" s="8"/>
      <c r="N366" s="8"/>
      <c r="O366" s="8"/>
      <c r="P366" s="3"/>
      <c r="Q366" s="2" t="s">
        <v>417</v>
      </c>
      <c r="R366" s="8"/>
    </row>
    <row r="367" spans="1:18">
      <c r="A367" s="14"/>
      <c r="B367" s="42"/>
      <c r="C367" s="10" t="str">
        <f t="shared" si="63"/>
        <v/>
      </c>
      <c r="D367" s="9"/>
      <c r="E367" s="9" t="str">
        <f t="shared" si="64"/>
        <v>PHARUNYOO PROMKORN</v>
      </c>
      <c r="F367" s="42"/>
      <c r="G367" s="3"/>
      <c r="H367" s="8"/>
      <c r="I367" s="8"/>
      <c r="J367" s="3"/>
      <c r="K367" s="2" t="s">
        <v>418</v>
      </c>
      <c r="L367" s="8"/>
      <c r="M367" s="8"/>
      <c r="N367" s="8"/>
      <c r="O367" s="8"/>
      <c r="P367" s="3"/>
      <c r="Q367" s="2" t="s">
        <v>418</v>
      </c>
      <c r="R367" s="8"/>
    </row>
    <row r="368" spans="1:18">
      <c r="A368" s="14"/>
      <c r="B368" s="42"/>
      <c r="C368" s="10" t="str">
        <f t="shared" si="63"/>
        <v/>
      </c>
      <c r="D368" s="9"/>
      <c r="E368" s="9" t="str">
        <f t="shared" si="64"/>
        <v>CHANANKARN KANTA</v>
      </c>
      <c r="F368" s="42"/>
      <c r="G368" s="3"/>
      <c r="H368" s="8"/>
      <c r="I368" s="8"/>
      <c r="J368" s="3"/>
      <c r="K368" s="2" t="s">
        <v>419</v>
      </c>
      <c r="L368" s="8"/>
      <c r="M368" s="8"/>
      <c r="N368" s="8"/>
      <c r="O368" s="8"/>
      <c r="P368" s="3"/>
      <c r="Q368" s="2" t="s">
        <v>419</v>
      </c>
      <c r="R368" s="8"/>
    </row>
    <row r="369" spans="1:18">
      <c r="A369" s="14"/>
      <c r="B369" s="42"/>
      <c r="C369" s="10" t="str">
        <f t="shared" si="63"/>
        <v/>
      </c>
      <c r="D369" s="9"/>
      <c r="E369" s="9" t="str">
        <f t="shared" si="64"/>
        <v>CHANAPAT THUETRONG</v>
      </c>
      <c r="F369" s="42"/>
      <c r="G369" s="3"/>
      <c r="H369" s="8"/>
      <c r="I369" s="8"/>
      <c r="J369" s="3"/>
      <c r="K369" s="2" t="s">
        <v>420</v>
      </c>
      <c r="L369" s="8"/>
      <c r="M369" s="8"/>
      <c r="N369" s="8"/>
      <c r="O369" s="8"/>
      <c r="P369" s="3"/>
      <c r="Q369" s="2" t="s">
        <v>420</v>
      </c>
      <c r="R369" s="8"/>
    </row>
    <row r="370" spans="1:18">
      <c r="A370" s="14"/>
      <c r="B370" s="42"/>
      <c r="C370" s="10" t="str">
        <f t="shared" si="63"/>
        <v/>
      </c>
      <c r="D370" s="9"/>
      <c r="E370" s="9" t="str">
        <f t="shared" si="64"/>
        <v>TARIGAN SUKONTAGON</v>
      </c>
      <c r="F370" s="42"/>
      <c r="G370" s="3"/>
      <c r="H370" s="8"/>
      <c r="I370" s="8"/>
      <c r="J370" s="3"/>
      <c r="K370" s="2" t="s">
        <v>421</v>
      </c>
      <c r="L370" s="8"/>
      <c r="M370" s="8"/>
      <c r="N370" s="8"/>
      <c r="O370" s="8"/>
      <c r="P370" s="3"/>
      <c r="Q370" s="2" t="s">
        <v>421</v>
      </c>
      <c r="R370" s="8"/>
    </row>
    <row r="371" spans="1:18">
      <c r="A371" s="14"/>
      <c r="B371" s="42"/>
      <c r="C371" s="10" t="str">
        <f t="shared" si="63"/>
        <v/>
      </c>
      <c r="D371" s="9"/>
      <c r="E371" s="9" t="str">
        <f t="shared" si="64"/>
        <v>WATCHARAPOL PANYAPITAKKUL</v>
      </c>
      <c r="F371" s="42"/>
      <c r="G371" s="3"/>
      <c r="H371" s="8"/>
      <c r="I371" s="8"/>
      <c r="J371" s="3"/>
      <c r="K371" s="2" t="s">
        <v>422</v>
      </c>
      <c r="L371" s="8"/>
      <c r="M371" s="8"/>
      <c r="N371" s="8"/>
      <c r="O371" s="8"/>
      <c r="P371" s="3"/>
      <c r="Q371" s="2" t="s">
        <v>422</v>
      </c>
      <c r="R371" s="8"/>
    </row>
    <row r="372" spans="1:18">
      <c r="A372" s="14"/>
      <c r="B372" s="42"/>
      <c r="C372" s="10" t="str">
        <f t="shared" si="63"/>
        <v/>
      </c>
      <c r="D372" s="9"/>
      <c r="E372" s="9" t="str">
        <f t="shared" si="64"/>
        <v>PRAPABHORN POOMSIRI</v>
      </c>
      <c r="F372" s="42"/>
      <c r="G372" s="3"/>
      <c r="H372" s="8"/>
      <c r="I372" s="8"/>
      <c r="J372" s="3"/>
      <c r="K372" s="2" t="s">
        <v>423</v>
      </c>
      <c r="L372" s="8"/>
      <c r="M372" s="8"/>
      <c r="N372" s="8"/>
      <c r="O372" s="8"/>
      <c r="P372" s="3"/>
      <c r="Q372" s="2" t="s">
        <v>423</v>
      </c>
      <c r="R372" s="8"/>
    </row>
    <row r="373" spans="1:18">
      <c r="A373" s="14"/>
      <c r="B373" s="42"/>
      <c r="C373" s="10" t="str">
        <f t="shared" si="63"/>
        <v/>
      </c>
      <c r="D373" s="9"/>
      <c r="E373" s="9" t="str">
        <f t="shared" si="64"/>
        <v>BAVORNSAK UDOMCHIMPLEE</v>
      </c>
      <c r="F373" s="42"/>
      <c r="G373" s="3"/>
      <c r="H373" s="8"/>
      <c r="I373" s="8"/>
      <c r="J373" s="3"/>
      <c r="K373" s="2" t="s">
        <v>424</v>
      </c>
      <c r="L373" s="8"/>
      <c r="M373" s="8"/>
      <c r="N373" s="8"/>
      <c r="O373" s="8"/>
      <c r="P373" s="3"/>
      <c r="Q373" s="2" t="s">
        <v>424</v>
      </c>
      <c r="R373" s="8"/>
    </row>
    <row r="374" spans="1:18">
      <c r="A374" s="14"/>
      <c r="B374" s="42"/>
      <c r="C374" s="10" t="str">
        <f t="shared" si="63"/>
        <v/>
      </c>
      <c r="D374" s="9"/>
      <c r="E374" s="9" t="str">
        <f t="shared" si="64"/>
        <v/>
      </c>
      <c r="F374" s="42"/>
      <c r="G374" s="3"/>
      <c r="H374" s="8"/>
      <c r="I374" s="8"/>
      <c r="J374" s="3"/>
      <c r="K374" s="3"/>
      <c r="L374" s="8"/>
      <c r="M374" s="8"/>
      <c r="N374" s="8"/>
      <c r="O374" s="8"/>
      <c r="P374" s="3"/>
      <c r="Q374" s="3"/>
      <c r="R374" s="3"/>
    </row>
    <row r="375" spans="1:18">
      <c r="A375" s="14"/>
      <c r="B375" s="11"/>
      <c r="C375" s="12" t="str">
        <f t="shared" si="63"/>
        <v/>
      </c>
      <c r="D375" s="11"/>
      <c r="E375" s="11" t="str">
        <f t="shared" si="64"/>
        <v/>
      </c>
      <c r="F375" s="11"/>
      <c r="G375" s="3"/>
      <c r="H375" s="3"/>
      <c r="I375" s="8"/>
      <c r="J375" s="3"/>
      <c r="K375" s="13"/>
      <c r="L375" s="3"/>
      <c r="M375" s="3"/>
      <c r="N375" s="3"/>
      <c r="O375" s="8"/>
      <c r="P375" s="3"/>
      <c r="Q375" s="3"/>
      <c r="R375" s="3"/>
    </row>
    <row r="376" spans="1:18">
      <c r="A376" s="14"/>
      <c r="B376" s="9" t="str">
        <f t="shared" ref="B376:C376" si="65">UPPER(H376)</f>
        <v/>
      </c>
      <c r="C376" s="10" t="str">
        <f t="shared" si="65"/>
        <v/>
      </c>
      <c r="D376" s="9"/>
      <c r="E376" s="9" t="str">
        <f t="shared" si="64"/>
        <v/>
      </c>
      <c r="F376" s="9"/>
      <c r="G376" s="3"/>
      <c r="H376" s="3"/>
      <c r="I376" s="8"/>
      <c r="J376" s="3"/>
      <c r="K376" s="13"/>
      <c r="L376" s="3"/>
      <c r="M376" s="8"/>
      <c r="N376" s="8"/>
      <c r="O376" s="8"/>
      <c r="P376" s="3"/>
      <c r="Q376" s="3"/>
      <c r="R376" s="3"/>
    </row>
    <row r="377" spans="1:18">
      <c r="A377" s="14"/>
      <c r="B377" s="150" t="str">
        <f>UPPER(H377)</f>
        <v>VOICE RECORDING</v>
      </c>
      <c r="C377" s="141"/>
      <c r="D377" s="141"/>
      <c r="E377" s="141"/>
      <c r="F377" s="141"/>
      <c r="G377" s="28"/>
      <c r="H377" s="167" t="s">
        <v>425</v>
      </c>
      <c r="I377" s="141"/>
      <c r="J377" s="141"/>
      <c r="K377" s="141"/>
      <c r="L377" s="141"/>
      <c r="M377" s="29"/>
      <c r="N377" s="149" t="s">
        <v>881</v>
      </c>
      <c r="O377" s="141"/>
      <c r="P377" s="141"/>
      <c r="Q377" s="141"/>
      <c r="R377" s="141"/>
    </row>
    <row r="378" spans="1:18">
      <c r="A378" s="14"/>
      <c r="B378" s="9"/>
      <c r="C378" s="10" t="str">
        <f t="shared" ref="C378:C390" si="66">UPPER(I378)</f>
        <v>VOICE DIRECTOR</v>
      </c>
      <c r="D378" s="9"/>
      <c r="E378" s="9" t="str">
        <f t="shared" ref="E378:E390" si="67">UPPER(K378)</f>
        <v>TOM WAYLAND</v>
      </c>
      <c r="F378" s="9"/>
      <c r="G378" s="3"/>
      <c r="H378" s="3"/>
      <c r="I378" s="36" t="s">
        <v>426</v>
      </c>
      <c r="J378" s="2"/>
      <c r="K378" s="2" t="s">
        <v>58</v>
      </c>
      <c r="L378" s="3"/>
      <c r="M378" s="8"/>
      <c r="N378" s="3"/>
      <c r="O378" s="8" t="s">
        <v>882</v>
      </c>
      <c r="P378" s="3"/>
      <c r="Q378" s="3" t="s">
        <v>883</v>
      </c>
      <c r="R378" s="3"/>
    </row>
    <row r="379" spans="1:18">
      <c r="A379" s="14"/>
      <c r="B379" s="9"/>
      <c r="C379" s="10" t="str">
        <f t="shared" si="66"/>
        <v/>
      </c>
      <c r="D379" s="9"/>
      <c r="E379" s="9" t="str">
        <f t="shared" si="67"/>
        <v/>
      </c>
      <c r="F379" s="9"/>
      <c r="G379" s="3"/>
      <c r="H379" s="3"/>
      <c r="I379" s="2"/>
      <c r="J379" s="2"/>
      <c r="K379" s="2"/>
      <c r="L379" s="3"/>
      <c r="M379" s="8"/>
      <c r="N379" s="3"/>
      <c r="O379" s="8"/>
      <c r="P379" s="3"/>
      <c r="Q379" s="3"/>
      <c r="R379" s="3"/>
    </row>
    <row r="380" spans="1:18">
      <c r="A380" s="14"/>
      <c r="B380" s="9"/>
      <c r="C380" s="10" t="str">
        <f t="shared" si="66"/>
        <v>RECORDING ENGINEER</v>
      </c>
      <c r="D380" s="9"/>
      <c r="E380" s="9" t="str">
        <f t="shared" si="67"/>
        <v>COLTON EATMON</v>
      </c>
      <c r="F380" s="9"/>
      <c r="G380" s="3"/>
      <c r="H380" s="3"/>
      <c r="I380" s="36" t="s">
        <v>427</v>
      </c>
      <c r="J380" s="2"/>
      <c r="K380" s="2" t="s">
        <v>695</v>
      </c>
      <c r="L380" s="3"/>
      <c r="M380" s="8"/>
      <c r="N380" s="3"/>
      <c r="O380" s="8" t="s">
        <v>884</v>
      </c>
      <c r="P380" s="3"/>
      <c r="Q380" s="3" t="s">
        <v>885</v>
      </c>
      <c r="R380" s="3"/>
    </row>
    <row r="381" spans="1:18">
      <c r="A381" s="14"/>
      <c r="B381" s="9"/>
      <c r="C381" s="10" t="str">
        <f t="shared" si="66"/>
        <v/>
      </c>
      <c r="D381" s="9"/>
      <c r="E381" s="9" t="str">
        <f t="shared" si="67"/>
        <v>DOMINIC DUNN</v>
      </c>
      <c r="F381" s="9"/>
      <c r="G381" s="3"/>
      <c r="H381" s="3"/>
      <c r="I381" s="2"/>
      <c r="J381" s="2"/>
      <c r="K381" s="2" t="s">
        <v>428</v>
      </c>
      <c r="L381" s="3"/>
      <c r="M381" s="8"/>
      <c r="N381" s="3"/>
      <c r="O381" s="8"/>
      <c r="P381" s="3"/>
      <c r="Q381" s="3"/>
      <c r="R381" s="3"/>
    </row>
    <row r="382" spans="1:18">
      <c r="A382" s="14"/>
      <c r="B382" s="9"/>
      <c r="C382" s="10" t="str">
        <f t="shared" si="66"/>
        <v/>
      </c>
      <c r="D382" s="9"/>
      <c r="E382" s="9" t="str">
        <f t="shared" si="67"/>
        <v>FAHAD RAHMAN</v>
      </c>
      <c r="F382" s="9"/>
      <c r="G382" s="3"/>
      <c r="H382" s="3"/>
      <c r="I382" s="2"/>
      <c r="J382" s="2"/>
      <c r="K382" s="2" t="s">
        <v>429</v>
      </c>
      <c r="L382" s="3"/>
      <c r="M382" s="8"/>
      <c r="N382" s="3"/>
      <c r="O382" s="8" t="s">
        <v>886</v>
      </c>
      <c r="P382" s="3"/>
      <c r="Q382" s="3" t="s">
        <v>885</v>
      </c>
      <c r="R382" s="3"/>
    </row>
    <row r="383" spans="1:18">
      <c r="A383" s="14"/>
      <c r="B383" s="9"/>
      <c r="C383" s="10" t="str">
        <f t="shared" si="66"/>
        <v/>
      </c>
      <c r="D383" s="9"/>
      <c r="E383" s="9" t="str">
        <f t="shared" si="67"/>
        <v>TOM WAYLAND</v>
      </c>
      <c r="F383" s="9"/>
      <c r="G383" s="3"/>
      <c r="H383" s="3"/>
      <c r="I383" s="2"/>
      <c r="J383" s="2"/>
      <c r="K383" s="2" t="s">
        <v>58</v>
      </c>
      <c r="L383" s="3"/>
      <c r="M383" s="8"/>
      <c r="N383" s="3"/>
      <c r="O383" s="8"/>
      <c r="P383" s="3"/>
      <c r="Q383" s="3"/>
      <c r="R383" s="3"/>
    </row>
    <row r="384" spans="1:18">
      <c r="A384" s="14"/>
      <c r="B384" s="9"/>
      <c r="C384" s="10" t="str">
        <f t="shared" si="66"/>
        <v/>
      </c>
      <c r="D384" s="9"/>
      <c r="E384" s="9" t="str">
        <f t="shared" si="67"/>
        <v/>
      </c>
      <c r="F384" s="9"/>
      <c r="G384" s="3"/>
      <c r="H384" s="3"/>
      <c r="I384" s="2"/>
      <c r="J384" s="2"/>
      <c r="K384" s="2"/>
      <c r="L384" s="3"/>
      <c r="M384" s="8"/>
      <c r="N384" s="3"/>
      <c r="O384" s="8" t="s">
        <v>887</v>
      </c>
      <c r="P384" s="3"/>
      <c r="Q384" s="3" t="s">
        <v>885</v>
      </c>
      <c r="R384" s="3"/>
    </row>
    <row r="385" spans="1:18">
      <c r="A385" s="14"/>
      <c r="B385" s="9"/>
      <c r="C385" s="10" t="str">
        <f t="shared" si="66"/>
        <v>VOICE CASTING</v>
      </c>
      <c r="D385" s="9"/>
      <c r="E385" s="9" t="str">
        <f t="shared" si="67"/>
        <v>TOM WAYLAND</v>
      </c>
      <c r="F385" s="9"/>
      <c r="G385" s="3"/>
      <c r="H385" s="3"/>
      <c r="I385" s="36" t="s">
        <v>430</v>
      </c>
      <c r="J385" s="2"/>
      <c r="K385" s="2" t="s">
        <v>58</v>
      </c>
      <c r="L385" s="3"/>
      <c r="M385" s="8"/>
      <c r="N385" s="3"/>
      <c r="O385" s="8"/>
      <c r="P385" s="3"/>
      <c r="Q385" s="13"/>
      <c r="R385" s="3"/>
    </row>
    <row r="386" spans="1:18">
      <c r="A386" s="14"/>
      <c r="B386" s="9"/>
      <c r="C386" s="10" t="str">
        <f t="shared" si="66"/>
        <v/>
      </c>
      <c r="D386" s="9"/>
      <c r="E386" s="9" t="str">
        <f t="shared" si="67"/>
        <v/>
      </c>
      <c r="F386" s="9"/>
      <c r="G386" s="3"/>
      <c r="H386" s="3"/>
      <c r="I386" s="2"/>
      <c r="J386" s="2"/>
      <c r="K386" s="2"/>
      <c r="L386" s="3"/>
      <c r="M386" s="8"/>
      <c r="N386" s="3"/>
      <c r="O386" s="8"/>
      <c r="P386" s="3"/>
      <c r="Q386" s="13"/>
      <c r="R386" s="3"/>
    </row>
    <row r="387" spans="1:18">
      <c r="A387" s="14"/>
      <c r="B387" s="9"/>
      <c r="C387" s="10" t="str">
        <f t="shared" si="66"/>
        <v>RECORDED BY</v>
      </c>
      <c r="D387" s="9"/>
      <c r="E387" s="9" t="str">
        <f t="shared" si="67"/>
        <v>3BEEP, NYC</v>
      </c>
      <c r="F387" s="9"/>
      <c r="G387" s="3"/>
      <c r="H387" s="3"/>
      <c r="I387" s="36" t="s">
        <v>431</v>
      </c>
      <c r="J387" s="2"/>
      <c r="K387" s="2" t="s">
        <v>432</v>
      </c>
      <c r="L387" s="3"/>
      <c r="M387" s="8"/>
      <c r="N387" s="3"/>
      <c r="O387" s="8"/>
      <c r="P387" s="3"/>
      <c r="Q387" s="13"/>
      <c r="R387" s="3"/>
    </row>
    <row r="388" spans="1:18">
      <c r="A388" s="14"/>
      <c r="B388" s="9"/>
      <c r="C388" s="10" t="str">
        <f t="shared" si="66"/>
        <v/>
      </c>
      <c r="D388" s="9"/>
      <c r="E388" s="9" t="str">
        <f t="shared" si="67"/>
        <v/>
      </c>
      <c r="F388" s="9"/>
      <c r="G388" s="3"/>
      <c r="H388" s="3"/>
      <c r="I388" s="2"/>
      <c r="J388" s="2"/>
      <c r="K388" s="2"/>
      <c r="L388" s="3"/>
      <c r="M388" s="8"/>
      <c r="N388" s="3"/>
      <c r="O388" s="8"/>
      <c r="P388" s="3"/>
      <c r="Q388" s="13"/>
      <c r="R388" s="3"/>
    </row>
    <row r="389" spans="1:18">
      <c r="A389" s="14"/>
      <c r="B389" s="9"/>
      <c r="C389" s="10" t="str">
        <f t="shared" si="66"/>
        <v>PRODUCER FOR  3BEEP</v>
      </c>
      <c r="D389" s="9"/>
      <c r="E389" s="9" t="str">
        <f t="shared" si="67"/>
        <v>TIM WERENKO</v>
      </c>
      <c r="F389" s="9"/>
      <c r="G389" s="3"/>
      <c r="H389" s="3"/>
      <c r="I389" s="36" t="s">
        <v>433</v>
      </c>
      <c r="J389" s="2"/>
      <c r="K389" s="2" t="s">
        <v>434</v>
      </c>
      <c r="L389" s="3"/>
      <c r="M389" s="8"/>
      <c r="N389" s="3"/>
      <c r="O389" s="8"/>
      <c r="P389" s="3"/>
      <c r="Q389" s="13"/>
      <c r="R389" s="3"/>
    </row>
    <row r="390" spans="1:18">
      <c r="A390" s="14"/>
      <c r="B390" s="9"/>
      <c r="C390" s="10" t="str">
        <f t="shared" si="66"/>
        <v/>
      </c>
      <c r="D390" s="9"/>
      <c r="E390" s="9" t="str">
        <f t="shared" si="67"/>
        <v>TOM WAYLAND</v>
      </c>
      <c r="F390" s="9"/>
      <c r="G390" s="3"/>
      <c r="H390" s="3"/>
      <c r="I390" s="2"/>
      <c r="J390" s="2"/>
      <c r="K390" s="2" t="s">
        <v>58</v>
      </c>
      <c r="L390" s="3"/>
      <c r="M390" s="8"/>
      <c r="N390" s="3"/>
      <c r="O390" s="8"/>
      <c r="P390" s="3"/>
      <c r="Q390" s="13"/>
      <c r="R390" s="3"/>
    </row>
    <row r="391" spans="1:18">
      <c r="A391" s="14"/>
      <c r="B391" s="9"/>
      <c r="C391" s="10"/>
      <c r="D391" s="9"/>
      <c r="E391" s="9"/>
      <c r="F391" s="9"/>
      <c r="G391" s="3"/>
      <c r="H391" s="3"/>
      <c r="I391" s="8"/>
      <c r="J391" s="3"/>
      <c r="K391" s="13"/>
      <c r="L391" s="3"/>
      <c r="M391" s="8"/>
      <c r="N391" s="3"/>
      <c r="O391" s="8"/>
      <c r="P391" s="3"/>
      <c r="Q391" s="13"/>
      <c r="R391" s="3"/>
    </row>
    <row r="392" spans="1:18">
      <c r="A392" s="14"/>
      <c r="B392" s="11"/>
      <c r="C392" s="12"/>
      <c r="D392" s="11"/>
      <c r="E392" s="11"/>
      <c r="F392" s="11"/>
      <c r="G392" s="3"/>
      <c r="H392" s="3"/>
      <c r="I392" s="8"/>
      <c r="J392" s="3"/>
      <c r="K392" s="13"/>
      <c r="L392" s="3"/>
      <c r="M392" s="3"/>
      <c r="N392" s="3"/>
      <c r="O392" s="8"/>
      <c r="P392" s="3"/>
      <c r="Q392" s="3"/>
      <c r="R392" s="3"/>
    </row>
    <row r="393" spans="1:18">
      <c r="A393" s="14"/>
      <c r="B393" s="6"/>
      <c r="C393" s="6"/>
      <c r="D393" s="6"/>
      <c r="E393" s="6"/>
      <c r="F393" s="6"/>
      <c r="G393" s="3"/>
      <c r="H393" s="5"/>
      <c r="I393" s="5"/>
      <c r="J393" s="5"/>
      <c r="K393" s="5"/>
      <c r="L393" s="5"/>
      <c r="M393" s="8"/>
      <c r="N393" s="8"/>
      <c r="O393" s="8"/>
      <c r="P393" s="3"/>
      <c r="Q393" s="3"/>
      <c r="R393" s="3"/>
    </row>
    <row r="394" spans="1:18">
      <c r="A394" s="14"/>
      <c r="B394" s="150" t="str">
        <f>UPPER(H394)</f>
        <v>POST PRODUCTION / ORIGINAL SCORES &amp; SONGS</v>
      </c>
      <c r="C394" s="141"/>
      <c r="D394" s="141"/>
      <c r="E394" s="141"/>
      <c r="F394" s="141"/>
      <c r="G394" s="28"/>
      <c r="H394" s="167" t="s">
        <v>435</v>
      </c>
      <c r="I394" s="141"/>
      <c r="J394" s="141"/>
      <c r="K394" s="141"/>
      <c r="L394" s="141"/>
      <c r="M394" s="29"/>
      <c r="N394" s="149" t="s">
        <v>888</v>
      </c>
      <c r="O394" s="141"/>
      <c r="P394" s="141"/>
      <c r="Q394" s="141"/>
      <c r="R394" s="141"/>
    </row>
    <row r="395" spans="1:18">
      <c r="A395" s="14"/>
      <c r="B395" s="9"/>
      <c r="C395" s="10" t="str">
        <f t="shared" ref="C395:C397" si="68">UPPER(I395)</f>
        <v>AUDIO POST PRODUCTION</v>
      </c>
      <c r="D395" s="9"/>
      <c r="E395" s="9" t="str">
        <f t="shared" ref="E395:E397" si="69">UPPER(K395)</f>
        <v>DOONG SOUND</v>
      </c>
      <c r="F395" s="9"/>
      <c r="G395" s="3"/>
      <c r="H395" s="3"/>
      <c r="I395" s="8" t="s">
        <v>436</v>
      </c>
      <c r="J395" s="3"/>
      <c r="K395" s="3" t="s">
        <v>437</v>
      </c>
      <c r="L395" s="3"/>
      <c r="M395" s="8"/>
      <c r="N395" s="3"/>
      <c r="O395" s="8" t="s">
        <v>889</v>
      </c>
      <c r="P395" s="3"/>
      <c r="Q395" s="3" t="s">
        <v>883</v>
      </c>
      <c r="R395" s="3"/>
    </row>
    <row r="396" spans="1:18">
      <c r="A396" s="14"/>
      <c r="B396" s="6"/>
      <c r="C396" s="10" t="str">
        <f t="shared" si="68"/>
        <v>SOUND SUPERVISOR</v>
      </c>
      <c r="D396" s="9"/>
      <c r="E396" s="9" t="str">
        <f t="shared" si="69"/>
        <v>JEONGYOUNG PARK</v>
      </c>
      <c r="F396" s="6"/>
      <c r="G396" s="3"/>
      <c r="H396" s="3"/>
      <c r="I396" s="8" t="s">
        <v>438</v>
      </c>
      <c r="J396" s="3"/>
      <c r="K396" s="3" t="s">
        <v>439</v>
      </c>
      <c r="L396" s="3"/>
      <c r="M396" s="8"/>
      <c r="N396" s="3"/>
      <c r="O396" s="8" t="s">
        <v>890</v>
      </c>
      <c r="P396" s="3"/>
      <c r="Q396" s="3" t="s">
        <v>891</v>
      </c>
      <c r="R396" s="3"/>
    </row>
    <row r="397" spans="1:18">
      <c r="A397" s="14"/>
      <c r="B397" s="6"/>
      <c r="C397" s="10" t="str">
        <f t="shared" si="68"/>
        <v>SOUND PRODUCTION MANAGER</v>
      </c>
      <c r="D397" s="9"/>
      <c r="E397" s="9" t="str">
        <f t="shared" si="69"/>
        <v>HYEJEONG HWANG</v>
      </c>
      <c r="F397" s="6"/>
      <c r="G397" s="3"/>
      <c r="H397" s="3"/>
      <c r="I397" s="8" t="s">
        <v>440</v>
      </c>
      <c r="J397" s="3"/>
      <c r="K397" s="3" t="s">
        <v>441</v>
      </c>
      <c r="L397" s="3"/>
      <c r="M397" s="8"/>
      <c r="N397" s="3"/>
      <c r="O397" s="8" t="s">
        <v>892</v>
      </c>
      <c r="P397" s="3"/>
      <c r="Q397" s="3" t="s">
        <v>885</v>
      </c>
      <c r="R397" s="3"/>
    </row>
    <row r="398" spans="1:18">
      <c r="A398" s="14"/>
      <c r="B398" s="6"/>
      <c r="C398" s="6"/>
      <c r="D398" s="6"/>
      <c r="E398" s="6"/>
      <c r="F398" s="6"/>
      <c r="G398" s="3"/>
      <c r="H398" s="3"/>
      <c r="I398" s="8"/>
      <c r="J398" s="3"/>
      <c r="K398" s="3"/>
      <c r="L398" s="3"/>
      <c r="M398" s="8"/>
      <c r="N398" s="8"/>
      <c r="O398" s="8"/>
      <c r="P398" s="3"/>
      <c r="Q398" s="3"/>
      <c r="R398" s="3"/>
    </row>
    <row r="399" spans="1:18">
      <c r="A399" s="14"/>
      <c r="B399" s="6"/>
      <c r="C399" s="6"/>
      <c r="D399" s="6"/>
      <c r="E399" s="6"/>
      <c r="F399" s="6"/>
      <c r="G399" s="3"/>
      <c r="H399" s="3"/>
      <c r="I399" s="8"/>
      <c r="J399" s="3"/>
      <c r="K399" s="3"/>
      <c r="L399" s="3"/>
      <c r="M399" s="8"/>
      <c r="N399" s="149"/>
      <c r="O399" s="141"/>
      <c r="P399" s="141"/>
      <c r="Q399" s="141"/>
      <c r="R399" s="141"/>
    </row>
    <row r="400" spans="1:18">
      <c r="A400" s="14"/>
      <c r="B400" s="146" t="str">
        <f>UPPER(H400)</f>
        <v>SOUND</v>
      </c>
      <c r="C400" s="141"/>
      <c r="D400" s="141"/>
      <c r="E400" s="141"/>
      <c r="F400" s="141"/>
      <c r="G400" s="3"/>
      <c r="H400" s="149" t="s">
        <v>442</v>
      </c>
      <c r="I400" s="141"/>
      <c r="J400" s="141"/>
      <c r="K400" s="141"/>
      <c r="L400" s="141"/>
      <c r="M400" s="8"/>
      <c r="N400" s="149" t="s">
        <v>893</v>
      </c>
      <c r="O400" s="141"/>
      <c r="P400" s="141"/>
      <c r="Q400" s="141"/>
      <c r="R400" s="141"/>
    </row>
    <row r="401" spans="1:18">
      <c r="A401" s="14"/>
      <c r="B401" s="9"/>
      <c r="C401" s="10" t="str">
        <f t="shared" ref="C401:C403" si="70">UPPER(I401)</f>
        <v>CHIEF SOUND DESIGNER &amp; EFFECTS &amp; EDITOR</v>
      </c>
      <c r="D401" s="9"/>
      <c r="E401" s="9" t="str">
        <f t="shared" ref="E401:E403" si="71">UPPER(K401)</f>
        <v>HYEJEONG HWANG</v>
      </c>
      <c r="F401" s="9"/>
      <c r="G401" s="3"/>
      <c r="H401" s="8"/>
      <c r="I401" s="8" t="s">
        <v>443</v>
      </c>
      <c r="J401" s="3"/>
      <c r="K401" s="3" t="s">
        <v>441</v>
      </c>
      <c r="L401" s="3"/>
      <c r="M401" s="8"/>
      <c r="N401" s="3"/>
      <c r="O401" s="8" t="s">
        <v>894</v>
      </c>
      <c r="P401" s="3"/>
      <c r="Q401" s="3" t="s">
        <v>885</v>
      </c>
      <c r="R401" s="3"/>
    </row>
    <row r="402" spans="1:18">
      <c r="A402" s="14"/>
      <c r="B402" s="9"/>
      <c r="C402" s="10" t="str">
        <f t="shared" si="70"/>
        <v>VOICE EDITOR</v>
      </c>
      <c r="D402" s="9"/>
      <c r="E402" s="9" t="str">
        <f t="shared" si="71"/>
        <v>HYEJEONG HWANG</v>
      </c>
      <c r="F402" s="9"/>
      <c r="G402" s="3"/>
      <c r="H402" s="8"/>
      <c r="I402" s="8" t="s">
        <v>444</v>
      </c>
      <c r="J402" s="3"/>
      <c r="K402" s="3" t="s">
        <v>441</v>
      </c>
      <c r="L402" s="3"/>
      <c r="M402" s="8"/>
      <c r="N402" s="3"/>
      <c r="O402" s="8" t="s">
        <v>895</v>
      </c>
      <c r="P402" s="3"/>
      <c r="Q402" s="3" t="s">
        <v>885</v>
      </c>
      <c r="R402" s="3"/>
    </row>
    <row r="403" spans="1:18">
      <c r="A403" s="14"/>
      <c r="B403" s="9"/>
      <c r="C403" s="10" t="str">
        <f t="shared" si="70"/>
        <v>MIXING &amp; MASTERING</v>
      </c>
      <c r="D403" s="9"/>
      <c r="E403" s="9" t="str">
        <f t="shared" si="71"/>
        <v>HYEJEONG HWANG</v>
      </c>
      <c r="F403" s="9"/>
      <c r="G403" s="3"/>
      <c r="H403" s="8"/>
      <c r="I403" s="8" t="s">
        <v>445</v>
      </c>
      <c r="J403" s="3"/>
      <c r="K403" s="3" t="s">
        <v>441</v>
      </c>
      <c r="L403" s="3"/>
      <c r="M403" s="8"/>
      <c r="N403" s="3"/>
      <c r="O403" s="8" t="s">
        <v>896</v>
      </c>
      <c r="P403" s="3"/>
      <c r="Q403" s="3" t="s">
        <v>885</v>
      </c>
      <c r="R403" s="3"/>
    </row>
    <row r="404" spans="1:18">
      <c r="A404" s="14"/>
      <c r="B404" s="9"/>
      <c r="C404" s="9"/>
      <c r="D404" s="9"/>
      <c r="E404" s="9"/>
      <c r="F404" s="9"/>
      <c r="G404" s="3"/>
      <c r="H404" s="8"/>
      <c r="I404" s="8"/>
      <c r="J404" s="3"/>
      <c r="K404" s="3" t="s">
        <v>439</v>
      </c>
      <c r="L404" s="3"/>
      <c r="M404" s="8"/>
      <c r="N404" s="3"/>
      <c r="O404" s="8"/>
      <c r="P404" s="3"/>
      <c r="Q404" s="3" t="s">
        <v>891</v>
      </c>
      <c r="R404" s="3"/>
    </row>
    <row r="405" spans="1:18">
      <c r="A405" s="14"/>
      <c r="B405" s="9"/>
      <c r="C405" s="9"/>
      <c r="D405" s="9"/>
      <c r="E405" s="9"/>
      <c r="F405" s="9"/>
      <c r="G405" s="3"/>
      <c r="H405" s="8"/>
      <c r="I405" s="8"/>
      <c r="J405" s="3"/>
      <c r="K405" s="3"/>
      <c r="L405" s="3"/>
      <c r="M405" s="8"/>
      <c r="N405" s="149"/>
      <c r="O405" s="141"/>
      <c r="P405" s="141"/>
      <c r="Q405" s="141"/>
      <c r="R405" s="141"/>
    </row>
    <row r="406" spans="1:18">
      <c r="A406" s="14"/>
      <c r="B406" s="9"/>
      <c r="C406" s="9"/>
      <c r="D406" s="9"/>
      <c r="E406" s="9"/>
      <c r="F406" s="9"/>
      <c r="G406" s="3"/>
      <c r="H406" s="8"/>
      <c r="I406" s="8"/>
      <c r="J406" s="3"/>
      <c r="K406" s="3"/>
      <c r="L406" s="3"/>
      <c r="M406" s="8"/>
      <c r="N406" s="8"/>
      <c r="O406" s="8"/>
      <c r="P406" s="3"/>
      <c r="Q406" s="3"/>
      <c r="R406" s="3"/>
    </row>
    <row r="407" spans="1:18">
      <c r="A407" s="14"/>
      <c r="B407" s="146" t="str">
        <f>UPPER(H407)</f>
        <v>ORIGINAL SCORE</v>
      </c>
      <c r="C407" s="141"/>
      <c r="D407" s="141"/>
      <c r="E407" s="141"/>
      <c r="F407" s="141"/>
      <c r="G407" s="3"/>
      <c r="H407" s="149" t="s">
        <v>446</v>
      </c>
      <c r="I407" s="141"/>
      <c r="J407" s="141"/>
      <c r="K407" s="141"/>
      <c r="L407" s="141"/>
      <c r="M407" s="8"/>
      <c r="N407" s="149" t="s">
        <v>897</v>
      </c>
      <c r="O407" s="141"/>
      <c r="P407" s="141"/>
      <c r="Q407" s="141"/>
      <c r="R407" s="141"/>
    </row>
    <row r="408" spans="1:18">
      <c r="A408" s="14"/>
      <c r="B408" s="9"/>
      <c r="C408" s="10" t="str">
        <f>UPPER(I408)</f>
        <v>MUSIC SUPERVISOR</v>
      </c>
      <c r="D408" s="9"/>
      <c r="E408" s="9" t="str">
        <f t="shared" ref="E408:E417" si="72">UPPER(K408)</f>
        <v>YOONHO KIM</v>
      </c>
      <c r="F408" s="9"/>
      <c r="G408" s="3"/>
      <c r="H408" s="8"/>
      <c r="I408" s="8" t="s">
        <v>447</v>
      </c>
      <c r="J408" s="3"/>
      <c r="K408" s="3" t="s">
        <v>448</v>
      </c>
      <c r="L408" s="3"/>
      <c r="M408" s="8"/>
      <c r="N408" s="3"/>
      <c r="O408" s="8" t="s">
        <v>898</v>
      </c>
      <c r="P408" s="3"/>
      <c r="Q408" s="3" t="s">
        <v>899</v>
      </c>
      <c r="R408" s="3"/>
    </row>
    <row r="409" spans="1:18">
      <c r="A409" s="14"/>
      <c r="B409" s="9"/>
      <c r="C409" s="9"/>
      <c r="D409" s="9"/>
      <c r="E409" s="9" t="str">
        <f t="shared" si="72"/>
        <v>SIEUN KIM</v>
      </c>
      <c r="F409" s="9"/>
      <c r="G409" s="3"/>
      <c r="H409" s="8"/>
      <c r="I409" s="8" t="s">
        <v>449</v>
      </c>
      <c r="J409" s="3"/>
      <c r="K409" s="3" t="s">
        <v>450</v>
      </c>
      <c r="L409" s="3"/>
      <c r="M409" s="8"/>
      <c r="N409" s="3"/>
      <c r="O409" s="8" t="s">
        <v>900</v>
      </c>
      <c r="P409" s="3"/>
      <c r="Q409" s="3" t="s">
        <v>901</v>
      </c>
      <c r="R409" s="3"/>
    </row>
    <row r="410" spans="1:18">
      <c r="A410" s="14"/>
      <c r="B410" s="9"/>
      <c r="C410" s="10" t="str">
        <f>UPPER(I410)</f>
        <v>ADDITIONAL COMPOSER</v>
      </c>
      <c r="D410" s="9"/>
      <c r="E410" s="9" t="str">
        <f t="shared" si="72"/>
        <v>NAYEON LEE</v>
      </c>
      <c r="F410" s="9"/>
      <c r="G410" s="3"/>
      <c r="H410" s="8"/>
      <c r="I410" s="8" t="s">
        <v>451</v>
      </c>
      <c r="J410" s="3"/>
      <c r="K410" s="22" t="s">
        <v>452</v>
      </c>
      <c r="L410" s="3"/>
      <c r="M410" s="8"/>
      <c r="N410" s="3"/>
      <c r="O410" s="8" t="s">
        <v>902</v>
      </c>
      <c r="P410" s="3"/>
      <c r="Q410" s="3" t="s">
        <v>903</v>
      </c>
      <c r="R410" s="3"/>
    </row>
    <row r="411" spans="1:18">
      <c r="A411" s="14"/>
      <c r="B411" s="9"/>
      <c r="C411" s="10"/>
      <c r="D411" s="9"/>
      <c r="E411" s="9" t="str">
        <f t="shared" si="72"/>
        <v>DOLLY HWANG</v>
      </c>
      <c r="F411" s="9"/>
      <c r="G411" s="3"/>
      <c r="H411" s="8"/>
      <c r="I411" s="8"/>
      <c r="J411" s="3"/>
      <c r="K411" s="22" t="s">
        <v>453</v>
      </c>
      <c r="L411" s="3"/>
      <c r="M411" s="8"/>
      <c r="N411" s="3"/>
      <c r="O411" s="3"/>
      <c r="P411" s="3"/>
      <c r="Q411" s="20" t="s">
        <v>453</v>
      </c>
      <c r="R411" s="3"/>
    </row>
    <row r="412" spans="1:18">
      <c r="A412" s="14"/>
      <c r="B412" s="9"/>
      <c r="C412" s="10"/>
      <c r="D412" s="9"/>
      <c r="E412" s="9" t="str">
        <f t="shared" si="72"/>
        <v>HAEHOON LEE</v>
      </c>
      <c r="F412" s="9"/>
      <c r="G412" s="3"/>
      <c r="H412" s="8"/>
      <c r="I412" s="8"/>
      <c r="J412" s="3"/>
      <c r="K412" s="24" t="s">
        <v>454</v>
      </c>
      <c r="L412" s="3"/>
      <c r="M412" s="8"/>
      <c r="N412" s="3"/>
      <c r="O412" s="3"/>
      <c r="P412" s="3"/>
      <c r="Q412" s="3" t="s">
        <v>904</v>
      </c>
      <c r="R412" s="3"/>
    </row>
    <row r="413" spans="1:18">
      <c r="A413" s="14"/>
      <c r="B413" s="9"/>
      <c r="C413" s="10"/>
      <c r="D413" s="9"/>
      <c r="E413" s="9" t="str">
        <f t="shared" si="72"/>
        <v>SOYOUNG KWON</v>
      </c>
      <c r="F413" s="9"/>
      <c r="G413" s="3"/>
      <c r="H413" s="8"/>
      <c r="I413" s="8"/>
      <c r="J413" s="3"/>
      <c r="K413" s="22" t="s">
        <v>455</v>
      </c>
      <c r="L413" s="3"/>
      <c r="M413" s="8"/>
      <c r="N413" s="8"/>
      <c r="O413" s="8"/>
      <c r="P413" s="3"/>
      <c r="Q413" s="3" t="s">
        <v>905</v>
      </c>
      <c r="R413" s="3"/>
    </row>
    <row r="414" spans="1:18">
      <c r="A414" s="14"/>
      <c r="B414" s="9"/>
      <c r="C414" s="10"/>
      <c r="D414" s="9"/>
      <c r="E414" s="9" t="str">
        <f t="shared" si="72"/>
        <v>BUMPIZ</v>
      </c>
      <c r="F414" s="9"/>
      <c r="G414" s="3"/>
      <c r="H414" s="8"/>
      <c r="I414" s="8"/>
      <c r="J414" s="3"/>
      <c r="K414" s="22" t="s">
        <v>456</v>
      </c>
      <c r="L414" s="3"/>
      <c r="M414" s="8"/>
      <c r="N414" s="8"/>
      <c r="O414" s="21"/>
      <c r="P414" s="3"/>
      <c r="Q414" s="3" t="s">
        <v>456</v>
      </c>
      <c r="R414" s="3"/>
    </row>
    <row r="415" spans="1:18">
      <c r="A415" s="14"/>
      <c r="B415" s="9"/>
      <c r="C415" s="10"/>
      <c r="D415" s="9"/>
      <c r="E415" s="9" t="str">
        <f t="shared" si="72"/>
        <v>YEONGHUN YUN</v>
      </c>
      <c r="F415" s="9"/>
      <c r="G415" s="3"/>
      <c r="H415" s="8"/>
      <c r="I415" s="8"/>
      <c r="J415" s="3"/>
      <c r="K415" s="22" t="s">
        <v>457</v>
      </c>
      <c r="L415" s="3"/>
      <c r="M415" s="8"/>
      <c r="N415" s="8"/>
      <c r="O415" s="21"/>
      <c r="P415" s="3"/>
      <c r="Q415" s="3" t="s">
        <v>906</v>
      </c>
      <c r="R415" s="3"/>
    </row>
    <row r="416" spans="1:18">
      <c r="A416" s="14"/>
      <c r="B416" s="9"/>
      <c r="C416" s="10"/>
      <c r="D416" s="9"/>
      <c r="E416" s="9" t="str">
        <f t="shared" si="72"/>
        <v>JIAE YU</v>
      </c>
      <c r="F416" s="9"/>
      <c r="G416" s="3"/>
      <c r="H416" s="8"/>
      <c r="I416" s="8"/>
      <c r="J416" s="3"/>
      <c r="K416" s="22" t="s">
        <v>458</v>
      </c>
      <c r="L416" s="3"/>
      <c r="M416" s="8"/>
      <c r="N416" s="8"/>
      <c r="O416" s="21"/>
      <c r="P416" s="3"/>
      <c r="Q416" s="3" t="s">
        <v>907</v>
      </c>
      <c r="R416" s="3"/>
    </row>
    <row r="417" spans="1:18">
      <c r="A417" s="14"/>
      <c r="B417" s="9"/>
      <c r="C417" s="9"/>
      <c r="D417" s="9"/>
      <c r="E417" s="9" t="str">
        <f t="shared" si="72"/>
        <v/>
      </c>
      <c r="F417" s="9"/>
      <c r="G417" s="3"/>
      <c r="H417" s="8"/>
      <c r="I417" s="8"/>
      <c r="J417" s="3"/>
      <c r="K417" s="22"/>
      <c r="L417" s="3"/>
      <c r="M417" s="8"/>
      <c r="N417" s="8"/>
      <c r="O417" s="8"/>
      <c r="P417" s="3"/>
      <c r="Q417" s="3"/>
      <c r="R417" s="3"/>
    </row>
    <row r="418" spans="1:18">
      <c r="A418" s="14"/>
      <c r="B418" s="11"/>
      <c r="C418" s="11"/>
      <c r="D418" s="11"/>
      <c r="E418" s="11"/>
      <c r="F418" s="11"/>
      <c r="G418" s="3"/>
      <c r="H418" s="8"/>
      <c r="I418" s="8"/>
      <c r="J418" s="3"/>
      <c r="K418" s="3"/>
      <c r="L418" s="3"/>
      <c r="M418" s="8"/>
      <c r="N418" s="8"/>
      <c r="O418" s="8"/>
      <c r="P418" s="3"/>
      <c r="Q418" s="3"/>
      <c r="R418" s="3"/>
    </row>
    <row r="419" spans="1:18">
      <c r="A419" s="14"/>
      <c r="B419" s="6"/>
      <c r="C419" s="6"/>
      <c r="D419" s="6"/>
      <c r="E419" s="6"/>
      <c r="F419" s="6"/>
      <c r="G419" s="3"/>
      <c r="H419" s="74"/>
      <c r="I419" s="5"/>
      <c r="J419" s="5"/>
      <c r="K419" s="5"/>
      <c r="L419" s="74"/>
      <c r="M419" s="8"/>
      <c r="N419" s="8"/>
      <c r="O419" s="8"/>
      <c r="P419" s="3"/>
      <c r="Q419" s="3"/>
      <c r="R419" s="3"/>
    </row>
    <row r="420" spans="1:18">
      <c r="A420" s="14"/>
      <c r="B420" s="150" t="str">
        <f t="shared" ref="B420:B421" si="73">UPPER(H420)</f>
        <v>POST PRODUCTION / ORIGINAL SCORES &amp; SONGS</v>
      </c>
      <c r="C420" s="141"/>
      <c r="D420" s="141"/>
      <c r="E420" s="141"/>
      <c r="F420" s="141"/>
      <c r="G420" s="28"/>
      <c r="H420" s="167" t="s">
        <v>435</v>
      </c>
      <c r="I420" s="141"/>
      <c r="J420" s="141"/>
      <c r="K420" s="141"/>
      <c r="L420" s="141"/>
      <c r="M420" s="29"/>
      <c r="N420" s="149" t="s">
        <v>888</v>
      </c>
      <c r="O420" s="141"/>
      <c r="P420" s="141"/>
      <c r="Q420" s="141"/>
      <c r="R420" s="141"/>
    </row>
    <row r="421" spans="1:18">
      <c r="A421" s="14"/>
      <c r="B421" s="146" t="str">
        <f t="shared" si="73"/>
        <v>RECORDING SESSION</v>
      </c>
      <c r="C421" s="141"/>
      <c r="D421" s="141"/>
      <c r="E421" s="141"/>
      <c r="F421" s="141"/>
      <c r="G421" s="3"/>
      <c r="H421" s="151" t="s">
        <v>459</v>
      </c>
      <c r="I421" s="141"/>
      <c r="J421" s="141"/>
      <c r="K421" s="141"/>
      <c r="L421" s="141"/>
      <c r="M421" s="8"/>
      <c r="N421" s="151" t="s">
        <v>908</v>
      </c>
      <c r="O421" s="141"/>
      <c r="P421" s="141"/>
      <c r="Q421" s="141"/>
      <c r="R421" s="141"/>
    </row>
    <row r="422" spans="1:18">
      <c r="A422" s="14"/>
      <c r="B422" s="9"/>
      <c r="C422" s="10" t="str">
        <f t="shared" ref="C422:C438" si="74">UPPER(I422)</f>
        <v/>
      </c>
      <c r="D422" s="9"/>
      <c r="E422" s="9" t="str">
        <f t="shared" ref="E422:E438" si="75">UPPER(K422)</f>
        <v/>
      </c>
      <c r="F422" s="9"/>
      <c r="G422" s="3"/>
      <c r="H422" s="3"/>
      <c r="I422" s="30"/>
      <c r="J422" s="14"/>
      <c r="K422" s="22"/>
      <c r="L422" s="3"/>
      <c r="M422" s="8"/>
      <c r="N422" s="3"/>
      <c r="O422" s="8"/>
      <c r="P422" s="3"/>
      <c r="Q422" s="3"/>
      <c r="R422" s="3"/>
    </row>
    <row r="423" spans="1:18">
      <c r="A423" s="14"/>
      <c r="B423" s="9"/>
      <c r="C423" s="10" t="str">
        <f t="shared" si="74"/>
        <v>GUITAR</v>
      </c>
      <c r="D423" s="9"/>
      <c r="E423" s="9" t="str">
        <f t="shared" si="75"/>
        <v>DOLLY HWANG</v>
      </c>
      <c r="F423" s="9"/>
      <c r="G423" s="3"/>
      <c r="H423" s="3"/>
      <c r="I423" s="30" t="s">
        <v>460</v>
      </c>
      <c r="J423" s="14"/>
      <c r="K423" s="22" t="s">
        <v>453</v>
      </c>
      <c r="L423" s="3"/>
      <c r="M423" s="8"/>
      <c r="N423" s="3"/>
      <c r="O423" s="8" t="s">
        <v>909</v>
      </c>
      <c r="P423" s="3"/>
      <c r="Q423" s="20" t="s">
        <v>453</v>
      </c>
      <c r="R423" s="3"/>
    </row>
    <row r="424" spans="1:18">
      <c r="A424" s="14"/>
      <c r="B424" s="9"/>
      <c r="C424" s="10" t="str">
        <f t="shared" si="74"/>
        <v/>
      </c>
      <c r="D424" s="9"/>
      <c r="E424" s="9" t="str">
        <f t="shared" si="75"/>
        <v>BUMPIZ</v>
      </c>
      <c r="F424" s="9"/>
      <c r="G424" s="3"/>
      <c r="H424" s="3"/>
      <c r="I424" s="30"/>
      <c r="J424" s="14"/>
      <c r="K424" s="22" t="s">
        <v>456</v>
      </c>
      <c r="L424" s="3"/>
      <c r="M424" s="8"/>
      <c r="N424" s="3"/>
      <c r="O424" s="8"/>
      <c r="P424" s="3"/>
      <c r="Q424" s="3" t="s">
        <v>456</v>
      </c>
      <c r="R424" s="3"/>
    </row>
    <row r="425" spans="1:18">
      <c r="A425" s="14"/>
      <c r="B425" s="9"/>
      <c r="C425" s="10" t="str">
        <f t="shared" si="74"/>
        <v/>
      </c>
      <c r="D425" s="9"/>
      <c r="E425" s="9" t="str">
        <f t="shared" si="75"/>
        <v/>
      </c>
      <c r="F425" s="9"/>
      <c r="G425" s="3"/>
      <c r="H425" s="3"/>
      <c r="I425" s="30"/>
      <c r="J425" s="14"/>
      <c r="K425" s="22"/>
      <c r="L425" s="3"/>
      <c r="M425" s="8"/>
      <c r="N425" s="3"/>
      <c r="O425" s="8"/>
      <c r="P425" s="3"/>
      <c r="Q425" s="3"/>
      <c r="R425" s="3"/>
    </row>
    <row r="426" spans="1:18">
      <c r="A426" s="14"/>
      <c r="B426" s="9"/>
      <c r="C426" s="10" t="str">
        <f t="shared" si="74"/>
        <v>BASS</v>
      </c>
      <c r="D426" s="9"/>
      <c r="E426" s="9" t="str">
        <f t="shared" si="75"/>
        <v>DOLLY HWANG</v>
      </c>
      <c r="F426" s="9"/>
      <c r="G426" s="3"/>
      <c r="H426" s="3"/>
      <c r="I426" s="30" t="s">
        <v>461</v>
      </c>
      <c r="J426" s="14"/>
      <c r="K426" s="22" t="s">
        <v>453</v>
      </c>
      <c r="L426" s="3"/>
      <c r="M426" s="8"/>
      <c r="N426" s="3"/>
      <c r="O426" s="8" t="s">
        <v>910</v>
      </c>
      <c r="P426" s="3"/>
      <c r="Q426" s="20" t="s">
        <v>453</v>
      </c>
      <c r="R426" s="3"/>
    </row>
    <row r="427" spans="1:18">
      <c r="A427" s="14"/>
      <c r="B427" s="9"/>
      <c r="C427" s="10" t="str">
        <f t="shared" si="74"/>
        <v/>
      </c>
      <c r="D427" s="9"/>
      <c r="E427" s="9" t="str">
        <f t="shared" si="75"/>
        <v>BUMPIZ</v>
      </c>
      <c r="F427" s="9"/>
      <c r="G427" s="3"/>
      <c r="H427" s="3"/>
      <c r="I427" s="24"/>
      <c r="J427" s="14"/>
      <c r="K427" s="22" t="s">
        <v>456</v>
      </c>
      <c r="L427" s="3"/>
      <c r="M427" s="8"/>
      <c r="N427" s="3"/>
      <c r="O427" s="3"/>
      <c r="P427" s="3"/>
      <c r="Q427" s="3" t="s">
        <v>456</v>
      </c>
      <c r="R427" s="3"/>
    </row>
    <row r="428" spans="1:18">
      <c r="A428" s="14"/>
      <c r="B428" s="9"/>
      <c r="C428" s="10" t="str">
        <f t="shared" si="74"/>
        <v/>
      </c>
      <c r="D428" s="9"/>
      <c r="E428" s="9" t="str">
        <f t="shared" si="75"/>
        <v/>
      </c>
      <c r="F428" s="9"/>
      <c r="G428" s="3"/>
      <c r="H428" s="3"/>
      <c r="I428" s="30"/>
      <c r="J428" s="14"/>
      <c r="K428" s="22"/>
      <c r="L428" s="3"/>
      <c r="M428" s="8"/>
      <c r="N428" s="3"/>
      <c r="O428" s="3"/>
      <c r="P428" s="3"/>
      <c r="Q428" s="3"/>
      <c r="R428" s="3"/>
    </row>
    <row r="429" spans="1:18">
      <c r="A429" s="14"/>
      <c r="B429" s="9"/>
      <c r="C429" s="10" t="str">
        <f t="shared" si="74"/>
        <v>KEYBOARD</v>
      </c>
      <c r="D429" s="9"/>
      <c r="E429" s="9" t="str">
        <f t="shared" si="75"/>
        <v>YOONHO KIM</v>
      </c>
      <c r="F429" s="9"/>
      <c r="G429" s="3"/>
      <c r="H429" s="3"/>
      <c r="I429" s="30" t="s">
        <v>462</v>
      </c>
      <c r="J429" s="14"/>
      <c r="K429" s="22" t="s">
        <v>448</v>
      </c>
      <c r="L429" s="3"/>
      <c r="M429" s="8"/>
      <c r="N429" s="3"/>
      <c r="O429" s="8" t="s">
        <v>911</v>
      </c>
      <c r="P429" s="3"/>
      <c r="Q429" s="3" t="s">
        <v>899</v>
      </c>
      <c r="R429" s="3"/>
    </row>
    <row r="430" spans="1:18">
      <c r="A430" s="14"/>
      <c r="B430" s="9"/>
      <c r="C430" s="10" t="str">
        <f t="shared" si="74"/>
        <v/>
      </c>
      <c r="D430" s="9"/>
      <c r="E430" s="9" t="str">
        <f t="shared" si="75"/>
        <v>SIEUN KIM</v>
      </c>
      <c r="F430" s="9"/>
      <c r="G430" s="3"/>
      <c r="H430" s="3"/>
      <c r="I430" s="44"/>
      <c r="J430" s="14"/>
      <c r="K430" s="22" t="s">
        <v>463</v>
      </c>
      <c r="L430" s="3"/>
      <c r="M430" s="8"/>
      <c r="N430" s="3"/>
      <c r="O430" s="3"/>
      <c r="P430" s="3"/>
      <c r="Q430" s="3" t="s">
        <v>901</v>
      </c>
      <c r="R430" s="3"/>
    </row>
    <row r="431" spans="1:18">
      <c r="A431" s="14"/>
      <c r="B431" s="9"/>
      <c r="C431" s="10" t="str">
        <f t="shared" si="74"/>
        <v/>
      </c>
      <c r="D431" s="9"/>
      <c r="E431" s="9" t="str">
        <f t="shared" si="75"/>
        <v>DOLLY HWANG</v>
      </c>
      <c r="F431" s="9"/>
      <c r="G431" s="3"/>
      <c r="H431" s="3"/>
      <c r="I431" s="44"/>
      <c r="J431" s="14"/>
      <c r="K431" s="22" t="s">
        <v>453</v>
      </c>
      <c r="L431" s="3"/>
      <c r="M431" s="8"/>
      <c r="N431" s="3"/>
      <c r="O431" s="3"/>
      <c r="P431" s="3"/>
      <c r="Q431" s="20" t="s">
        <v>453</v>
      </c>
      <c r="R431" s="3"/>
    </row>
    <row r="432" spans="1:18">
      <c r="A432" s="14"/>
      <c r="B432" s="9"/>
      <c r="C432" s="10" t="str">
        <f t="shared" si="74"/>
        <v/>
      </c>
      <c r="D432" s="9"/>
      <c r="E432" s="9" t="str">
        <f t="shared" si="75"/>
        <v>HAEHOON LEE</v>
      </c>
      <c r="F432" s="9"/>
      <c r="G432" s="3"/>
      <c r="H432" s="3"/>
      <c r="I432" s="44"/>
      <c r="J432" s="14"/>
      <c r="K432" s="22" t="s">
        <v>454</v>
      </c>
      <c r="L432" s="3"/>
      <c r="M432" s="8"/>
      <c r="N432" s="3"/>
      <c r="O432" s="3"/>
      <c r="P432" s="3"/>
      <c r="Q432" s="3" t="s">
        <v>904</v>
      </c>
      <c r="R432" s="3"/>
    </row>
    <row r="433" spans="1:18">
      <c r="A433" s="14"/>
      <c r="B433" s="9"/>
      <c r="C433" s="10" t="str">
        <f t="shared" si="74"/>
        <v/>
      </c>
      <c r="D433" s="9"/>
      <c r="E433" s="9" t="str">
        <f t="shared" si="75"/>
        <v>NAYEON LEE</v>
      </c>
      <c r="F433" s="9"/>
      <c r="G433" s="3"/>
      <c r="H433" s="3"/>
      <c r="I433" s="44"/>
      <c r="J433" s="14"/>
      <c r="K433" s="22" t="s">
        <v>452</v>
      </c>
      <c r="L433" s="3"/>
      <c r="M433" s="8"/>
      <c r="N433" s="3"/>
      <c r="O433" s="3"/>
      <c r="P433" s="3"/>
      <c r="Q433" s="3" t="s">
        <v>903</v>
      </c>
      <c r="R433" s="3"/>
    </row>
    <row r="434" spans="1:18">
      <c r="A434" s="14"/>
      <c r="B434" s="9"/>
      <c r="C434" s="10" t="str">
        <f t="shared" si="74"/>
        <v/>
      </c>
      <c r="D434" s="9"/>
      <c r="E434" s="9" t="str">
        <f t="shared" si="75"/>
        <v>BUMPIZ</v>
      </c>
      <c r="F434" s="9"/>
      <c r="G434" s="3"/>
      <c r="H434" s="3"/>
      <c r="I434" s="44"/>
      <c r="J434" s="14"/>
      <c r="K434" s="22" t="s">
        <v>456</v>
      </c>
      <c r="L434" s="3"/>
      <c r="M434" s="8"/>
      <c r="N434" s="3"/>
      <c r="O434" s="3"/>
      <c r="P434" s="3"/>
      <c r="Q434" s="3" t="s">
        <v>456</v>
      </c>
      <c r="R434" s="3"/>
    </row>
    <row r="435" spans="1:18">
      <c r="A435" s="14"/>
      <c r="B435" s="9"/>
      <c r="C435" s="10" t="str">
        <f t="shared" si="74"/>
        <v/>
      </c>
      <c r="D435" s="9"/>
      <c r="E435" s="9" t="str">
        <f t="shared" si="75"/>
        <v>YEONGHUN YUN</v>
      </c>
      <c r="F435" s="9"/>
      <c r="G435" s="3"/>
      <c r="H435" s="3"/>
      <c r="I435" s="44"/>
      <c r="J435" s="14"/>
      <c r="K435" s="22" t="s">
        <v>457</v>
      </c>
      <c r="L435" s="3"/>
      <c r="M435" s="8"/>
      <c r="N435" s="3"/>
      <c r="O435" s="3"/>
      <c r="P435" s="3"/>
      <c r="Q435" s="3" t="s">
        <v>906</v>
      </c>
      <c r="R435" s="3"/>
    </row>
    <row r="436" spans="1:18">
      <c r="A436" s="14"/>
      <c r="B436" s="9"/>
      <c r="C436" s="10" t="str">
        <f t="shared" si="74"/>
        <v/>
      </c>
      <c r="D436" s="9"/>
      <c r="E436" s="9" t="str">
        <f t="shared" si="75"/>
        <v>JIAE YU</v>
      </c>
      <c r="F436" s="9"/>
      <c r="G436" s="3"/>
      <c r="H436" s="3"/>
      <c r="I436" s="44"/>
      <c r="J436" s="14"/>
      <c r="K436" s="22" t="s">
        <v>458</v>
      </c>
      <c r="L436" s="3"/>
      <c r="M436" s="8"/>
      <c r="N436" s="3"/>
      <c r="O436" s="3"/>
      <c r="P436" s="3"/>
      <c r="Q436" s="3" t="s">
        <v>907</v>
      </c>
      <c r="R436" s="3"/>
    </row>
    <row r="437" spans="1:18">
      <c r="A437" s="14"/>
      <c r="B437" s="9"/>
      <c r="C437" s="9" t="str">
        <f t="shared" si="74"/>
        <v/>
      </c>
      <c r="D437" s="9"/>
      <c r="E437" s="9" t="str">
        <f t="shared" si="75"/>
        <v/>
      </c>
      <c r="F437" s="9"/>
      <c r="G437" s="3"/>
      <c r="H437" s="3"/>
      <c r="I437" s="44"/>
      <c r="J437" s="14"/>
      <c r="K437" s="14"/>
      <c r="L437" s="3"/>
      <c r="M437" s="8"/>
      <c r="N437" s="8"/>
      <c r="O437" s="8"/>
      <c r="P437" s="3"/>
      <c r="Q437" s="3"/>
      <c r="R437" s="3"/>
    </row>
    <row r="438" spans="1:18">
      <c r="A438" s="14"/>
      <c r="B438" s="11"/>
      <c r="C438" s="11" t="str">
        <f t="shared" si="74"/>
        <v/>
      </c>
      <c r="D438" s="11"/>
      <c r="E438" s="11" t="str">
        <f t="shared" si="75"/>
        <v/>
      </c>
      <c r="F438" s="11"/>
      <c r="G438" s="3"/>
      <c r="H438" s="3"/>
      <c r="I438" s="8"/>
      <c r="J438" s="3"/>
      <c r="K438" s="3"/>
      <c r="L438" s="3"/>
      <c r="M438" s="8"/>
      <c r="N438" s="8"/>
      <c r="O438" s="8"/>
      <c r="P438" s="3"/>
      <c r="Q438" s="3"/>
      <c r="R438" s="3"/>
    </row>
    <row r="439" spans="1:18">
      <c r="A439" s="14"/>
      <c r="B439" s="6"/>
      <c r="C439" s="6"/>
      <c r="D439" s="6"/>
      <c r="E439" s="6"/>
      <c r="F439" s="6"/>
      <c r="G439" s="3"/>
      <c r="H439" s="74"/>
      <c r="I439" s="5"/>
      <c r="J439" s="5"/>
      <c r="K439" s="5"/>
      <c r="L439" s="74"/>
      <c r="M439" s="8"/>
      <c r="N439" s="8"/>
      <c r="O439" s="8"/>
      <c r="P439" s="3"/>
      <c r="Q439" s="3"/>
      <c r="R439" s="3"/>
    </row>
    <row r="440" spans="1:18">
      <c r="A440" s="14"/>
      <c r="B440" s="150" t="str">
        <f t="shared" ref="B440:B441" si="76">UPPER(H440)</f>
        <v>POST PRODUCTION / ORIGINAL SCORES &amp; SONGS</v>
      </c>
      <c r="C440" s="141"/>
      <c r="D440" s="141"/>
      <c r="E440" s="141"/>
      <c r="F440" s="141"/>
      <c r="G440" s="28"/>
      <c r="H440" s="167" t="s">
        <v>435</v>
      </c>
      <c r="I440" s="141"/>
      <c r="J440" s="141"/>
      <c r="K440" s="141"/>
      <c r="L440" s="141"/>
      <c r="M440" s="8"/>
      <c r="N440" s="149" t="s">
        <v>888</v>
      </c>
      <c r="O440" s="141"/>
      <c r="P440" s="141"/>
      <c r="Q440" s="141"/>
      <c r="R440" s="141"/>
    </row>
    <row r="441" spans="1:18">
      <c r="A441" s="14"/>
      <c r="B441" s="146" t="str">
        <f t="shared" si="76"/>
        <v>RECORDING SESSION</v>
      </c>
      <c r="C441" s="141"/>
      <c r="D441" s="141"/>
      <c r="E441" s="141"/>
      <c r="F441" s="141"/>
      <c r="G441" s="3"/>
      <c r="H441" s="151" t="s">
        <v>459</v>
      </c>
      <c r="I441" s="141"/>
      <c r="J441" s="141"/>
      <c r="K441" s="141"/>
      <c r="L441" s="141"/>
      <c r="M441" s="8"/>
      <c r="N441" s="151" t="s">
        <v>912</v>
      </c>
      <c r="O441" s="141"/>
      <c r="P441" s="141"/>
      <c r="Q441" s="141"/>
      <c r="R441" s="141"/>
    </row>
    <row r="442" spans="1:18">
      <c r="A442" s="14"/>
      <c r="B442" s="9"/>
      <c r="C442" s="10" t="str">
        <f t="shared" ref="C442:C456" si="77">UPPER(I442)</f>
        <v/>
      </c>
      <c r="D442" s="9"/>
      <c r="E442" s="9" t="str">
        <f t="shared" ref="E442:E456" si="78">UPPER(K442)</f>
        <v/>
      </c>
      <c r="F442" s="9"/>
      <c r="G442" s="3"/>
      <c r="H442" s="3"/>
      <c r="I442" s="30"/>
      <c r="J442" s="14"/>
      <c r="K442" s="22"/>
      <c r="L442" s="3"/>
      <c r="M442" s="8"/>
      <c r="N442" s="8"/>
      <c r="O442" s="21"/>
      <c r="P442" s="3"/>
      <c r="Q442" s="3"/>
      <c r="R442" s="3"/>
    </row>
    <row r="443" spans="1:18">
      <c r="A443" s="14"/>
      <c r="B443" s="9"/>
      <c r="C443" s="10" t="str">
        <f t="shared" si="77"/>
        <v>MUSIC PROGRAMING</v>
      </c>
      <c r="D443" s="9"/>
      <c r="E443" s="9" t="str">
        <f t="shared" si="78"/>
        <v>YOONHO KIM</v>
      </c>
      <c r="F443" s="9"/>
      <c r="G443" s="3"/>
      <c r="H443" s="3"/>
      <c r="I443" s="30" t="s">
        <v>464</v>
      </c>
      <c r="J443" s="14"/>
      <c r="K443" s="22" t="s">
        <v>448</v>
      </c>
      <c r="L443" s="3"/>
      <c r="M443" s="8"/>
      <c r="N443" s="8"/>
      <c r="O443" s="36" t="s">
        <v>913</v>
      </c>
      <c r="P443" s="2"/>
      <c r="Q443" s="2" t="s">
        <v>899</v>
      </c>
      <c r="R443" s="3"/>
    </row>
    <row r="444" spans="1:18">
      <c r="A444" s="14"/>
      <c r="B444" s="9"/>
      <c r="C444" s="10" t="str">
        <f t="shared" si="77"/>
        <v/>
      </c>
      <c r="D444" s="9"/>
      <c r="E444" s="9" t="str">
        <f t="shared" si="78"/>
        <v>SIEUN KIM</v>
      </c>
      <c r="F444" s="9"/>
      <c r="G444" s="3"/>
      <c r="H444" s="3"/>
      <c r="I444" s="44"/>
      <c r="J444" s="14"/>
      <c r="K444" s="22" t="s">
        <v>463</v>
      </c>
      <c r="L444" s="3"/>
      <c r="M444" s="8"/>
      <c r="N444" s="8"/>
      <c r="O444" s="2"/>
      <c r="P444" s="2"/>
      <c r="Q444" s="3" t="s">
        <v>901</v>
      </c>
      <c r="R444" s="3"/>
    </row>
    <row r="445" spans="1:18">
      <c r="A445" s="14"/>
      <c r="B445" s="9"/>
      <c r="C445" s="10" t="str">
        <f t="shared" si="77"/>
        <v/>
      </c>
      <c r="D445" s="9"/>
      <c r="E445" s="9" t="str">
        <f t="shared" si="78"/>
        <v>HAEHOON LEE</v>
      </c>
      <c r="F445" s="9"/>
      <c r="G445" s="3"/>
      <c r="H445" s="3"/>
      <c r="I445" s="44"/>
      <c r="J445" s="14"/>
      <c r="K445" s="22" t="s">
        <v>454</v>
      </c>
      <c r="L445" s="3"/>
      <c r="M445" s="8"/>
      <c r="N445" s="8"/>
      <c r="O445" s="2"/>
      <c r="P445" s="2"/>
      <c r="Q445" s="3" t="s">
        <v>904</v>
      </c>
      <c r="R445" s="3"/>
    </row>
    <row r="446" spans="1:18">
      <c r="A446" s="14"/>
      <c r="B446" s="9"/>
      <c r="C446" s="10" t="str">
        <f t="shared" si="77"/>
        <v/>
      </c>
      <c r="D446" s="9"/>
      <c r="E446" s="9" t="str">
        <f t="shared" si="78"/>
        <v>DOLLY HWANG</v>
      </c>
      <c r="F446" s="9"/>
      <c r="G446" s="3"/>
      <c r="H446" s="3"/>
      <c r="I446" s="44"/>
      <c r="J446" s="14"/>
      <c r="K446" s="22" t="s">
        <v>453</v>
      </c>
      <c r="L446" s="3"/>
      <c r="M446" s="8"/>
      <c r="N446" s="8"/>
      <c r="O446" s="2"/>
      <c r="P446" s="2"/>
      <c r="Q446" s="20" t="s">
        <v>453</v>
      </c>
      <c r="R446" s="3"/>
    </row>
    <row r="447" spans="1:18">
      <c r="A447" s="14"/>
      <c r="B447" s="9"/>
      <c r="C447" s="10" t="str">
        <f t="shared" si="77"/>
        <v/>
      </c>
      <c r="D447" s="9"/>
      <c r="E447" s="9" t="str">
        <f t="shared" si="78"/>
        <v>NAYEON LEE</v>
      </c>
      <c r="F447" s="9"/>
      <c r="G447" s="3"/>
      <c r="H447" s="3"/>
      <c r="I447" s="44"/>
      <c r="J447" s="14"/>
      <c r="K447" s="22" t="s">
        <v>452</v>
      </c>
      <c r="L447" s="3"/>
      <c r="M447" s="8"/>
      <c r="N447" s="8"/>
      <c r="O447" s="2"/>
      <c r="P447" s="2"/>
      <c r="Q447" s="3" t="s">
        <v>903</v>
      </c>
      <c r="R447" s="3"/>
    </row>
    <row r="448" spans="1:18">
      <c r="A448" s="14"/>
      <c r="B448" s="9"/>
      <c r="C448" s="10" t="str">
        <f t="shared" si="77"/>
        <v/>
      </c>
      <c r="D448" s="9"/>
      <c r="E448" s="9" t="str">
        <f t="shared" si="78"/>
        <v>BUMPIZ</v>
      </c>
      <c r="F448" s="9"/>
      <c r="G448" s="3"/>
      <c r="H448" s="3"/>
      <c r="I448" s="44"/>
      <c r="J448" s="14"/>
      <c r="K448" s="22" t="s">
        <v>456</v>
      </c>
      <c r="L448" s="3"/>
      <c r="M448" s="8"/>
      <c r="N448" s="8"/>
      <c r="O448" s="2"/>
      <c r="P448" s="2"/>
      <c r="Q448" s="3" t="s">
        <v>456</v>
      </c>
      <c r="R448" s="3"/>
    </row>
    <row r="449" spans="1:18">
      <c r="A449" s="14"/>
      <c r="B449" s="9"/>
      <c r="C449" s="10" t="str">
        <f t="shared" si="77"/>
        <v/>
      </c>
      <c r="D449" s="9"/>
      <c r="E449" s="9" t="str">
        <f t="shared" si="78"/>
        <v>SOYOUNG KWON</v>
      </c>
      <c r="F449" s="9"/>
      <c r="G449" s="3"/>
      <c r="H449" s="3"/>
      <c r="I449" s="44"/>
      <c r="J449" s="14"/>
      <c r="K449" s="22" t="s">
        <v>455</v>
      </c>
      <c r="L449" s="3"/>
      <c r="M449" s="8"/>
      <c r="N449" s="8"/>
      <c r="O449" s="36"/>
      <c r="P449" s="2"/>
      <c r="Q449" s="2" t="s">
        <v>905</v>
      </c>
      <c r="R449" s="3"/>
    </row>
    <row r="450" spans="1:18">
      <c r="A450" s="14"/>
      <c r="B450" s="9"/>
      <c r="C450" s="10" t="str">
        <f t="shared" si="77"/>
        <v/>
      </c>
      <c r="D450" s="9"/>
      <c r="E450" s="9" t="str">
        <f t="shared" si="78"/>
        <v/>
      </c>
      <c r="F450" s="9"/>
      <c r="G450" s="3"/>
      <c r="H450" s="3"/>
      <c r="I450" s="44"/>
      <c r="J450" s="14"/>
      <c r="K450" s="22"/>
      <c r="L450" s="3"/>
      <c r="M450" s="8"/>
      <c r="N450" s="8"/>
      <c r="O450" s="36"/>
      <c r="P450" s="2"/>
      <c r="Q450" s="2"/>
      <c r="R450" s="3"/>
    </row>
    <row r="451" spans="1:18">
      <c r="A451" s="14"/>
      <c r="B451" s="9"/>
      <c r="C451" s="10" t="str">
        <f t="shared" si="77"/>
        <v>RECORDING STUDIO</v>
      </c>
      <c r="D451" s="9"/>
      <c r="E451" s="9" t="str">
        <f t="shared" si="78"/>
        <v>DOONG SOUND</v>
      </c>
      <c r="F451" s="9"/>
      <c r="G451" s="3"/>
      <c r="H451" s="3"/>
      <c r="I451" s="30" t="s">
        <v>465</v>
      </c>
      <c r="J451" s="14"/>
      <c r="K451" s="22" t="s">
        <v>437</v>
      </c>
      <c r="L451" s="3"/>
      <c r="M451" s="8"/>
      <c r="N451" s="8"/>
      <c r="O451" s="36" t="s">
        <v>882</v>
      </c>
      <c r="P451" s="2"/>
      <c r="Q451" s="2" t="s">
        <v>883</v>
      </c>
      <c r="R451" s="3"/>
    </row>
    <row r="452" spans="1:18">
      <c r="A452" s="14"/>
      <c r="B452" s="9"/>
      <c r="C452" s="10" t="str">
        <f t="shared" si="77"/>
        <v/>
      </c>
      <c r="D452" s="9"/>
      <c r="E452" s="9" t="str">
        <f t="shared" si="78"/>
        <v/>
      </c>
      <c r="F452" s="9"/>
      <c r="G452" s="3"/>
      <c r="H452" s="3"/>
      <c r="I452" s="30"/>
      <c r="J452" s="14"/>
      <c r="K452" s="22"/>
      <c r="L452" s="3"/>
      <c r="M452" s="8"/>
      <c r="N452" s="8"/>
      <c r="O452" s="36"/>
      <c r="P452" s="2"/>
      <c r="Q452" s="2"/>
      <c r="R452" s="3"/>
    </row>
    <row r="453" spans="1:18">
      <c r="A453" s="14"/>
      <c r="B453" s="9"/>
      <c r="C453" s="10" t="str">
        <f t="shared" si="77"/>
        <v>RECORDING ENGINEER</v>
      </c>
      <c r="D453" s="9"/>
      <c r="E453" s="9" t="str">
        <f t="shared" si="78"/>
        <v>HYEJEONG HWANG</v>
      </c>
      <c r="F453" s="9"/>
      <c r="G453" s="3"/>
      <c r="H453" s="3"/>
      <c r="I453" s="30" t="s">
        <v>427</v>
      </c>
      <c r="J453" s="14"/>
      <c r="K453" s="22" t="s">
        <v>441</v>
      </c>
      <c r="L453" s="3"/>
      <c r="M453" s="8"/>
      <c r="N453" s="8"/>
      <c r="O453" s="36" t="s">
        <v>886</v>
      </c>
      <c r="P453" s="2"/>
      <c r="Q453" s="2" t="s">
        <v>885</v>
      </c>
      <c r="R453" s="3"/>
    </row>
    <row r="454" spans="1:18">
      <c r="A454" s="14"/>
      <c r="B454" s="9"/>
      <c r="C454" s="10" t="str">
        <f t="shared" si="77"/>
        <v/>
      </c>
      <c r="D454" s="9"/>
      <c r="E454" s="9" t="str">
        <f t="shared" si="78"/>
        <v>Q6</v>
      </c>
      <c r="F454" s="9"/>
      <c r="G454" s="3"/>
      <c r="H454" s="3"/>
      <c r="I454" s="44"/>
      <c r="J454" s="14"/>
      <c r="K454" s="22" t="s">
        <v>466</v>
      </c>
      <c r="L454" s="3"/>
      <c r="M454" s="8"/>
      <c r="N454" s="8"/>
      <c r="O454" s="2"/>
      <c r="P454" s="2"/>
      <c r="Q454" s="2" t="s">
        <v>466</v>
      </c>
      <c r="R454" s="3"/>
    </row>
    <row r="455" spans="1:18">
      <c r="A455" s="14"/>
      <c r="B455" s="9"/>
      <c r="C455" s="10" t="str">
        <f t="shared" si="77"/>
        <v/>
      </c>
      <c r="D455" s="9"/>
      <c r="E455" s="9" t="str">
        <f t="shared" si="78"/>
        <v>BUMPIZ</v>
      </c>
      <c r="F455" s="9"/>
      <c r="G455" s="3"/>
      <c r="H455" s="3"/>
      <c r="I455" s="44"/>
      <c r="J455" s="14"/>
      <c r="K455" s="22" t="s">
        <v>456</v>
      </c>
      <c r="L455" s="3"/>
      <c r="M455" s="8"/>
      <c r="N455" s="8"/>
      <c r="O455" s="2"/>
      <c r="P455" s="2"/>
      <c r="Q455" s="2" t="s">
        <v>456</v>
      </c>
      <c r="R455" s="3"/>
    </row>
    <row r="456" spans="1:18">
      <c r="A456" s="14"/>
      <c r="B456" s="9"/>
      <c r="C456" s="9" t="str">
        <f t="shared" si="77"/>
        <v/>
      </c>
      <c r="D456" s="9"/>
      <c r="E456" s="9" t="str">
        <f t="shared" si="78"/>
        <v/>
      </c>
      <c r="F456" s="9"/>
      <c r="G456" s="3"/>
      <c r="H456" s="3"/>
      <c r="I456" s="8"/>
      <c r="J456" s="3"/>
      <c r="K456" s="3"/>
      <c r="L456" s="3"/>
      <c r="M456" s="8"/>
      <c r="N456" s="8"/>
      <c r="O456" s="8"/>
      <c r="P456" s="3"/>
      <c r="Q456" s="3"/>
      <c r="R456" s="3"/>
    </row>
    <row r="457" spans="1:18">
      <c r="A457" s="14"/>
      <c r="B457" s="11"/>
      <c r="C457" s="11"/>
      <c r="D457" s="11"/>
      <c r="E457" s="11"/>
      <c r="F457" s="11"/>
      <c r="G457" s="3"/>
      <c r="H457" s="3"/>
      <c r="I457" s="8"/>
      <c r="J457" s="3"/>
      <c r="K457" s="3"/>
      <c r="L457" s="3"/>
      <c r="M457" s="8"/>
      <c r="N457" s="8"/>
      <c r="O457" s="8"/>
      <c r="P457" s="3"/>
      <c r="Q457" s="3"/>
      <c r="R457" s="3"/>
    </row>
    <row r="458" spans="1:18">
      <c r="A458" s="14"/>
      <c r="B458" s="6"/>
      <c r="C458" s="6"/>
      <c r="D458" s="6"/>
      <c r="E458" s="6"/>
      <c r="F458" s="6"/>
      <c r="G458" s="3"/>
      <c r="H458" s="74"/>
      <c r="I458" s="5"/>
      <c r="J458" s="5"/>
      <c r="K458" s="5"/>
      <c r="L458" s="74"/>
      <c r="M458" s="8"/>
      <c r="N458" s="8"/>
      <c r="O458" s="8"/>
      <c r="P458" s="3"/>
      <c r="Q458" s="3"/>
      <c r="R458" s="3"/>
    </row>
    <row r="459" spans="1:18">
      <c r="A459" s="14"/>
      <c r="B459" s="150" t="str">
        <f t="shared" ref="B459:B461" si="79">UPPER(H459)</f>
        <v>POST PRODUCTION / ORIGINAL SCORES &amp; SONGS</v>
      </c>
      <c r="C459" s="141"/>
      <c r="D459" s="141"/>
      <c r="E459" s="141"/>
      <c r="F459" s="141"/>
      <c r="G459" s="28"/>
      <c r="H459" s="167" t="s">
        <v>435</v>
      </c>
      <c r="I459" s="141"/>
      <c r="J459" s="141"/>
      <c r="K459" s="141"/>
      <c r="L459" s="141"/>
      <c r="M459" s="29"/>
      <c r="N459" s="161" t="s">
        <v>888</v>
      </c>
      <c r="O459" s="141"/>
      <c r="P459" s="141"/>
      <c r="Q459" s="141"/>
      <c r="R459" s="141"/>
    </row>
    <row r="460" spans="1:18">
      <c r="A460" s="14"/>
      <c r="B460" s="146" t="str">
        <f t="shared" si="79"/>
        <v>WE R THE HEROES</v>
      </c>
      <c r="C460" s="141"/>
      <c r="D460" s="141"/>
      <c r="E460" s="141"/>
      <c r="F460" s="141"/>
      <c r="G460" s="3"/>
      <c r="H460" s="151" t="s">
        <v>467</v>
      </c>
      <c r="I460" s="141"/>
      <c r="J460" s="141"/>
      <c r="K460" s="141"/>
      <c r="L460" s="141"/>
      <c r="M460" s="8"/>
      <c r="N460" s="159" t="s">
        <v>467</v>
      </c>
      <c r="O460" s="141"/>
      <c r="P460" s="141"/>
      <c r="Q460" s="141"/>
      <c r="R460" s="141"/>
    </row>
    <row r="461" spans="1:18">
      <c r="A461" s="14"/>
      <c r="B461" s="158" t="str">
        <f t="shared" si="79"/>
        <v>OPENING SONG</v>
      </c>
      <c r="C461" s="141"/>
      <c r="D461" s="141"/>
      <c r="E461" s="141"/>
      <c r="F461" s="141"/>
      <c r="G461" s="3"/>
      <c r="H461" s="170" t="s">
        <v>468</v>
      </c>
      <c r="I461" s="141"/>
      <c r="J461" s="141"/>
      <c r="K461" s="141"/>
      <c r="L461" s="141"/>
      <c r="M461" s="8"/>
      <c r="N461" s="160" t="s">
        <v>914</v>
      </c>
      <c r="O461" s="141"/>
      <c r="P461" s="141"/>
      <c r="Q461" s="141"/>
      <c r="R461" s="141"/>
    </row>
    <row r="462" spans="1:18">
      <c r="A462" s="14"/>
      <c r="B462" s="9"/>
      <c r="C462" s="10" t="str">
        <f t="shared" ref="C462:C470" si="80">UPPER(I462)</f>
        <v>COMPOSER &amp; ARRANGER</v>
      </c>
      <c r="D462" s="9"/>
      <c r="E462" s="9" t="str">
        <f t="shared" ref="E462:E470" si="81">UPPER(K462)</f>
        <v>DOLLY HWANG</v>
      </c>
      <c r="F462" s="9"/>
      <c r="G462" s="3"/>
      <c r="H462" s="8"/>
      <c r="I462" s="8" t="s">
        <v>469</v>
      </c>
      <c r="J462" s="3"/>
      <c r="K462" s="3" t="s">
        <v>453</v>
      </c>
      <c r="L462" s="3"/>
      <c r="M462" s="8"/>
      <c r="N462" s="2"/>
      <c r="O462" s="36" t="s">
        <v>915</v>
      </c>
      <c r="P462" s="2"/>
      <c r="Q462" s="2" t="s">
        <v>453</v>
      </c>
      <c r="R462" s="2"/>
    </row>
    <row r="463" spans="1:18">
      <c r="A463" s="14"/>
      <c r="B463" s="9"/>
      <c r="C463" s="10" t="str">
        <f t="shared" si="80"/>
        <v>LYRICS</v>
      </c>
      <c r="D463" s="9"/>
      <c r="E463" s="9" t="str">
        <f t="shared" si="81"/>
        <v>DOLLY HWANG</v>
      </c>
      <c r="F463" s="9"/>
      <c r="G463" s="3"/>
      <c r="H463" s="8"/>
      <c r="I463" s="8" t="s">
        <v>470</v>
      </c>
      <c r="J463" s="3"/>
      <c r="K463" s="3" t="s">
        <v>453</v>
      </c>
      <c r="L463" s="3"/>
      <c r="M463" s="8"/>
      <c r="N463" s="2"/>
      <c r="O463" s="36" t="s">
        <v>916</v>
      </c>
      <c r="P463" s="2"/>
      <c r="Q463" s="2" t="s">
        <v>453</v>
      </c>
      <c r="R463" s="2"/>
    </row>
    <row r="464" spans="1:18">
      <c r="A464" s="14"/>
      <c r="B464" s="9"/>
      <c r="C464" s="10" t="str">
        <f t="shared" si="80"/>
        <v/>
      </c>
      <c r="D464" s="9"/>
      <c r="E464" s="9" t="str">
        <f t="shared" si="81"/>
        <v/>
      </c>
      <c r="F464" s="9"/>
      <c r="G464" s="3"/>
      <c r="H464" s="171"/>
      <c r="I464" s="141"/>
      <c r="J464" s="141"/>
      <c r="K464" s="141"/>
      <c r="L464" s="141"/>
      <c r="M464" s="8"/>
      <c r="N464" s="2"/>
      <c r="O464" s="2"/>
      <c r="P464" s="2"/>
      <c r="Q464" s="2"/>
      <c r="R464" s="2"/>
    </row>
    <row r="465" spans="1:18">
      <c r="A465" s="14"/>
      <c r="B465" s="9"/>
      <c r="C465" s="10" t="str">
        <f t="shared" si="80"/>
        <v>VOCAL</v>
      </c>
      <c r="D465" s="9"/>
      <c r="E465" s="9" t="str">
        <f t="shared" si="81"/>
        <v>DOLLY HWANG</v>
      </c>
      <c r="F465" s="9"/>
      <c r="G465" s="3"/>
      <c r="H465" s="8"/>
      <c r="I465" s="8" t="s">
        <v>471</v>
      </c>
      <c r="J465" s="3"/>
      <c r="K465" s="3" t="s">
        <v>453</v>
      </c>
      <c r="L465" s="3"/>
      <c r="M465" s="8"/>
      <c r="N465" s="2"/>
      <c r="O465" s="36" t="s">
        <v>917</v>
      </c>
      <c r="P465" s="2"/>
      <c r="Q465" s="2" t="s">
        <v>453</v>
      </c>
      <c r="R465" s="2"/>
    </row>
    <row r="466" spans="1:18">
      <c r="A466" s="14"/>
      <c r="B466" s="9"/>
      <c r="C466" s="10" t="str">
        <f t="shared" si="80"/>
        <v>GUITAR</v>
      </c>
      <c r="D466" s="9"/>
      <c r="E466" s="9" t="str">
        <f t="shared" si="81"/>
        <v>DOLLY HWANG</v>
      </c>
      <c r="F466" s="9"/>
      <c r="G466" s="3"/>
      <c r="H466" s="8"/>
      <c r="I466" s="8" t="s">
        <v>460</v>
      </c>
      <c r="J466" s="3"/>
      <c r="K466" s="3" t="s">
        <v>453</v>
      </c>
      <c r="L466" s="3"/>
      <c r="M466" s="8"/>
      <c r="N466" s="2"/>
      <c r="O466" s="36" t="s">
        <v>909</v>
      </c>
      <c r="P466" s="2"/>
      <c r="Q466" s="2" t="s">
        <v>453</v>
      </c>
      <c r="R466" s="2"/>
    </row>
    <row r="467" spans="1:18">
      <c r="A467" s="14"/>
      <c r="B467" s="9"/>
      <c r="C467" s="10" t="str">
        <f t="shared" si="80"/>
        <v>BASS</v>
      </c>
      <c r="D467" s="9"/>
      <c r="E467" s="9" t="str">
        <f t="shared" si="81"/>
        <v>DOLLY HWANG</v>
      </c>
      <c r="F467" s="9"/>
      <c r="G467" s="3"/>
      <c r="H467" s="8"/>
      <c r="I467" s="8" t="s">
        <v>461</v>
      </c>
      <c r="J467" s="3"/>
      <c r="K467" s="3" t="s">
        <v>453</v>
      </c>
      <c r="L467" s="3"/>
      <c r="M467" s="8"/>
      <c r="N467" s="2"/>
      <c r="O467" s="36" t="s">
        <v>910</v>
      </c>
      <c r="P467" s="2"/>
      <c r="Q467" s="2" t="s">
        <v>453</v>
      </c>
      <c r="R467" s="2"/>
    </row>
    <row r="468" spans="1:18">
      <c r="A468" s="14"/>
      <c r="B468" s="9"/>
      <c r="C468" s="10" t="str">
        <f t="shared" si="80"/>
        <v>RECORDING STUDIO</v>
      </c>
      <c r="D468" s="9"/>
      <c r="E468" s="9" t="str">
        <f t="shared" si="81"/>
        <v>PURPLE MOON</v>
      </c>
      <c r="F468" s="9"/>
      <c r="G468" s="3"/>
      <c r="H468" s="8"/>
      <c r="I468" s="8" t="s">
        <v>465</v>
      </c>
      <c r="J468" s="3"/>
      <c r="K468" s="3" t="s">
        <v>472</v>
      </c>
      <c r="L468" s="3"/>
      <c r="M468" s="8"/>
      <c r="N468" s="2"/>
      <c r="O468" s="36" t="s">
        <v>882</v>
      </c>
      <c r="P468" s="2"/>
      <c r="Q468" s="2" t="s">
        <v>472</v>
      </c>
      <c r="R468" s="2"/>
    </row>
    <row r="469" spans="1:18">
      <c r="A469" s="14"/>
      <c r="B469" s="9"/>
      <c r="C469" s="10" t="str">
        <f t="shared" si="80"/>
        <v>RECORDING ENGINEER</v>
      </c>
      <c r="D469" s="9"/>
      <c r="E469" s="9" t="str">
        <f t="shared" si="81"/>
        <v>DOLLY HWANG</v>
      </c>
      <c r="F469" s="9"/>
      <c r="G469" s="3"/>
      <c r="H469" s="8"/>
      <c r="I469" s="8" t="s">
        <v>427</v>
      </c>
      <c r="J469" s="3"/>
      <c r="K469" s="3" t="s">
        <v>453</v>
      </c>
      <c r="L469" s="3"/>
      <c r="M469" s="8"/>
      <c r="N469" s="2"/>
      <c r="O469" s="36" t="s">
        <v>886</v>
      </c>
      <c r="P469" s="2"/>
      <c r="Q469" s="2" t="s">
        <v>453</v>
      </c>
      <c r="R469" s="2"/>
    </row>
    <row r="470" spans="1:18">
      <c r="A470" s="14"/>
      <c r="B470" s="9"/>
      <c r="C470" s="9" t="str">
        <f t="shared" si="80"/>
        <v/>
      </c>
      <c r="D470" s="9"/>
      <c r="E470" s="9" t="str">
        <f t="shared" si="81"/>
        <v/>
      </c>
      <c r="F470" s="9"/>
      <c r="G470" s="3"/>
      <c r="H470" s="8"/>
      <c r="I470" s="8"/>
      <c r="J470" s="3"/>
      <c r="K470" s="3"/>
      <c r="L470" s="3"/>
      <c r="M470" s="8"/>
      <c r="N470" s="2"/>
      <c r="O470" s="2"/>
      <c r="P470" s="2"/>
      <c r="Q470" s="2"/>
      <c r="R470" s="2"/>
    </row>
    <row r="471" spans="1:18">
      <c r="A471" s="14"/>
      <c r="B471" s="146" t="str">
        <f t="shared" ref="B471:B472" si="82">UPPER(H471)</f>
        <v>TEENAGE DREAMING</v>
      </c>
      <c r="C471" s="141"/>
      <c r="D471" s="141"/>
      <c r="E471" s="141"/>
      <c r="F471" s="141"/>
      <c r="G471" s="3"/>
      <c r="H471" s="161" t="s">
        <v>473</v>
      </c>
      <c r="I471" s="141"/>
      <c r="J471" s="141"/>
      <c r="K471" s="141"/>
      <c r="L471" s="141"/>
      <c r="M471" s="8"/>
      <c r="N471" s="161" t="s">
        <v>473</v>
      </c>
      <c r="O471" s="141"/>
      <c r="P471" s="141"/>
      <c r="Q471" s="141"/>
      <c r="R471" s="141"/>
    </row>
    <row r="472" spans="1:18">
      <c r="A472" s="14"/>
      <c r="B472" s="158" t="str">
        <f t="shared" si="82"/>
        <v>ENDING SONG</v>
      </c>
      <c r="C472" s="141"/>
      <c r="D472" s="141"/>
      <c r="E472" s="141"/>
      <c r="F472" s="141"/>
      <c r="G472" s="3"/>
      <c r="H472" s="162" t="s">
        <v>474</v>
      </c>
      <c r="I472" s="141"/>
      <c r="J472" s="141"/>
      <c r="K472" s="141"/>
      <c r="L472" s="141"/>
      <c r="M472" s="8"/>
      <c r="N472" s="162" t="s">
        <v>918</v>
      </c>
      <c r="O472" s="141"/>
      <c r="P472" s="141"/>
      <c r="Q472" s="141"/>
      <c r="R472" s="141"/>
    </row>
    <row r="473" spans="1:18">
      <c r="A473" s="14"/>
      <c r="B473" s="9"/>
      <c r="C473" s="10" t="str">
        <f t="shared" ref="C473:C481" si="83">UPPER(I473)</f>
        <v>COMPOSER &amp; ARRANGER</v>
      </c>
      <c r="D473" s="9"/>
      <c r="E473" s="9" t="str">
        <f t="shared" ref="E473:E481" si="84">UPPER(K473)</f>
        <v>DOLLY HWANG</v>
      </c>
      <c r="F473" s="9"/>
      <c r="G473" s="3"/>
      <c r="H473" s="55"/>
      <c r="I473" s="36" t="s">
        <v>469</v>
      </c>
      <c r="J473" s="55"/>
      <c r="K473" s="2" t="s">
        <v>453</v>
      </c>
      <c r="L473" s="55"/>
      <c r="M473" s="8"/>
      <c r="N473" s="2"/>
      <c r="O473" s="36" t="s">
        <v>915</v>
      </c>
      <c r="P473" s="2"/>
      <c r="Q473" s="2" t="s">
        <v>453</v>
      </c>
      <c r="R473" s="2"/>
    </row>
    <row r="474" spans="1:18">
      <c r="A474" s="14"/>
      <c r="B474" s="9"/>
      <c r="C474" s="10" t="str">
        <f t="shared" si="83"/>
        <v>LYRICS</v>
      </c>
      <c r="D474" s="9"/>
      <c r="E474" s="9" t="str">
        <f t="shared" si="84"/>
        <v>PAUL Y. KIM</v>
      </c>
      <c r="F474" s="9"/>
      <c r="G474" s="3"/>
      <c r="H474" s="55"/>
      <c r="I474" s="36" t="s">
        <v>470</v>
      </c>
      <c r="J474" s="55"/>
      <c r="K474" s="2" t="s">
        <v>475</v>
      </c>
      <c r="L474" s="55"/>
      <c r="M474" s="8"/>
      <c r="N474" s="2"/>
      <c r="O474" s="36" t="s">
        <v>916</v>
      </c>
      <c r="P474" s="2"/>
      <c r="Q474" s="2" t="s">
        <v>475</v>
      </c>
      <c r="R474" s="2"/>
    </row>
    <row r="475" spans="1:18">
      <c r="A475" s="14"/>
      <c r="B475" s="9"/>
      <c r="C475" s="10" t="str">
        <f t="shared" si="83"/>
        <v/>
      </c>
      <c r="D475" s="9"/>
      <c r="E475" s="9" t="str">
        <f t="shared" si="84"/>
        <v/>
      </c>
      <c r="F475" s="9"/>
      <c r="G475" s="3"/>
      <c r="H475" s="171"/>
      <c r="I475" s="141"/>
      <c r="J475" s="141"/>
      <c r="K475" s="141"/>
      <c r="L475" s="141"/>
      <c r="M475" s="8"/>
      <c r="N475" s="2"/>
      <c r="O475" s="2"/>
      <c r="P475" s="2"/>
      <c r="Q475" s="2"/>
      <c r="R475" s="2"/>
    </row>
    <row r="476" spans="1:18">
      <c r="A476" s="14"/>
      <c r="B476" s="9"/>
      <c r="C476" s="10" t="str">
        <f t="shared" si="83"/>
        <v>VOCAL</v>
      </c>
      <c r="D476" s="9"/>
      <c r="E476" s="9" t="str">
        <f t="shared" si="84"/>
        <v>DOLLY HWANG</v>
      </c>
      <c r="F476" s="9"/>
      <c r="G476" s="3"/>
      <c r="H476" s="55"/>
      <c r="I476" s="36" t="s">
        <v>471</v>
      </c>
      <c r="J476" s="55"/>
      <c r="K476" s="2" t="s">
        <v>453</v>
      </c>
      <c r="L476" s="55"/>
      <c r="M476" s="8"/>
      <c r="N476" s="2"/>
      <c r="O476" s="36" t="s">
        <v>917</v>
      </c>
      <c r="P476" s="2"/>
      <c r="Q476" s="2" t="s">
        <v>453</v>
      </c>
      <c r="R476" s="2"/>
    </row>
    <row r="477" spans="1:18">
      <c r="A477" s="14"/>
      <c r="B477" s="9"/>
      <c r="C477" s="10" t="str">
        <f t="shared" si="83"/>
        <v>GUITAR</v>
      </c>
      <c r="D477" s="9"/>
      <c r="E477" s="9" t="str">
        <f t="shared" si="84"/>
        <v>DOLLY HWANG</v>
      </c>
      <c r="F477" s="9"/>
      <c r="G477" s="3"/>
      <c r="H477" s="55"/>
      <c r="I477" s="36" t="s">
        <v>460</v>
      </c>
      <c r="J477" s="55"/>
      <c r="K477" s="2" t="s">
        <v>453</v>
      </c>
      <c r="L477" s="55"/>
      <c r="M477" s="8"/>
      <c r="N477" s="2"/>
      <c r="O477" s="36" t="s">
        <v>909</v>
      </c>
      <c r="P477" s="2"/>
      <c r="Q477" s="2" t="s">
        <v>453</v>
      </c>
      <c r="R477" s="2"/>
    </row>
    <row r="478" spans="1:18">
      <c r="A478" s="14"/>
      <c r="B478" s="9"/>
      <c r="C478" s="10" t="str">
        <f t="shared" si="83"/>
        <v>BASS</v>
      </c>
      <c r="D478" s="9"/>
      <c r="E478" s="9" t="str">
        <f t="shared" si="84"/>
        <v>DOLLY HWANG</v>
      </c>
      <c r="F478" s="9"/>
      <c r="G478" s="3"/>
      <c r="H478" s="55"/>
      <c r="I478" s="36" t="s">
        <v>461</v>
      </c>
      <c r="J478" s="55"/>
      <c r="K478" s="2" t="s">
        <v>453</v>
      </c>
      <c r="L478" s="55"/>
      <c r="M478" s="8"/>
      <c r="N478" s="2"/>
      <c r="O478" s="36" t="s">
        <v>910</v>
      </c>
      <c r="P478" s="2"/>
      <c r="Q478" s="2" t="s">
        <v>453</v>
      </c>
      <c r="R478" s="2"/>
    </row>
    <row r="479" spans="1:18">
      <c r="A479" s="14"/>
      <c r="B479" s="9"/>
      <c r="C479" s="10" t="str">
        <f t="shared" si="83"/>
        <v>RECORDING STUDIO</v>
      </c>
      <c r="D479" s="9"/>
      <c r="E479" s="9" t="str">
        <f t="shared" si="84"/>
        <v>PURPLE MOON</v>
      </c>
      <c r="F479" s="9"/>
      <c r="G479" s="3"/>
      <c r="H479" s="55"/>
      <c r="I479" s="36" t="s">
        <v>465</v>
      </c>
      <c r="J479" s="55"/>
      <c r="K479" s="2" t="s">
        <v>472</v>
      </c>
      <c r="L479" s="55"/>
      <c r="M479" s="8"/>
      <c r="N479" s="2"/>
      <c r="O479" s="36" t="s">
        <v>882</v>
      </c>
      <c r="P479" s="2"/>
      <c r="Q479" s="2" t="s">
        <v>472</v>
      </c>
      <c r="R479" s="2"/>
    </row>
    <row r="480" spans="1:18">
      <c r="A480" s="14"/>
      <c r="B480" s="9"/>
      <c r="C480" s="10" t="str">
        <f t="shared" si="83"/>
        <v>RECORDING ENGINEER</v>
      </c>
      <c r="D480" s="9"/>
      <c r="E480" s="9" t="str">
        <f t="shared" si="84"/>
        <v>DOLLY HWANG</v>
      </c>
      <c r="F480" s="9"/>
      <c r="G480" s="3"/>
      <c r="H480" s="55"/>
      <c r="I480" s="36" t="s">
        <v>427</v>
      </c>
      <c r="J480" s="55"/>
      <c r="K480" s="2" t="s">
        <v>453</v>
      </c>
      <c r="L480" s="55"/>
      <c r="M480" s="8"/>
      <c r="N480" s="2"/>
      <c r="O480" s="36" t="s">
        <v>886</v>
      </c>
      <c r="P480" s="2"/>
      <c r="Q480" s="2" t="s">
        <v>453</v>
      </c>
      <c r="R480" s="2"/>
    </row>
    <row r="481" spans="1:18">
      <c r="A481" s="14"/>
      <c r="B481" s="9"/>
      <c r="C481" s="9" t="str">
        <f t="shared" si="83"/>
        <v/>
      </c>
      <c r="D481" s="9"/>
      <c r="E481" s="9" t="str">
        <f t="shared" si="84"/>
        <v/>
      </c>
      <c r="F481" s="9"/>
      <c r="G481" s="3"/>
      <c r="H481" s="3"/>
      <c r="I481" s="8"/>
      <c r="J481" s="3"/>
      <c r="K481" s="3"/>
      <c r="L481" s="3"/>
      <c r="M481" s="8"/>
      <c r="N481" s="8"/>
      <c r="O481" s="8"/>
      <c r="P481" s="3"/>
      <c r="Q481" s="3"/>
      <c r="R481" s="3"/>
    </row>
    <row r="482" spans="1:18">
      <c r="A482" s="14"/>
      <c r="B482" s="11"/>
      <c r="C482" s="11"/>
      <c r="D482" s="11"/>
      <c r="E482" s="11"/>
      <c r="F482" s="11"/>
      <c r="G482" s="3"/>
      <c r="H482" s="3"/>
      <c r="I482" s="8"/>
      <c r="J482" s="3"/>
      <c r="K482" s="3"/>
      <c r="L482" s="3"/>
      <c r="M482" s="8"/>
      <c r="N482" s="8"/>
      <c r="O482" s="8"/>
      <c r="P482" s="3"/>
      <c r="Q482" s="3"/>
      <c r="R482" s="3"/>
    </row>
    <row r="483" spans="1:18">
      <c r="A483" s="14"/>
      <c r="B483" s="6"/>
      <c r="C483" s="6"/>
      <c r="D483" s="6"/>
      <c r="E483" s="6"/>
      <c r="F483" s="6"/>
      <c r="G483" s="3"/>
      <c r="H483" s="5"/>
      <c r="I483" s="5"/>
      <c r="J483" s="5"/>
      <c r="K483" s="5"/>
      <c r="L483" s="5"/>
      <c r="M483" s="8"/>
      <c r="N483" s="8"/>
      <c r="O483" s="8"/>
      <c r="P483" s="3"/>
      <c r="Q483" s="3"/>
      <c r="R483" s="3"/>
    </row>
    <row r="484" spans="1:18">
      <c r="A484" s="14"/>
      <c r="B484" s="150" t="str">
        <f t="shared" ref="B484:B485" si="85">UPPER(H484)</f>
        <v>POST PRODUCTION / ORIGINAL SCORES &amp; SONGS</v>
      </c>
      <c r="C484" s="141"/>
      <c r="D484" s="141"/>
      <c r="E484" s="141"/>
      <c r="F484" s="141"/>
      <c r="G484" s="28"/>
      <c r="H484" s="167" t="s">
        <v>435</v>
      </c>
      <c r="I484" s="141"/>
      <c r="J484" s="141"/>
      <c r="K484" s="141"/>
      <c r="L484" s="141"/>
      <c r="M484" s="29"/>
      <c r="N484" s="149" t="s">
        <v>888</v>
      </c>
      <c r="O484" s="141"/>
      <c r="P484" s="141"/>
      <c r="Q484" s="141"/>
      <c r="R484" s="141"/>
    </row>
    <row r="485" spans="1:18">
      <c r="A485" s="14"/>
      <c r="B485" s="146" t="str">
        <f t="shared" si="85"/>
        <v>MUSIC BY EPISODE</v>
      </c>
      <c r="C485" s="141"/>
      <c r="D485" s="141"/>
      <c r="E485" s="141"/>
      <c r="F485" s="141"/>
      <c r="G485" s="3"/>
      <c r="H485" s="149" t="s">
        <v>476</v>
      </c>
      <c r="I485" s="141"/>
      <c r="J485" s="141"/>
      <c r="K485" s="141"/>
      <c r="L485" s="141"/>
      <c r="M485" s="8"/>
      <c r="N485" s="149" t="s">
        <v>919</v>
      </c>
      <c r="O485" s="141"/>
      <c r="P485" s="141"/>
      <c r="Q485" s="141"/>
      <c r="R485" s="141"/>
    </row>
    <row r="486" spans="1:18">
      <c r="A486" s="14"/>
      <c r="B486" s="6"/>
      <c r="C486" s="10" t="str">
        <f t="shared" ref="C486:C497" si="86">UPPER(I486)</f>
        <v/>
      </c>
      <c r="D486" s="42"/>
      <c r="E486" s="57" t="str">
        <f t="shared" ref="E486:E497" si="87">UPPER(K486)</f>
        <v/>
      </c>
      <c r="F486" s="6"/>
      <c r="G486" s="3"/>
      <c r="H486" s="5"/>
      <c r="I486" s="82"/>
      <c r="J486" s="83"/>
      <c r="K486" s="84"/>
      <c r="L486" s="5"/>
      <c r="M486" s="8"/>
      <c r="N486" s="149"/>
      <c r="O486" s="141"/>
      <c r="P486" s="141"/>
      <c r="Q486" s="141"/>
      <c r="R486" s="141"/>
    </row>
    <row r="487" spans="1:18">
      <c r="A487" s="14"/>
      <c r="B487" s="6"/>
      <c r="C487" s="10" t="str">
        <f t="shared" si="86"/>
        <v>MUSIC SUPERVISOR</v>
      </c>
      <c r="D487" s="42"/>
      <c r="E487" s="57" t="str">
        <f t="shared" si="87"/>
        <v>YOONHO KIM</v>
      </c>
      <c r="F487" s="6"/>
      <c r="G487" s="3"/>
      <c r="H487" s="3"/>
      <c r="I487" s="30" t="s">
        <v>447</v>
      </c>
      <c r="J487" s="24"/>
      <c r="K487" s="22" t="s">
        <v>448</v>
      </c>
      <c r="L487" s="3"/>
      <c r="M487" s="8"/>
      <c r="N487" s="3"/>
      <c r="O487" s="8" t="s">
        <v>898</v>
      </c>
      <c r="P487" s="3"/>
      <c r="Q487" s="3" t="s">
        <v>899</v>
      </c>
      <c r="R487" s="3"/>
    </row>
    <row r="488" spans="1:18">
      <c r="A488" s="14"/>
      <c r="B488" s="6"/>
      <c r="C488" s="10" t="str">
        <f t="shared" si="86"/>
        <v/>
      </c>
      <c r="D488" s="42"/>
      <c r="E488" s="57" t="str">
        <f t="shared" si="87"/>
        <v/>
      </c>
      <c r="F488" s="6"/>
      <c r="G488" s="3"/>
      <c r="H488" s="3"/>
      <c r="I488" s="44"/>
      <c r="J488" s="14"/>
      <c r="K488" s="14"/>
      <c r="L488" s="3"/>
      <c r="M488" s="8"/>
      <c r="N488" s="3"/>
      <c r="O488" s="8"/>
      <c r="P488" s="3"/>
      <c r="Q488" s="3"/>
      <c r="R488" s="3"/>
    </row>
    <row r="489" spans="1:18">
      <c r="A489" s="14"/>
      <c r="B489" s="6"/>
      <c r="C489" s="10" t="str">
        <f t="shared" si="86"/>
        <v>LEAD COMPOSER</v>
      </c>
      <c r="D489" s="42"/>
      <c r="E489" s="57" t="str">
        <f t="shared" si="87"/>
        <v>SIEUN KIM</v>
      </c>
      <c r="F489" s="6"/>
      <c r="G489" s="3"/>
      <c r="H489" s="5"/>
      <c r="I489" s="30" t="s">
        <v>449</v>
      </c>
      <c r="J489" s="24"/>
      <c r="K489" s="22" t="s">
        <v>463</v>
      </c>
      <c r="L489" s="5"/>
      <c r="M489" s="8"/>
      <c r="N489" s="3"/>
      <c r="O489" s="8" t="s">
        <v>900</v>
      </c>
      <c r="P489" s="3"/>
      <c r="Q489" s="3" t="s">
        <v>901</v>
      </c>
      <c r="R489" s="3"/>
    </row>
    <row r="490" spans="1:18">
      <c r="A490" s="14"/>
      <c r="B490" s="6"/>
      <c r="C490" s="10" t="str">
        <f t="shared" si="86"/>
        <v/>
      </c>
      <c r="D490" s="42"/>
      <c r="E490" s="57" t="str">
        <f t="shared" si="87"/>
        <v/>
      </c>
      <c r="F490" s="6"/>
      <c r="G490" s="3"/>
      <c r="H490" s="3"/>
      <c r="I490" s="75"/>
      <c r="J490" s="75"/>
      <c r="K490" s="75"/>
      <c r="L490" s="3"/>
      <c r="M490" s="8"/>
      <c r="N490" s="3"/>
      <c r="O490" s="8"/>
      <c r="P490" s="3"/>
      <c r="Q490" s="3"/>
      <c r="R490" s="3"/>
    </row>
    <row r="491" spans="1:18">
      <c r="A491" s="14"/>
      <c r="B491" s="6"/>
      <c r="C491" s="10" t="str">
        <f t="shared" si="86"/>
        <v>ADDITIONAL COMPOSER</v>
      </c>
      <c r="D491" s="42"/>
      <c r="E491" s="57" t="str">
        <f t="shared" si="87"/>
        <v>NAYEON LEE</v>
      </c>
      <c r="F491" s="6"/>
      <c r="G491" s="3"/>
      <c r="H491" s="3"/>
      <c r="I491" s="30" t="s">
        <v>451</v>
      </c>
      <c r="J491" s="24"/>
      <c r="K491" s="22" t="s">
        <v>640</v>
      </c>
      <c r="L491" s="3"/>
      <c r="M491" s="8"/>
      <c r="N491" s="3"/>
      <c r="O491" s="8" t="s">
        <v>902</v>
      </c>
      <c r="P491" s="3"/>
      <c r="Q491" s="3" t="s">
        <v>903</v>
      </c>
      <c r="R491" s="3"/>
    </row>
    <row r="492" spans="1:18">
      <c r="A492" s="14"/>
      <c r="B492" s="6"/>
      <c r="C492" s="10" t="str">
        <f t="shared" si="86"/>
        <v/>
      </c>
      <c r="D492" s="42"/>
      <c r="E492" s="57" t="str">
        <f t="shared" si="87"/>
        <v>SOYOUNG KWON</v>
      </c>
      <c r="F492" s="6"/>
      <c r="G492" s="3"/>
      <c r="H492" s="3"/>
      <c r="I492" s="30"/>
      <c r="J492" s="24"/>
      <c r="K492" s="22" t="s">
        <v>455</v>
      </c>
      <c r="L492" s="3"/>
      <c r="M492" s="8"/>
      <c r="N492" s="3"/>
      <c r="O492" s="8"/>
      <c r="P492" s="3"/>
      <c r="Q492" s="20" t="s">
        <v>905</v>
      </c>
      <c r="R492" s="3"/>
    </row>
    <row r="493" spans="1:18">
      <c r="A493" s="14"/>
      <c r="B493" s="6"/>
      <c r="C493" s="10" t="str">
        <f t="shared" si="86"/>
        <v/>
      </c>
      <c r="D493" s="42"/>
      <c r="E493" s="57" t="str">
        <f t="shared" si="87"/>
        <v/>
      </c>
      <c r="F493" s="6"/>
      <c r="G493" s="3"/>
      <c r="H493" s="3"/>
      <c r="I493" s="44"/>
      <c r="J493" s="14"/>
      <c r="K493" s="14"/>
      <c r="L493" s="3"/>
      <c r="M493" s="8"/>
      <c r="N493" s="3"/>
      <c r="O493" s="8"/>
      <c r="P493" s="3"/>
      <c r="Q493" s="3"/>
      <c r="R493" s="3"/>
    </row>
    <row r="494" spans="1:18">
      <c r="A494" s="14"/>
      <c r="B494" s="6"/>
      <c r="C494" s="10" t="str">
        <f t="shared" si="86"/>
        <v>LEAD SOUND DESIGNER</v>
      </c>
      <c r="D494" s="42"/>
      <c r="E494" s="57" t="str">
        <f t="shared" si="87"/>
        <v>HYEJEONG HWANG</v>
      </c>
      <c r="F494" s="6"/>
      <c r="G494" s="3"/>
      <c r="H494" s="3"/>
      <c r="I494" s="30" t="s">
        <v>478</v>
      </c>
      <c r="J494" s="24"/>
      <c r="K494" s="22" t="s">
        <v>441</v>
      </c>
      <c r="L494" s="3"/>
      <c r="M494" s="8"/>
      <c r="N494" s="3"/>
      <c r="O494" s="8" t="s">
        <v>920</v>
      </c>
      <c r="P494" s="3"/>
      <c r="Q494" s="3" t="s">
        <v>885</v>
      </c>
      <c r="R494" s="3"/>
    </row>
    <row r="495" spans="1:18">
      <c r="A495" s="14"/>
      <c r="B495" s="6"/>
      <c r="C495" s="10" t="str">
        <f t="shared" si="86"/>
        <v/>
      </c>
      <c r="D495" s="42"/>
      <c r="E495" s="57" t="str">
        <f t="shared" si="87"/>
        <v/>
      </c>
      <c r="F495" s="6"/>
      <c r="G495" s="3"/>
      <c r="H495" s="5"/>
      <c r="I495" s="44"/>
      <c r="J495" s="14"/>
      <c r="K495" s="14"/>
      <c r="L495" s="5"/>
      <c r="M495" s="8"/>
      <c r="N495" s="3"/>
      <c r="O495" s="8"/>
      <c r="P495" s="3"/>
      <c r="Q495" s="3"/>
      <c r="R495" s="3"/>
    </row>
    <row r="496" spans="1:18">
      <c r="A496" s="14"/>
      <c r="B496" s="6"/>
      <c r="C496" s="10" t="str">
        <f t="shared" si="86"/>
        <v>FOLEY DESIGNER</v>
      </c>
      <c r="D496" s="42"/>
      <c r="E496" s="57" t="str">
        <f t="shared" si="87"/>
        <v>HYEJEONG HWANG</v>
      </c>
      <c r="F496" s="6"/>
      <c r="G496" s="3"/>
      <c r="H496" s="3"/>
      <c r="I496" s="30" t="s">
        <v>479</v>
      </c>
      <c r="J496" s="24"/>
      <c r="K496" s="22" t="s">
        <v>441</v>
      </c>
      <c r="L496" s="3"/>
      <c r="M496" s="8"/>
      <c r="N496" s="3"/>
      <c r="O496" s="8" t="s">
        <v>921</v>
      </c>
      <c r="P496" s="3"/>
      <c r="Q496" s="3" t="s">
        <v>885</v>
      </c>
      <c r="R496" s="3"/>
    </row>
    <row r="497" spans="1:18">
      <c r="A497" s="14"/>
      <c r="B497" s="6"/>
      <c r="C497" s="10" t="str">
        <f t="shared" si="86"/>
        <v/>
      </c>
      <c r="D497" s="42"/>
      <c r="E497" s="57" t="str">
        <f t="shared" si="87"/>
        <v/>
      </c>
      <c r="F497" s="6"/>
      <c r="G497" s="3"/>
      <c r="H497" s="3"/>
      <c r="I497" s="8"/>
      <c r="J497" s="3"/>
      <c r="K497" s="3"/>
      <c r="L497" s="3"/>
      <c r="M497" s="8"/>
      <c r="N497" s="8"/>
      <c r="O497" s="8"/>
      <c r="P497" s="3"/>
      <c r="Q497" s="3"/>
      <c r="R497" s="3"/>
    </row>
    <row r="498" spans="1:18">
      <c r="A498" s="14"/>
      <c r="B498" s="11"/>
      <c r="C498" s="11"/>
      <c r="D498" s="11"/>
      <c r="E498" s="11"/>
      <c r="F498" s="11"/>
      <c r="G498" s="3"/>
      <c r="H498" s="3"/>
      <c r="I498" s="8"/>
      <c r="J498" s="3"/>
      <c r="K498" s="3"/>
      <c r="L498" s="3"/>
      <c r="M498" s="8"/>
      <c r="N498" s="8"/>
      <c r="O498" s="8"/>
      <c r="P498" s="3"/>
      <c r="Q498" s="3"/>
      <c r="R498" s="3"/>
    </row>
    <row r="499" spans="1:18">
      <c r="A499" s="14"/>
      <c r="B499" s="58"/>
      <c r="C499" s="58"/>
      <c r="D499" s="58"/>
      <c r="E499" s="58"/>
      <c r="F499" s="58"/>
      <c r="G499" s="3"/>
      <c r="H499" s="5"/>
      <c r="I499" s="5"/>
      <c r="J499" s="5"/>
      <c r="K499" s="5"/>
      <c r="L499" s="5"/>
      <c r="M499" s="8"/>
      <c r="N499" s="8"/>
      <c r="O499" s="8"/>
      <c r="P499" s="3"/>
      <c r="Q499" s="3"/>
      <c r="R499" s="3"/>
    </row>
    <row r="500" spans="1:18">
      <c r="A500" s="14"/>
      <c r="B500" s="153" t="str">
        <f>UPPER(H500)</f>
        <v>MASTERING</v>
      </c>
      <c r="C500" s="141"/>
      <c r="D500" s="141"/>
      <c r="E500" s="141"/>
      <c r="F500" s="141"/>
      <c r="G500" s="28"/>
      <c r="H500" s="167" t="s">
        <v>481</v>
      </c>
      <c r="I500" s="141"/>
      <c r="J500" s="141"/>
      <c r="K500" s="141"/>
      <c r="L500" s="141"/>
      <c r="M500" s="29"/>
      <c r="N500" s="149" t="s">
        <v>923</v>
      </c>
      <c r="O500" s="141"/>
      <c r="P500" s="141"/>
      <c r="Q500" s="141"/>
      <c r="R500" s="141"/>
    </row>
    <row r="501" spans="1:18">
      <c r="A501" s="14"/>
      <c r="B501" s="42"/>
      <c r="C501" s="10"/>
      <c r="D501" s="42"/>
      <c r="E501" s="57"/>
      <c r="F501" s="59"/>
      <c r="G501" s="3"/>
      <c r="H501" s="3"/>
      <c r="I501" s="8"/>
      <c r="J501" s="3"/>
      <c r="K501" s="3"/>
      <c r="L501" s="3"/>
      <c r="M501" s="8"/>
      <c r="N501" s="3"/>
      <c r="O501" s="8"/>
      <c r="P501" s="3"/>
      <c r="Q501" s="3"/>
      <c r="R501" s="3"/>
    </row>
    <row r="502" spans="1:18">
      <c r="A502" s="14"/>
      <c r="B502" s="42" t="str">
        <f t="shared" ref="B502:C502" si="88">UPPER(H502)</f>
        <v/>
      </c>
      <c r="C502" s="10" t="str">
        <f t="shared" si="88"/>
        <v>STUDIO</v>
      </c>
      <c r="D502" s="42"/>
      <c r="E502" s="57" t="str">
        <f>UPPER(K502)</f>
        <v>SBA</v>
      </c>
      <c r="F502" s="59"/>
      <c r="G502" s="3"/>
      <c r="H502" s="3"/>
      <c r="I502" s="8" t="s">
        <v>482</v>
      </c>
      <c r="J502" s="3"/>
      <c r="K502" s="3" t="s">
        <v>483</v>
      </c>
      <c r="L502" s="3"/>
      <c r="M502" s="8"/>
      <c r="N502" s="3"/>
      <c r="O502" s="8" t="s">
        <v>924</v>
      </c>
      <c r="P502" s="3"/>
      <c r="Q502" s="3" t="s">
        <v>483</v>
      </c>
      <c r="R502" s="3"/>
    </row>
    <row r="503" spans="1:18">
      <c r="A503" s="14"/>
      <c r="B503" s="42"/>
      <c r="C503" s="10"/>
      <c r="D503" s="42"/>
      <c r="E503" s="57"/>
      <c r="F503" s="59"/>
      <c r="G503" s="3"/>
      <c r="H503" s="3"/>
      <c r="I503" s="8"/>
      <c r="J503" s="3"/>
      <c r="K503" s="3"/>
      <c r="L503" s="3"/>
      <c r="M503" s="8"/>
      <c r="N503" s="3"/>
      <c r="O503" s="3"/>
      <c r="P503" s="3"/>
      <c r="Q503" s="3"/>
      <c r="R503" s="3"/>
    </row>
    <row r="504" spans="1:18">
      <c r="A504" s="14"/>
      <c r="B504" s="42"/>
      <c r="C504" s="10" t="str">
        <f>UPPER(I504)</f>
        <v>STUDIO DEPT. DIRECTOR</v>
      </c>
      <c r="D504" s="42"/>
      <c r="E504" s="57" t="str">
        <f>UPPER(K504)</f>
        <v>JONGMIN HAHM</v>
      </c>
      <c r="F504" s="59"/>
      <c r="G504" s="3"/>
      <c r="H504" s="3"/>
      <c r="I504" s="8" t="s">
        <v>484</v>
      </c>
      <c r="J504" s="3"/>
      <c r="K504" s="3" t="s">
        <v>485</v>
      </c>
      <c r="L504" s="3"/>
      <c r="M504" s="8"/>
      <c r="N504" s="3"/>
      <c r="O504" s="8" t="s">
        <v>925</v>
      </c>
      <c r="P504" s="3"/>
      <c r="Q504" s="3" t="s">
        <v>926</v>
      </c>
      <c r="R504" s="3"/>
    </row>
    <row r="505" spans="1:18">
      <c r="A505" s="14"/>
      <c r="B505" s="42"/>
      <c r="C505" s="10"/>
      <c r="D505" s="42"/>
      <c r="E505" s="57"/>
      <c r="F505" s="59"/>
      <c r="G505" s="3"/>
      <c r="H505" s="3"/>
      <c r="I505" s="8"/>
      <c r="J505" s="3"/>
      <c r="K505" s="3"/>
      <c r="L505" s="3"/>
      <c r="M505" s="8"/>
      <c r="N505" s="3"/>
      <c r="O505" s="3"/>
      <c r="P505" s="3"/>
      <c r="Q505" s="3"/>
      <c r="R505" s="3"/>
    </row>
    <row r="506" spans="1:18">
      <c r="A506" s="14"/>
      <c r="B506" s="42" t="str">
        <f t="shared" ref="B506:C506" si="89">UPPER(H506)</f>
        <v/>
      </c>
      <c r="C506" s="10" t="str">
        <f t="shared" si="89"/>
        <v>STUDIO MANAGER</v>
      </c>
      <c r="D506" s="42"/>
      <c r="E506" s="57" t="str">
        <f t="shared" ref="E506:E507" si="90">UPPER(K506)</f>
        <v>MYUNGHOON LEE</v>
      </c>
      <c r="F506" s="59"/>
      <c r="G506" s="3"/>
      <c r="H506" s="3"/>
      <c r="I506" s="8" t="s">
        <v>486</v>
      </c>
      <c r="J506" s="3"/>
      <c r="K506" s="3" t="s">
        <v>487</v>
      </c>
      <c r="L506" s="3"/>
      <c r="M506" s="8"/>
      <c r="N506" s="3"/>
      <c r="O506" s="8" t="s">
        <v>927</v>
      </c>
      <c r="P506" s="3"/>
      <c r="Q506" s="3" t="s">
        <v>928</v>
      </c>
      <c r="R506" s="3"/>
    </row>
    <row r="507" spans="1:18">
      <c r="A507" s="14"/>
      <c r="B507" s="42" t="str">
        <f t="shared" ref="B507:C507" si="91">UPPER(H507)</f>
        <v/>
      </c>
      <c r="C507" s="10" t="str">
        <f t="shared" si="91"/>
        <v/>
      </c>
      <c r="D507" s="42"/>
      <c r="E507" s="57" t="str">
        <f t="shared" si="90"/>
        <v>HAESU JEON</v>
      </c>
      <c r="F507" s="59"/>
      <c r="G507" s="3"/>
      <c r="H507" s="3"/>
      <c r="I507" s="8"/>
      <c r="J507" s="3"/>
      <c r="K507" s="3" t="s">
        <v>488</v>
      </c>
      <c r="L507" s="3"/>
      <c r="M507" s="8"/>
      <c r="N507" s="8"/>
      <c r="O507" s="3"/>
      <c r="P507" s="3"/>
      <c r="Q507" s="3" t="s">
        <v>929</v>
      </c>
      <c r="R507" s="3"/>
    </row>
    <row r="508" spans="1:18">
      <c r="A508" s="14"/>
      <c r="B508" s="42"/>
      <c r="C508" s="10"/>
      <c r="D508" s="42"/>
      <c r="E508" s="57"/>
      <c r="F508" s="59"/>
      <c r="G508" s="3"/>
      <c r="H508" s="3"/>
      <c r="I508" s="8"/>
      <c r="J508" s="3"/>
      <c r="K508" s="3"/>
      <c r="L508" s="3"/>
      <c r="M508" s="8"/>
      <c r="N508" s="8"/>
      <c r="O508" s="8"/>
      <c r="P508" s="3"/>
      <c r="Q508" s="3"/>
      <c r="R508" s="3"/>
    </row>
    <row r="509" spans="1:18">
      <c r="A509" s="14"/>
      <c r="B509" s="11"/>
      <c r="C509" s="12" t="str">
        <f>UPPER(I509)</f>
        <v/>
      </c>
      <c r="D509" s="11"/>
      <c r="E509" s="11" t="str">
        <f>UPPER(K509)</f>
        <v/>
      </c>
      <c r="F509" s="11"/>
      <c r="G509" s="3"/>
      <c r="H509" s="3"/>
      <c r="I509" s="8"/>
      <c r="J509" s="3"/>
      <c r="K509" s="13"/>
      <c r="L509" s="3"/>
      <c r="M509" s="8"/>
      <c r="N509" s="8"/>
      <c r="O509" s="8"/>
      <c r="P509" s="3"/>
      <c r="Q509" s="3"/>
      <c r="R509" s="3"/>
    </row>
    <row r="510" spans="1:18">
      <c r="A510" s="14"/>
      <c r="B510" s="58"/>
      <c r="C510" s="58"/>
      <c r="D510" s="58"/>
      <c r="E510" s="58"/>
      <c r="F510" s="58"/>
      <c r="G510" s="3"/>
      <c r="H510" s="5"/>
      <c r="I510" s="5"/>
      <c r="J510" s="5"/>
      <c r="K510" s="5"/>
      <c r="L510" s="5"/>
      <c r="M510" s="8"/>
      <c r="N510" s="8"/>
      <c r="O510" s="8"/>
      <c r="P510" s="3"/>
      <c r="Q510" s="3"/>
      <c r="R510" s="3"/>
    </row>
    <row r="511" spans="1:18">
      <c r="A511" s="14"/>
      <c r="B511" s="153" t="str">
        <f t="shared" ref="B511:B513" si="92">UPPER(H511)</f>
        <v>MASTERING</v>
      </c>
      <c r="C511" s="141"/>
      <c r="D511" s="141"/>
      <c r="E511" s="141"/>
      <c r="F511" s="141"/>
      <c r="G511" s="28"/>
      <c r="H511" s="167" t="s">
        <v>481</v>
      </c>
      <c r="I511" s="141"/>
      <c r="J511" s="141"/>
      <c r="K511" s="141"/>
      <c r="L511" s="141"/>
      <c r="M511" s="8"/>
      <c r="N511" s="149" t="s">
        <v>923</v>
      </c>
      <c r="O511" s="141"/>
      <c r="P511" s="141"/>
      <c r="Q511" s="141"/>
      <c r="R511" s="141"/>
    </row>
    <row r="512" spans="1:18">
      <c r="A512" s="14"/>
      <c r="B512" s="146" t="str">
        <f t="shared" si="92"/>
        <v>IYUNO</v>
      </c>
      <c r="C512" s="141"/>
      <c r="D512" s="141"/>
      <c r="E512" s="141"/>
      <c r="F512" s="141"/>
      <c r="G512" s="3"/>
      <c r="H512" s="169" t="s">
        <v>489</v>
      </c>
      <c r="I512" s="141"/>
      <c r="J512" s="141"/>
      <c r="K512" s="141"/>
      <c r="L512" s="141"/>
      <c r="M512" s="8"/>
      <c r="N512" s="155" t="s">
        <v>489</v>
      </c>
      <c r="O512" s="141"/>
      <c r="P512" s="141"/>
      <c r="Q512" s="141"/>
      <c r="R512" s="141"/>
    </row>
    <row r="513" spans="1:18">
      <c r="A513" s="14"/>
      <c r="B513" s="42" t="str">
        <f t="shared" si="92"/>
        <v/>
      </c>
      <c r="C513" s="10" t="str">
        <f t="shared" ref="C513:C516" si="93">UPPER(I513)</f>
        <v/>
      </c>
      <c r="D513" s="42"/>
      <c r="E513" s="57" t="str">
        <f t="shared" ref="E513:E522" si="94">UPPER(K513)</f>
        <v/>
      </c>
      <c r="F513" s="59"/>
      <c r="G513" s="3"/>
      <c r="H513" s="3"/>
      <c r="I513" s="8"/>
      <c r="J513" s="3"/>
      <c r="K513" s="3"/>
      <c r="L513" s="3"/>
      <c r="M513" s="8"/>
      <c r="N513" s="8"/>
      <c r="O513" s="21"/>
      <c r="P513" s="3"/>
      <c r="Q513" s="3"/>
      <c r="R513" s="3"/>
    </row>
    <row r="514" spans="1:18">
      <c r="A514" s="14"/>
      <c r="B514" s="42"/>
      <c r="C514" s="10" t="str">
        <f t="shared" si="93"/>
        <v>MEDIA OPERATIONS SUPERVISOR</v>
      </c>
      <c r="D514" s="42"/>
      <c r="E514" s="57" t="str">
        <f t="shared" si="94"/>
        <v>JINWOO YANG</v>
      </c>
      <c r="F514" s="59"/>
      <c r="G514" s="3"/>
      <c r="H514" s="3"/>
      <c r="I514" s="8" t="s">
        <v>490</v>
      </c>
      <c r="J514" s="3"/>
      <c r="K514" s="3" t="s">
        <v>491</v>
      </c>
      <c r="L514" s="3"/>
      <c r="M514" s="8"/>
      <c r="N514" s="8"/>
      <c r="O514" s="21" t="s">
        <v>930</v>
      </c>
      <c r="P514" s="3"/>
      <c r="Q514" s="3" t="s">
        <v>931</v>
      </c>
      <c r="R514" s="3"/>
    </row>
    <row r="515" spans="1:18">
      <c r="A515" s="14"/>
      <c r="B515" s="42"/>
      <c r="C515" s="10" t="str">
        <f t="shared" si="93"/>
        <v/>
      </c>
      <c r="D515" s="42"/>
      <c r="E515" s="57" t="str">
        <f t="shared" si="94"/>
        <v/>
      </c>
      <c r="F515" s="59"/>
      <c r="G515" s="3"/>
      <c r="H515" s="3"/>
      <c r="I515" s="8"/>
      <c r="J515" s="3"/>
      <c r="K515" s="3"/>
      <c r="L515" s="3"/>
      <c r="M515" s="8"/>
      <c r="N515" s="8"/>
      <c r="O515" s="21"/>
      <c r="P515" s="3"/>
      <c r="Q515" s="3"/>
      <c r="R515" s="3"/>
    </row>
    <row r="516" spans="1:18">
      <c r="A516" s="14"/>
      <c r="B516" s="42"/>
      <c r="C516" s="10" t="str">
        <f t="shared" si="93"/>
        <v>PROJECT MANAGER</v>
      </c>
      <c r="D516" s="42"/>
      <c r="E516" s="57" t="str">
        <f t="shared" si="94"/>
        <v>WONJEONG SONG</v>
      </c>
      <c r="F516" s="59"/>
      <c r="G516" s="3"/>
      <c r="H516" s="3"/>
      <c r="I516" s="8" t="s">
        <v>492</v>
      </c>
      <c r="J516" s="3"/>
      <c r="K516" s="3" t="s">
        <v>493</v>
      </c>
      <c r="L516" s="3"/>
      <c r="M516" s="8"/>
      <c r="N516" s="8"/>
      <c r="O516" s="21" t="s">
        <v>932</v>
      </c>
      <c r="P516" s="3"/>
      <c r="Q516" s="3" t="s">
        <v>933</v>
      </c>
      <c r="R516" s="3"/>
    </row>
    <row r="517" spans="1:18">
      <c r="A517" s="14"/>
      <c r="B517" s="42" t="str">
        <f t="shared" ref="B517:C517" si="95">UPPER(H517)</f>
        <v/>
      </c>
      <c r="C517" s="10" t="str">
        <f t="shared" si="95"/>
        <v/>
      </c>
      <c r="D517" s="42"/>
      <c r="E517" s="57" t="str">
        <f t="shared" si="94"/>
        <v/>
      </c>
      <c r="F517" s="59"/>
      <c r="G517" s="3"/>
      <c r="H517" s="3"/>
      <c r="I517" s="8"/>
      <c r="J517" s="3"/>
      <c r="K517" s="3"/>
      <c r="L517" s="3"/>
      <c r="M517" s="8"/>
      <c r="N517" s="8"/>
      <c r="O517" s="21"/>
      <c r="P517" s="3"/>
      <c r="Q517" s="3"/>
      <c r="R517" s="3"/>
    </row>
    <row r="518" spans="1:18">
      <c r="A518" s="14"/>
      <c r="B518" s="42" t="str">
        <f t="shared" ref="B518:C518" si="96">UPPER(H518)</f>
        <v/>
      </c>
      <c r="C518" s="10" t="str">
        <f t="shared" si="96"/>
        <v>VIDEO EDITOR</v>
      </c>
      <c r="D518" s="42"/>
      <c r="E518" s="57" t="str">
        <f t="shared" si="94"/>
        <v>SANGYOUNG CHO</v>
      </c>
      <c r="F518" s="59"/>
      <c r="G518" s="3"/>
      <c r="H518" s="3"/>
      <c r="I518" s="8" t="s">
        <v>494</v>
      </c>
      <c r="J518" s="3"/>
      <c r="K518" s="3" t="s">
        <v>495</v>
      </c>
      <c r="L518" s="3"/>
      <c r="M518" s="8"/>
      <c r="N518" s="8"/>
      <c r="O518" s="21" t="s">
        <v>934</v>
      </c>
      <c r="P518" s="3"/>
      <c r="Q518" s="3" t="s">
        <v>935</v>
      </c>
      <c r="R518" s="3"/>
    </row>
    <row r="519" spans="1:18">
      <c r="A519" s="14"/>
      <c r="B519" s="42"/>
      <c r="C519" s="10" t="str">
        <f t="shared" ref="C519:C522" si="97">UPPER(I519)</f>
        <v/>
      </c>
      <c r="D519" s="42"/>
      <c r="E519" s="57" t="str">
        <f t="shared" si="94"/>
        <v>JINAH JEONG</v>
      </c>
      <c r="F519" s="59"/>
      <c r="G519" s="3"/>
      <c r="H519" s="3"/>
      <c r="I519" s="8"/>
      <c r="J519" s="3"/>
      <c r="K519" s="3" t="s">
        <v>496</v>
      </c>
      <c r="L519" s="3"/>
      <c r="M519" s="8"/>
      <c r="N519" s="8"/>
      <c r="O519" s="21"/>
      <c r="P519" s="3"/>
      <c r="Q519" s="3" t="s">
        <v>936</v>
      </c>
      <c r="R519" s="3"/>
    </row>
    <row r="520" spans="1:18">
      <c r="A520" s="14"/>
      <c r="B520" s="42"/>
      <c r="C520" s="10" t="str">
        <f t="shared" si="97"/>
        <v/>
      </c>
      <c r="D520" s="42"/>
      <c r="E520" s="57" t="str">
        <f t="shared" si="94"/>
        <v>SONGI YOON</v>
      </c>
      <c r="F520" s="59"/>
      <c r="G520" s="3"/>
      <c r="H520" s="3"/>
      <c r="I520" s="8"/>
      <c r="J520" s="3"/>
      <c r="K520" s="3" t="s">
        <v>497</v>
      </c>
      <c r="L520" s="3"/>
      <c r="M520" s="8"/>
      <c r="N520" s="8"/>
      <c r="O520" s="21"/>
      <c r="P520" s="3"/>
      <c r="Q520" s="3" t="s">
        <v>937</v>
      </c>
      <c r="R520" s="3"/>
    </row>
    <row r="521" spans="1:18">
      <c r="A521" s="14"/>
      <c r="B521" s="42"/>
      <c r="C521" s="10" t="str">
        <f t="shared" si="97"/>
        <v/>
      </c>
      <c r="D521" s="42"/>
      <c r="E521" s="57" t="str">
        <f t="shared" si="94"/>
        <v/>
      </c>
      <c r="F521" s="59"/>
      <c r="G521" s="3"/>
      <c r="H521" s="3"/>
      <c r="I521" s="8"/>
      <c r="J521" s="3"/>
      <c r="K521" s="3"/>
      <c r="L521" s="3"/>
      <c r="M521" s="8"/>
      <c r="N521" s="8"/>
      <c r="O521" s="21"/>
      <c r="P521" s="3"/>
      <c r="Q521" s="3"/>
      <c r="R521" s="3"/>
    </row>
    <row r="522" spans="1:18">
      <c r="A522" s="14"/>
      <c r="B522" s="42"/>
      <c r="C522" s="10" t="str">
        <f t="shared" si="97"/>
        <v>ASSET MANAGER</v>
      </c>
      <c r="D522" s="42"/>
      <c r="E522" s="57" t="str">
        <f t="shared" si="94"/>
        <v>SANGMIN PARK</v>
      </c>
      <c r="F522" s="59"/>
      <c r="G522" s="3"/>
      <c r="H522" s="3"/>
      <c r="I522" s="8" t="s">
        <v>498</v>
      </c>
      <c r="J522" s="3"/>
      <c r="K522" s="3" t="s">
        <v>499</v>
      </c>
      <c r="L522" s="3"/>
      <c r="M522" s="8"/>
      <c r="N522" s="8"/>
      <c r="O522" s="21" t="s">
        <v>938</v>
      </c>
      <c r="P522" s="3"/>
      <c r="Q522" s="3" t="s">
        <v>939</v>
      </c>
      <c r="R522" s="3"/>
    </row>
    <row r="523" spans="1:18">
      <c r="A523" s="14"/>
      <c r="B523" s="42"/>
      <c r="C523" s="10"/>
      <c r="D523" s="42"/>
      <c r="E523" s="57"/>
      <c r="F523" s="59"/>
      <c r="G523" s="3"/>
      <c r="H523" s="3"/>
      <c r="I523" s="8"/>
      <c r="J523" s="3"/>
      <c r="K523" s="3"/>
      <c r="L523" s="3"/>
      <c r="M523" s="8"/>
      <c r="N523" s="8"/>
      <c r="O523" s="8"/>
      <c r="P523" s="3"/>
      <c r="Q523" s="3"/>
      <c r="R523" s="3"/>
    </row>
    <row r="524" spans="1:18">
      <c r="A524" s="14"/>
      <c r="B524" s="11"/>
      <c r="C524" s="12"/>
      <c r="D524" s="11"/>
      <c r="E524" s="11"/>
      <c r="F524" s="11"/>
      <c r="G524" s="3"/>
      <c r="H524" s="3"/>
      <c r="I524" s="8"/>
      <c r="J524" s="3"/>
      <c r="K524" s="13"/>
      <c r="L524" s="3"/>
      <c r="M524" s="8"/>
      <c r="N524" s="8"/>
      <c r="O524" s="8"/>
      <c r="P524" s="3"/>
      <c r="Q524" s="3"/>
      <c r="R524" s="3"/>
    </row>
    <row r="525" spans="1:18">
      <c r="A525" s="14"/>
      <c r="B525" s="6"/>
      <c r="C525" s="6"/>
      <c r="D525" s="6"/>
      <c r="E525" s="6"/>
      <c r="F525" s="6"/>
      <c r="G525" s="3"/>
      <c r="H525" s="5"/>
      <c r="I525" s="5"/>
      <c r="J525" s="5"/>
      <c r="K525" s="5"/>
      <c r="L525" s="5"/>
      <c r="M525" s="8"/>
      <c r="N525" s="8"/>
      <c r="O525" s="8"/>
      <c r="P525" s="3"/>
      <c r="Q525" s="3"/>
      <c r="R525" s="3"/>
    </row>
    <row r="526" spans="1:18">
      <c r="A526" s="14"/>
      <c r="B526" s="150" t="str">
        <f>UPPER(H526)</f>
        <v>TENCENT VIDEO</v>
      </c>
      <c r="C526" s="141"/>
      <c r="D526" s="141"/>
      <c r="E526" s="141"/>
      <c r="F526" s="141"/>
      <c r="G526" s="28"/>
      <c r="H526" s="167" t="s">
        <v>500</v>
      </c>
      <c r="I526" s="141"/>
      <c r="J526" s="141"/>
      <c r="K526" s="141"/>
      <c r="L526" s="141"/>
      <c r="M526" s="29"/>
      <c r="N526" s="149" t="s">
        <v>500</v>
      </c>
      <c r="O526" s="141"/>
      <c r="P526" s="141"/>
      <c r="Q526" s="141"/>
      <c r="R526" s="141"/>
    </row>
    <row r="527" spans="1:18">
      <c r="A527" s="14"/>
      <c r="B527" s="9"/>
      <c r="C527" s="10" t="str">
        <f t="shared" ref="C527:C547" si="98">UPPER(I527)</f>
        <v>BUSINESS DIRECTOR</v>
      </c>
      <c r="D527" s="9"/>
      <c r="E527" s="9" t="str">
        <f t="shared" ref="E527:E549" si="99">UPPER(K527)</f>
        <v>VERN WANG</v>
      </c>
      <c r="F527" s="9"/>
      <c r="G527" s="3"/>
      <c r="H527" s="3"/>
      <c r="I527" s="8" t="s">
        <v>501</v>
      </c>
      <c r="J527" s="3"/>
      <c r="K527" s="2" t="s">
        <v>502</v>
      </c>
      <c r="L527" s="3"/>
      <c r="M527" s="8"/>
      <c r="N527" s="8"/>
      <c r="O527" s="8" t="s">
        <v>501</v>
      </c>
      <c r="P527" s="3"/>
      <c r="Q527" s="2" t="s">
        <v>502</v>
      </c>
      <c r="R527" s="3"/>
    </row>
    <row r="528" spans="1:18">
      <c r="A528" s="14"/>
      <c r="B528" s="9"/>
      <c r="C528" s="10" t="str">
        <f t="shared" si="98"/>
        <v/>
      </c>
      <c r="D528" s="9"/>
      <c r="E528" s="9" t="str">
        <f t="shared" si="99"/>
        <v>ANN WANG</v>
      </c>
      <c r="F528" s="9"/>
      <c r="G528" s="3"/>
      <c r="H528" s="3"/>
      <c r="I528" s="8"/>
      <c r="J528" s="3"/>
      <c r="K528" s="2" t="s">
        <v>503</v>
      </c>
      <c r="L528" s="7"/>
      <c r="M528" s="7"/>
      <c r="N528" s="7"/>
      <c r="O528" s="8"/>
      <c r="P528" s="3"/>
      <c r="Q528" s="2" t="s">
        <v>503</v>
      </c>
      <c r="R528" s="3"/>
    </row>
    <row r="529" spans="1:18">
      <c r="A529" s="14"/>
      <c r="B529" s="9"/>
      <c r="C529" s="10" t="str">
        <f t="shared" si="98"/>
        <v>PRODUCER</v>
      </c>
      <c r="D529" s="9"/>
      <c r="E529" s="9" t="str">
        <f t="shared" si="99"/>
        <v>LEEGER LIU</v>
      </c>
      <c r="F529" s="9"/>
      <c r="G529" s="3"/>
      <c r="H529" s="3"/>
      <c r="I529" s="36" t="s">
        <v>504</v>
      </c>
      <c r="J529" s="3"/>
      <c r="K529" s="2" t="s">
        <v>505</v>
      </c>
      <c r="L529" s="7"/>
      <c r="M529" s="7"/>
      <c r="N529" s="7"/>
      <c r="O529" s="36" t="s">
        <v>504</v>
      </c>
      <c r="P529" s="3"/>
      <c r="Q529" s="2" t="s">
        <v>505</v>
      </c>
      <c r="R529" s="3"/>
    </row>
    <row r="530" spans="1:18">
      <c r="A530" s="14"/>
      <c r="B530" s="9"/>
      <c r="C530" s="10" t="str">
        <f t="shared" si="98"/>
        <v/>
      </c>
      <c r="D530" s="9"/>
      <c r="E530" s="9" t="str">
        <f t="shared" si="99"/>
        <v>ANGEL GENG</v>
      </c>
      <c r="F530" s="9"/>
      <c r="G530" s="3"/>
      <c r="H530" s="3"/>
      <c r="I530" s="8"/>
      <c r="J530" s="3"/>
      <c r="K530" s="2" t="s">
        <v>506</v>
      </c>
      <c r="L530" s="7"/>
      <c r="M530" s="7"/>
      <c r="N530" s="7"/>
      <c r="O530" s="8"/>
      <c r="P530" s="3"/>
      <c r="Q530" s="2" t="s">
        <v>506</v>
      </c>
      <c r="R530" s="3"/>
    </row>
    <row r="531" spans="1:18">
      <c r="A531" s="14"/>
      <c r="B531" s="9"/>
      <c r="C531" s="10" t="str">
        <f t="shared" si="98"/>
        <v/>
      </c>
      <c r="D531" s="9"/>
      <c r="E531" s="9" t="str">
        <f t="shared" si="99"/>
        <v>LILLIANS LI</v>
      </c>
      <c r="F531" s="9"/>
      <c r="G531" s="3"/>
      <c r="H531" s="3"/>
      <c r="I531" s="8"/>
      <c r="J531" s="3"/>
      <c r="K531" s="2" t="s">
        <v>507</v>
      </c>
      <c r="L531" s="60"/>
      <c r="M531" s="60"/>
      <c r="N531" s="60"/>
      <c r="O531" s="8"/>
      <c r="P531" s="3"/>
      <c r="Q531" s="2" t="s">
        <v>507</v>
      </c>
      <c r="R531" s="3"/>
    </row>
    <row r="532" spans="1:18">
      <c r="A532" s="14"/>
      <c r="B532" s="9"/>
      <c r="C532" s="10" t="str">
        <f t="shared" si="98"/>
        <v>PROGRAMMING EDITOR</v>
      </c>
      <c r="D532" s="9"/>
      <c r="E532" s="9" t="str">
        <f t="shared" si="99"/>
        <v>XINCI CHANG</v>
      </c>
      <c r="F532" s="9"/>
      <c r="G532" s="3"/>
      <c r="H532" s="3"/>
      <c r="I532" s="36" t="s">
        <v>508</v>
      </c>
      <c r="J532" s="3"/>
      <c r="K532" s="2" t="s">
        <v>509</v>
      </c>
      <c r="L532" s="7"/>
      <c r="M532" s="7"/>
      <c r="N532" s="7"/>
      <c r="O532" s="36" t="s">
        <v>508</v>
      </c>
      <c r="P532" s="3"/>
      <c r="Q532" s="2" t="s">
        <v>509</v>
      </c>
      <c r="R532" s="3"/>
    </row>
    <row r="533" spans="1:18">
      <c r="A533" s="14"/>
      <c r="B533" s="9"/>
      <c r="C533" s="10" t="str">
        <f t="shared" si="98"/>
        <v/>
      </c>
      <c r="D533" s="9"/>
      <c r="E533" s="9" t="str">
        <f t="shared" si="99"/>
        <v>NAIYUE HU</v>
      </c>
      <c r="F533" s="9"/>
      <c r="G533" s="3"/>
      <c r="H533" s="3"/>
      <c r="I533" s="8"/>
      <c r="J533" s="3"/>
      <c r="K533" s="2" t="s">
        <v>510</v>
      </c>
      <c r="L533" s="7"/>
      <c r="M533" s="7"/>
      <c r="N533" s="7"/>
      <c r="O533" s="8"/>
      <c r="P533" s="3"/>
      <c r="Q533" s="2" t="s">
        <v>510</v>
      </c>
      <c r="R533" s="3"/>
    </row>
    <row r="534" spans="1:18">
      <c r="A534" s="14"/>
      <c r="B534" s="9"/>
      <c r="C534" s="10" t="str">
        <f t="shared" si="98"/>
        <v/>
      </c>
      <c r="D534" s="9"/>
      <c r="E534" s="9" t="str">
        <f t="shared" si="99"/>
        <v>JING LIN</v>
      </c>
      <c r="F534" s="9"/>
      <c r="G534" s="3"/>
      <c r="H534" s="3"/>
      <c r="I534" s="8"/>
      <c r="J534" s="3"/>
      <c r="K534" s="2" t="s">
        <v>511</v>
      </c>
      <c r="L534" s="7"/>
      <c r="M534" s="7"/>
      <c r="N534" s="7"/>
      <c r="O534" s="8"/>
      <c r="P534" s="3"/>
      <c r="Q534" s="2" t="s">
        <v>511</v>
      </c>
      <c r="R534" s="3"/>
    </row>
    <row r="535" spans="1:18">
      <c r="A535" s="14"/>
      <c r="B535" s="9"/>
      <c r="C535" s="10" t="str">
        <f t="shared" si="98"/>
        <v/>
      </c>
      <c r="D535" s="9"/>
      <c r="E535" s="9" t="str">
        <f t="shared" si="99"/>
        <v>YOYO GAO</v>
      </c>
      <c r="F535" s="9"/>
      <c r="G535" s="3"/>
      <c r="H535" s="3"/>
      <c r="I535" s="8"/>
      <c r="J535" s="3"/>
      <c r="K535" s="2" t="s">
        <v>512</v>
      </c>
      <c r="L535" s="7"/>
      <c r="M535" s="7"/>
      <c r="N535" s="7"/>
      <c r="O535" s="8"/>
      <c r="P535" s="3"/>
      <c r="Q535" s="2" t="s">
        <v>512</v>
      </c>
      <c r="R535" s="3"/>
    </row>
    <row r="536" spans="1:18">
      <c r="A536" s="14"/>
      <c r="B536" s="9"/>
      <c r="C536" s="10" t="str">
        <f t="shared" si="98"/>
        <v/>
      </c>
      <c r="D536" s="9"/>
      <c r="E536" s="9" t="str">
        <f t="shared" si="99"/>
        <v>KRYSTAL YANG</v>
      </c>
      <c r="F536" s="9"/>
      <c r="G536" s="3"/>
      <c r="H536" s="3"/>
      <c r="I536" s="8"/>
      <c r="J536" s="3"/>
      <c r="K536" s="2" t="s">
        <v>513</v>
      </c>
      <c r="L536" s="7"/>
      <c r="M536" s="7"/>
      <c r="N536" s="7"/>
      <c r="O536" s="8"/>
      <c r="P536" s="3"/>
      <c r="Q536" s="2" t="s">
        <v>513</v>
      </c>
      <c r="R536" s="3"/>
    </row>
    <row r="537" spans="1:18">
      <c r="A537" s="14"/>
      <c r="B537" s="9"/>
      <c r="C537" s="10" t="str">
        <f t="shared" si="98"/>
        <v/>
      </c>
      <c r="D537" s="9"/>
      <c r="E537" s="9" t="str">
        <f t="shared" si="99"/>
        <v>BETTY MEI</v>
      </c>
      <c r="F537" s="9"/>
      <c r="G537" s="3"/>
      <c r="H537" s="3"/>
      <c r="I537" s="8"/>
      <c r="J537" s="3"/>
      <c r="K537" s="2" t="s">
        <v>514</v>
      </c>
      <c r="L537" s="7"/>
      <c r="M537" s="7"/>
      <c r="N537" s="7"/>
      <c r="O537" s="8"/>
      <c r="P537" s="3"/>
      <c r="Q537" s="2" t="s">
        <v>514</v>
      </c>
      <c r="R537" s="3"/>
    </row>
    <row r="538" spans="1:18">
      <c r="A538" s="14"/>
      <c r="B538" s="9"/>
      <c r="C538" s="10" t="str">
        <f t="shared" si="98"/>
        <v/>
      </c>
      <c r="D538" s="9"/>
      <c r="E538" s="9" t="str">
        <f t="shared" si="99"/>
        <v>RHEA LIU</v>
      </c>
      <c r="F538" s="9"/>
      <c r="G538" s="3"/>
      <c r="H538" s="3"/>
      <c r="I538" s="8"/>
      <c r="J538" s="3"/>
      <c r="K538" s="2" t="s">
        <v>515</v>
      </c>
      <c r="L538" s="7"/>
      <c r="M538" s="7"/>
      <c r="N538" s="7"/>
      <c r="O538" s="8"/>
      <c r="P538" s="3"/>
      <c r="Q538" s="2" t="s">
        <v>515</v>
      </c>
      <c r="R538" s="3"/>
    </row>
    <row r="539" spans="1:18">
      <c r="A539" s="14"/>
      <c r="B539" s="9"/>
      <c r="C539" s="10" t="str">
        <f t="shared" si="98"/>
        <v/>
      </c>
      <c r="D539" s="9"/>
      <c r="E539" s="9" t="str">
        <f t="shared" si="99"/>
        <v>ZHENGDAO CHEN</v>
      </c>
      <c r="F539" s="9"/>
      <c r="G539" s="3"/>
      <c r="H539" s="3"/>
      <c r="I539" s="8"/>
      <c r="J539" s="3"/>
      <c r="K539" s="2" t="s">
        <v>516</v>
      </c>
      <c r="L539" s="3"/>
      <c r="M539" s="8"/>
      <c r="N539" s="8"/>
      <c r="O539" s="8"/>
      <c r="P539" s="3"/>
      <c r="Q539" s="2" t="s">
        <v>516</v>
      </c>
      <c r="R539" s="3"/>
    </row>
    <row r="540" spans="1:18">
      <c r="A540" s="14"/>
      <c r="B540" s="9"/>
      <c r="C540" s="10" t="str">
        <f t="shared" si="98"/>
        <v>BUSINESS EDITOR</v>
      </c>
      <c r="D540" s="9"/>
      <c r="E540" s="9" t="str">
        <f t="shared" si="99"/>
        <v>LAINEY LIU</v>
      </c>
      <c r="F540" s="9"/>
      <c r="G540" s="3"/>
      <c r="H540" s="3"/>
      <c r="I540" s="36" t="s">
        <v>517</v>
      </c>
      <c r="J540" s="3"/>
      <c r="K540" s="2" t="s">
        <v>518</v>
      </c>
      <c r="L540" s="3"/>
      <c r="M540" s="8"/>
      <c r="N540" s="8"/>
      <c r="O540" s="36" t="s">
        <v>517</v>
      </c>
      <c r="P540" s="3"/>
      <c r="Q540" s="2" t="s">
        <v>518</v>
      </c>
      <c r="R540" s="3"/>
    </row>
    <row r="541" spans="1:18">
      <c r="A541" s="14"/>
      <c r="B541" s="9"/>
      <c r="C541" s="10" t="str">
        <f t="shared" si="98"/>
        <v/>
      </c>
      <c r="D541" s="9"/>
      <c r="E541" s="9" t="str">
        <f t="shared" si="99"/>
        <v>DEE ZHANG</v>
      </c>
      <c r="F541" s="9"/>
      <c r="G541" s="3"/>
      <c r="H541" s="3"/>
      <c r="I541" s="8"/>
      <c r="J541" s="3"/>
      <c r="K541" s="2" t="s">
        <v>519</v>
      </c>
      <c r="L541" s="3"/>
      <c r="M541" s="8"/>
      <c r="N541" s="8"/>
      <c r="O541" s="8"/>
      <c r="P541" s="3"/>
      <c r="Q541" s="2" t="s">
        <v>519</v>
      </c>
      <c r="R541" s="3"/>
    </row>
    <row r="542" spans="1:18">
      <c r="A542" s="14"/>
      <c r="B542" s="9"/>
      <c r="C542" s="10" t="str">
        <f t="shared" si="98"/>
        <v>LEGAL</v>
      </c>
      <c r="D542" s="9"/>
      <c r="E542" s="9" t="str">
        <f t="shared" si="99"/>
        <v>KAN ZHANG</v>
      </c>
      <c r="F542" s="9"/>
      <c r="G542" s="3"/>
      <c r="H542" s="3"/>
      <c r="I542" s="36" t="s">
        <v>520</v>
      </c>
      <c r="J542" s="3"/>
      <c r="K542" s="2" t="s">
        <v>521</v>
      </c>
      <c r="L542" s="3"/>
      <c r="M542" s="8"/>
      <c r="N542" s="8"/>
      <c r="O542" s="36" t="s">
        <v>520</v>
      </c>
      <c r="P542" s="3"/>
      <c r="Q542" s="2" t="s">
        <v>521</v>
      </c>
      <c r="R542" s="3"/>
    </row>
    <row r="543" spans="1:18">
      <c r="A543" s="14"/>
      <c r="B543" s="9"/>
      <c r="C543" s="10" t="str">
        <f t="shared" si="98"/>
        <v>FINANCE &amp; TAX</v>
      </c>
      <c r="D543" s="9"/>
      <c r="E543" s="9" t="str">
        <f t="shared" si="99"/>
        <v xml:space="preserve">XIAOCHEN ZHANG </v>
      </c>
      <c r="F543" s="9"/>
      <c r="G543" s="3"/>
      <c r="H543" s="3"/>
      <c r="I543" s="36" t="s">
        <v>522</v>
      </c>
      <c r="J543" s="3"/>
      <c r="K543" s="2" t="s">
        <v>523</v>
      </c>
      <c r="L543" s="3"/>
      <c r="M543" s="8"/>
      <c r="N543" s="8"/>
      <c r="O543" s="36" t="s">
        <v>522</v>
      </c>
      <c r="P543" s="3"/>
      <c r="Q543" s="2" t="s">
        <v>523</v>
      </c>
      <c r="R543" s="3"/>
    </row>
    <row r="544" spans="1:18">
      <c r="A544" s="14"/>
      <c r="B544" s="9"/>
      <c r="C544" s="10" t="str">
        <f t="shared" si="98"/>
        <v/>
      </c>
      <c r="D544" s="9"/>
      <c r="E544" s="9" t="str">
        <f t="shared" si="99"/>
        <v>YING CHEN</v>
      </c>
      <c r="F544" s="9"/>
      <c r="G544" s="3"/>
      <c r="H544" s="3"/>
      <c r="I544" s="2"/>
      <c r="J544" s="3"/>
      <c r="K544" s="2" t="s">
        <v>524</v>
      </c>
      <c r="L544" s="3"/>
      <c r="M544" s="8"/>
      <c r="N544" s="8"/>
      <c r="O544" s="2"/>
      <c r="P544" s="3"/>
      <c r="Q544" s="2" t="s">
        <v>524</v>
      </c>
      <c r="R544" s="3"/>
    </row>
    <row r="545" spans="1:18">
      <c r="A545" s="14"/>
      <c r="B545" s="9"/>
      <c r="C545" s="10" t="str">
        <f t="shared" si="98"/>
        <v>MARKETING</v>
      </c>
      <c r="D545" s="9"/>
      <c r="E545" s="9" t="str">
        <f t="shared" si="99"/>
        <v>TRACY CUI</v>
      </c>
      <c r="F545" s="9"/>
      <c r="G545" s="3"/>
      <c r="H545" s="3"/>
      <c r="I545" s="36" t="s">
        <v>525</v>
      </c>
      <c r="J545" s="3"/>
      <c r="K545" s="2" t="s">
        <v>526</v>
      </c>
      <c r="L545" s="3"/>
      <c r="M545" s="8"/>
      <c r="N545" s="8"/>
      <c r="O545" s="36" t="s">
        <v>525</v>
      </c>
      <c r="P545" s="3"/>
      <c r="Q545" s="2" t="s">
        <v>526</v>
      </c>
      <c r="R545" s="3"/>
    </row>
    <row r="546" spans="1:18">
      <c r="A546" s="14"/>
      <c r="B546" s="9"/>
      <c r="C546" s="10" t="str">
        <f t="shared" si="98"/>
        <v/>
      </c>
      <c r="D546" s="9"/>
      <c r="E546" s="9" t="str">
        <f t="shared" si="99"/>
        <v>MENGJIE HE</v>
      </c>
      <c r="F546" s="9"/>
      <c r="G546" s="3"/>
      <c r="H546" s="3"/>
      <c r="I546" s="8"/>
      <c r="J546" s="3"/>
      <c r="K546" s="2" t="s">
        <v>527</v>
      </c>
      <c r="L546" s="3"/>
      <c r="M546" s="8"/>
      <c r="N546" s="8"/>
      <c r="O546" s="8"/>
      <c r="P546" s="3"/>
      <c r="Q546" s="2" t="s">
        <v>527</v>
      </c>
      <c r="R546" s="3"/>
    </row>
    <row r="547" spans="1:18">
      <c r="A547" s="14"/>
      <c r="B547" s="9"/>
      <c r="C547" s="10" t="str">
        <f t="shared" si="98"/>
        <v/>
      </c>
      <c r="D547" s="9"/>
      <c r="E547" s="9" t="str">
        <f t="shared" si="99"/>
        <v>IRIS ZHANG</v>
      </c>
      <c r="F547" s="9"/>
      <c r="G547" s="3"/>
      <c r="H547" s="3"/>
      <c r="I547" s="8"/>
      <c r="J547" s="3"/>
      <c r="K547" s="2" t="s">
        <v>528</v>
      </c>
      <c r="L547" s="3"/>
      <c r="M547" s="8"/>
      <c r="N547" s="8"/>
      <c r="O547" s="8"/>
      <c r="P547" s="3"/>
      <c r="Q547" s="2" t="s">
        <v>528</v>
      </c>
      <c r="R547" s="3"/>
    </row>
    <row r="548" spans="1:18">
      <c r="A548" s="14"/>
      <c r="B548" s="9"/>
      <c r="C548" s="10"/>
      <c r="D548" s="9"/>
      <c r="E548" s="9" t="str">
        <f t="shared" si="99"/>
        <v>AARON YU</v>
      </c>
      <c r="F548" s="9"/>
      <c r="G548" s="3"/>
      <c r="H548" s="3"/>
      <c r="I548" s="8"/>
      <c r="J548" s="3"/>
      <c r="K548" s="2" t="s">
        <v>529</v>
      </c>
      <c r="L548" s="3"/>
      <c r="M548" s="8"/>
      <c r="N548" s="8"/>
      <c r="O548" s="8"/>
      <c r="P548" s="3"/>
      <c r="Q548" s="2" t="s">
        <v>529</v>
      </c>
      <c r="R548" s="3"/>
    </row>
    <row r="549" spans="1:18">
      <c r="A549" s="14"/>
      <c r="B549" s="9"/>
      <c r="C549" s="9"/>
      <c r="D549" s="9"/>
      <c r="E549" s="9" t="str">
        <f t="shared" si="99"/>
        <v/>
      </c>
      <c r="F549" s="9"/>
      <c r="G549" s="3"/>
      <c r="H549" s="3"/>
      <c r="I549" s="8"/>
      <c r="J549" s="3"/>
      <c r="K549" s="2"/>
      <c r="L549" s="3"/>
      <c r="M549" s="8"/>
      <c r="N549" s="8"/>
      <c r="O549" s="8"/>
      <c r="P549" s="3"/>
      <c r="Q549" s="3"/>
      <c r="R549" s="3"/>
    </row>
    <row r="550" spans="1:18">
      <c r="A550" s="14"/>
      <c r="B550" s="11"/>
      <c r="C550" s="12"/>
      <c r="D550" s="11"/>
      <c r="E550" s="11"/>
      <c r="F550" s="11"/>
      <c r="G550" s="3"/>
      <c r="H550" s="3"/>
      <c r="I550" s="8"/>
      <c r="J550" s="3"/>
      <c r="K550" s="13"/>
      <c r="L550" s="3"/>
      <c r="M550" s="8"/>
      <c r="N550" s="8"/>
      <c r="O550" s="8"/>
      <c r="P550" s="3"/>
      <c r="Q550" s="3"/>
      <c r="R550" s="3"/>
    </row>
    <row r="551" spans="1:18">
      <c r="A551" s="14"/>
      <c r="B551" s="61"/>
      <c r="C551" s="61"/>
      <c r="D551" s="61"/>
      <c r="E551" s="61"/>
      <c r="F551" s="61"/>
      <c r="G551" s="3"/>
      <c r="H551" s="7"/>
      <c r="I551" s="7"/>
      <c r="J551" s="7"/>
      <c r="K551" s="7"/>
      <c r="L551" s="7"/>
      <c r="M551" s="8"/>
      <c r="N551" s="8"/>
      <c r="O551" s="8"/>
      <c r="P551" s="3"/>
      <c r="Q551" s="3"/>
      <c r="R551" s="3"/>
    </row>
    <row r="552" spans="1:18">
      <c r="A552" s="14"/>
      <c r="B552" s="143" t="str">
        <f t="shared" ref="B552:B555" si="100">UPPER(H552)</f>
        <v>PRODUCTION SERVICES PROVIDED BY</v>
      </c>
      <c r="C552" s="141"/>
      <c r="D552" s="141"/>
      <c r="E552" s="141"/>
      <c r="F552" s="141"/>
      <c r="G552" s="3"/>
      <c r="H552" s="145" t="s">
        <v>530</v>
      </c>
      <c r="I552" s="141"/>
      <c r="J552" s="141"/>
      <c r="K552" s="141"/>
      <c r="L552" s="141"/>
      <c r="M552" s="8"/>
      <c r="N552" s="145" t="s">
        <v>940</v>
      </c>
      <c r="O552" s="141"/>
      <c r="P552" s="141"/>
      <c r="Q552" s="141"/>
      <c r="R552" s="141"/>
    </row>
    <row r="553" spans="1:18">
      <c r="A553" s="14"/>
      <c r="B553" s="146" t="str">
        <f t="shared" si="100"/>
        <v>THE MONK STUDIOS</v>
      </c>
      <c r="C553" s="141"/>
      <c r="D553" s="141"/>
      <c r="E553" s="141"/>
      <c r="F553" s="141"/>
      <c r="G553" s="8"/>
      <c r="H553" s="149" t="s">
        <v>202</v>
      </c>
      <c r="I553" s="141"/>
      <c r="J553" s="141"/>
      <c r="K553" s="141"/>
      <c r="L553" s="141"/>
      <c r="M553" s="8"/>
      <c r="N553" s="149" t="s">
        <v>202</v>
      </c>
      <c r="O553" s="141"/>
      <c r="P553" s="141"/>
      <c r="Q553" s="141"/>
      <c r="R553" s="141"/>
    </row>
    <row r="554" spans="1:18">
      <c r="A554" s="14"/>
      <c r="B554" s="9" t="str">
        <f t="shared" si="100"/>
        <v/>
      </c>
      <c r="C554" s="10" t="str">
        <f>UPPER(I554)</f>
        <v/>
      </c>
      <c r="D554" s="9"/>
      <c r="E554" s="9" t="str">
        <f>UPPER(K554)</f>
        <v/>
      </c>
      <c r="F554" s="9"/>
      <c r="G554" s="3"/>
      <c r="H554" s="76"/>
      <c r="I554" s="8"/>
      <c r="J554" s="3"/>
      <c r="K554" s="13"/>
      <c r="L554" s="3"/>
      <c r="M554" s="8"/>
      <c r="N554" s="76"/>
      <c r="O554" s="8"/>
      <c r="P554" s="3"/>
      <c r="Q554" s="13"/>
      <c r="R554" s="3"/>
    </row>
    <row r="555" spans="1:18">
      <c r="A555" s="14"/>
      <c r="B555" s="146" t="str">
        <f t="shared" si="100"/>
        <v>MANAGEMENT</v>
      </c>
      <c r="C555" s="141"/>
      <c r="D555" s="141"/>
      <c r="E555" s="141"/>
      <c r="F555" s="141"/>
      <c r="G555" s="3"/>
      <c r="H555" s="151" t="s">
        <v>392</v>
      </c>
      <c r="I555" s="141"/>
      <c r="J555" s="141"/>
      <c r="K555" s="141"/>
      <c r="L555" s="141"/>
      <c r="M555" s="8"/>
      <c r="N555" s="151" t="s">
        <v>392</v>
      </c>
      <c r="O555" s="141"/>
      <c r="P555" s="141"/>
      <c r="Q555" s="141"/>
      <c r="R555" s="141"/>
    </row>
    <row r="556" spans="1:18">
      <c r="A556" s="14"/>
      <c r="B556" s="9"/>
      <c r="C556" s="10" t="str">
        <f t="shared" ref="C556:C577" si="101">UPPER(I556)</f>
        <v>PRODUCTION EXECUTIVE</v>
      </c>
      <c r="D556" s="9"/>
      <c r="E556" s="9" t="str">
        <f t="shared" ref="E556:E577" si="102">UPPER(K556)</f>
        <v>JUCK SOMSAMAN</v>
      </c>
      <c r="F556" s="9"/>
      <c r="G556" s="3"/>
      <c r="H556" s="13"/>
      <c r="I556" s="36" t="s">
        <v>531</v>
      </c>
      <c r="J556" s="3"/>
      <c r="K556" s="31" t="s">
        <v>532</v>
      </c>
      <c r="L556" s="3"/>
      <c r="M556" s="63"/>
      <c r="N556" s="13"/>
      <c r="O556" s="36" t="s">
        <v>531</v>
      </c>
      <c r="P556" s="3"/>
      <c r="Q556" s="31" t="s">
        <v>532</v>
      </c>
      <c r="R556" s="3"/>
    </row>
    <row r="557" spans="1:18">
      <c r="A557" s="14"/>
      <c r="B557" s="9"/>
      <c r="C557" s="10" t="str">
        <f t="shared" si="101"/>
        <v/>
      </c>
      <c r="D557" s="9"/>
      <c r="E557" s="9" t="str">
        <f t="shared" si="102"/>
        <v/>
      </c>
      <c r="F557" s="9"/>
      <c r="G557" s="3"/>
      <c r="H557" s="13"/>
      <c r="I557" s="36"/>
      <c r="J557" s="3"/>
      <c r="K557" s="31"/>
      <c r="L557" s="3"/>
      <c r="M557" s="8"/>
      <c r="N557" s="13"/>
      <c r="O557" s="36"/>
      <c r="P557" s="3"/>
      <c r="Q557" s="31"/>
      <c r="R557" s="3"/>
    </row>
    <row r="558" spans="1:18">
      <c r="A558" s="14"/>
      <c r="B558" s="9"/>
      <c r="C558" s="10" t="str">
        <f t="shared" si="101"/>
        <v>PRODUCTION MANAGER</v>
      </c>
      <c r="D558" s="9"/>
      <c r="E558" s="9" t="str">
        <f t="shared" si="102"/>
        <v>NAPASSARA CHAISUKDAMRONG</v>
      </c>
      <c r="F558" s="9"/>
      <c r="G558" s="3"/>
      <c r="H558" s="13"/>
      <c r="I558" s="36" t="s">
        <v>152</v>
      </c>
      <c r="J558" s="3"/>
      <c r="K558" s="31" t="s">
        <v>533</v>
      </c>
      <c r="L558" s="3"/>
      <c r="M558" s="8"/>
      <c r="N558" s="13"/>
      <c r="O558" s="36" t="s">
        <v>152</v>
      </c>
      <c r="P558" s="3"/>
      <c r="Q558" s="31" t="s">
        <v>533</v>
      </c>
      <c r="R558" s="3"/>
    </row>
    <row r="559" spans="1:18">
      <c r="A559" s="14"/>
      <c r="B559" s="9"/>
      <c r="C559" s="10" t="str">
        <f t="shared" si="101"/>
        <v/>
      </c>
      <c r="D559" s="9"/>
      <c r="E559" s="9" t="str">
        <f t="shared" si="102"/>
        <v>RUJIRA POKSOMBOONKIJ</v>
      </c>
      <c r="F559" s="9"/>
      <c r="G559" s="3"/>
      <c r="H559" s="13"/>
      <c r="I559" s="36"/>
      <c r="J559" s="3"/>
      <c r="K559" s="31" t="s">
        <v>534</v>
      </c>
      <c r="L559" s="3"/>
      <c r="M559" s="8"/>
      <c r="N559" s="13"/>
      <c r="O559" s="36"/>
      <c r="P559" s="3"/>
      <c r="Q559" s="31" t="s">
        <v>534</v>
      </c>
      <c r="R559" s="3"/>
    </row>
    <row r="560" spans="1:18">
      <c r="A560" s="14"/>
      <c r="B560" s="9"/>
      <c r="C560" s="10" t="str">
        <f t="shared" si="101"/>
        <v/>
      </c>
      <c r="D560" s="9"/>
      <c r="E560" s="9" t="str">
        <f t="shared" si="102"/>
        <v/>
      </c>
      <c r="F560" s="9"/>
      <c r="G560" s="3"/>
      <c r="H560" s="13"/>
      <c r="I560" s="36"/>
      <c r="J560" s="3"/>
      <c r="K560" s="65"/>
      <c r="L560" s="3"/>
      <c r="M560" s="8"/>
      <c r="N560" s="13"/>
      <c r="O560" s="36"/>
      <c r="P560" s="3"/>
      <c r="Q560" s="31"/>
      <c r="R560" s="3"/>
    </row>
    <row r="561" spans="1:18">
      <c r="A561" s="14"/>
      <c r="B561" s="9"/>
      <c r="C561" s="10" t="str">
        <f t="shared" si="101"/>
        <v>CG SUPEVISOR</v>
      </c>
      <c r="D561" s="9"/>
      <c r="E561" s="9" t="str">
        <f t="shared" si="102"/>
        <v>KATHA NA BADALUNG</v>
      </c>
      <c r="F561" s="9"/>
      <c r="G561" s="3"/>
      <c r="H561" s="13"/>
      <c r="I561" s="36" t="s">
        <v>535</v>
      </c>
      <c r="J561" s="3"/>
      <c r="K561" s="65" t="s">
        <v>536</v>
      </c>
      <c r="L561" s="3"/>
      <c r="M561" s="8"/>
      <c r="N561" s="13"/>
      <c r="O561" s="36" t="s">
        <v>535</v>
      </c>
      <c r="P561" s="3"/>
      <c r="Q561" s="31" t="s">
        <v>536</v>
      </c>
      <c r="R561" s="3"/>
    </row>
    <row r="562" spans="1:18">
      <c r="A562" s="14"/>
      <c r="B562" s="9"/>
      <c r="C562" s="10" t="str">
        <f t="shared" si="101"/>
        <v/>
      </c>
      <c r="D562" s="9"/>
      <c r="E562" s="9" t="str">
        <f t="shared" si="102"/>
        <v/>
      </c>
      <c r="F562" s="9"/>
      <c r="G562" s="3"/>
      <c r="H562" s="13"/>
      <c r="I562" s="36"/>
      <c r="J562" s="3"/>
      <c r="K562" s="31"/>
      <c r="L562" s="3"/>
      <c r="M562" s="8"/>
      <c r="N562" s="13"/>
      <c r="O562" s="36"/>
      <c r="P562" s="3"/>
      <c r="Q562" s="31"/>
      <c r="R562" s="3"/>
    </row>
    <row r="563" spans="1:18">
      <c r="A563" s="14"/>
      <c r="B563" s="9"/>
      <c r="C563" s="10" t="str">
        <f t="shared" si="101"/>
        <v>PRODUCER</v>
      </c>
      <c r="D563" s="9"/>
      <c r="E563" s="9" t="str">
        <f t="shared" si="102"/>
        <v>BUDSARIN PANOMMA</v>
      </c>
      <c r="F563" s="9"/>
      <c r="G563" s="3"/>
      <c r="H563" s="13"/>
      <c r="I563" s="36" t="s">
        <v>504</v>
      </c>
      <c r="J563" s="3"/>
      <c r="K563" s="31" t="s">
        <v>537</v>
      </c>
      <c r="L563" s="3"/>
      <c r="M563" s="8"/>
      <c r="N563" s="13"/>
      <c r="O563" s="36" t="s">
        <v>504</v>
      </c>
      <c r="P563" s="3"/>
      <c r="Q563" s="31" t="s">
        <v>537</v>
      </c>
      <c r="R563" s="3"/>
    </row>
    <row r="564" spans="1:18">
      <c r="A564" s="14"/>
      <c r="B564" s="9"/>
      <c r="C564" s="10" t="str">
        <f t="shared" si="101"/>
        <v/>
      </c>
      <c r="D564" s="9"/>
      <c r="E564" s="9" t="str">
        <f t="shared" si="102"/>
        <v/>
      </c>
      <c r="F564" s="9"/>
      <c r="G564" s="3"/>
      <c r="H564" s="13"/>
      <c r="I564" s="36"/>
      <c r="J564" s="3"/>
      <c r="K564" s="65"/>
      <c r="L564" s="3"/>
      <c r="M564" s="63"/>
      <c r="N564" s="13"/>
      <c r="O564" s="36"/>
      <c r="P564" s="3"/>
      <c r="Q564" s="31"/>
      <c r="R564" s="3"/>
    </row>
    <row r="565" spans="1:18">
      <c r="A565" s="14"/>
      <c r="B565" s="9"/>
      <c r="C565" s="10" t="str">
        <f t="shared" si="101"/>
        <v>ASSET MANAGER</v>
      </c>
      <c r="D565" s="9"/>
      <c r="E565" s="9" t="str">
        <f t="shared" si="102"/>
        <v>PALAPAS NIMAWAN</v>
      </c>
      <c r="F565" s="9"/>
      <c r="G565" s="3"/>
      <c r="H565" s="13"/>
      <c r="I565" s="36" t="s">
        <v>498</v>
      </c>
      <c r="J565" s="3"/>
      <c r="K565" s="65" t="s">
        <v>538</v>
      </c>
      <c r="L565" s="3"/>
      <c r="M565" s="63"/>
      <c r="N565" s="13"/>
      <c r="O565" s="36" t="s">
        <v>498</v>
      </c>
      <c r="P565" s="3"/>
      <c r="Q565" s="31" t="s">
        <v>538</v>
      </c>
      <c r="R565" s="3"/>
    </row>
    <row r="566" spans="1:18">
      <c r="A566" s="14"/>
      <c r="B566" s="9"/>
      <c r="C566" s="10" t="str">
        <f t="shared" si="101"/>
        <v>ANIMATION MANAGER</v>
      </c>
      <c r="D566" s="9"/>
      <c r="E566" s="9" t="str">
        <f t="shared" si="102"/>
        <v>PARINYA PONGSANGIAM</v>
      </c>
      <c r="F566" s="9"/>
      <c r="G566" s="3"/>
      <c r="H566" s="13"/>
      <c r="I566" s="36" t="s">
        <v>539</v>
      </c>
      <c r="J566" s="3"/>
      <c r="K566" s="65" t="s">
        <v>540</v>
      </c>
      <c r="L566" s="3"/>
      <c r="M566" s="8"/>
      <c r="N566" s="13"/>
      <c r="O566" s="36" t="s">
        <v>539</v>
      </c>
      <c r="P566" s="3"/>
      <c r="Q566" s="31" t="s">
        <v>540</v>
      </c>
      <c r="R566" s="3"/>
    </row>
    <row r="567" spans="1:18">
      <c r="A567" s="14"/>
      <c r="B567" s="9"/>
      <c r="C567" s="10" t="str">
        <f t="shared" si="101"/>
        <v>CG MANAGER</v>
      </c>
      <c r="D567" s="9"/>
      <c r="E567" s="9" t="str">
        <f t="shared" si="102"/>
        <v>SASIPORN PANOMMA</v>
      </c>
      <c r="F567" s="9"/>
      <c r="G567" s="3"/>
      <c r="H567" s="13"/>
      <c r="I567" s="36" t="s">
        <v>541</v>
      </c>
      <c r="J567" s="3"/>
      <c r="K567" s="31" t="s">
        <v>542</v>
      </c>
      <c r="L567" s="3"/>
      <c r="M567" s="63"/>
      <c r="N567" s="13"/>
      <c r="O567" s="36" t="s">
        <v>541</v>
      </c>
      <c r="P567" s="3"/>
      <c r="Q567" s="31" t="s">
        <v>542</v>
      </c>
      <c r="R567" s="3"/>
    </row>
    <row r="568" spans="1:18">
      <c r="A568" s="14"/>
      <c r="B568" s="9"/>
      <c r="C568" s="10" t="str">
        <f t="shared" si="101"/>
        <v/>
      </c>
      <c r="D568" s="9"/>
      <c r="E568" s="9" t="str">
        <f t="shared" si="102"/>
        <v/>
      </c>
      <c r="F568" s="9"/>
      <c r="G568" s="3"/>
      <c r="H568" s="13"/>
      <c r="I568" s="36"/>
      <c r="J568" s="3"/>
      <c r="K568" s="31"/>
      <c r="L568" s="3"/>
      <c r="M568" s="8"/>
      <c r="N568" s="13"/>
      <c r="O568" s="36"/>
      <c r="P568" s="3"/>
      <c r="Q568" s="31"/>
      <c r="R568" s="3"/>
    </row>
    <row r="569" spans="1:18">
      <c r="A569" s="14"/>
      <c r="B569" s="9"/>
      <c r="C569" s="10" t="str">
        <f t="shared" si="101"/>
        <v>ASSET COORDINATOR</v>
      </c>
      <c r="D569" s="9"/>
      <c r="E569" s="9" t="str">
        <f t="shared" si="102"/>
        <v>CHUTCHAPHOL KHANTASOPHON</v>
      </c>
      <c r="F569" s="9"/>
      <c r="G569" s="3"/>
      <c r="H569" s="13"/>
      <c r="I569" s="36" t="s">
        <v>543</v>
      </c>
      <c r="J569" s="3"/>
      <c r="K569" s="31" t="s">
        <v>544</v>
      </c>
      <c r="L569" s="3"/>
      <c r="M569" s="8"/>
      <c r="N569" s="13"/>
      <c r="O569" s="36" t="s">
        <v>543</v>
      </c>
      <c r="P569" s="3"/>
      <c r="Q569" s="31" t="s">
        <v>544</v>
      </c>
      <c r="R569" s="3"/>
    </row>
    <row r="570" spans="1:18">
      <c r="A570" s="14"/>
      <c r="B570" s="9"/>
      <c r="C570" s="10" t="str">
        <f t="shared" si="101"/>
        <v/>
      </c>
      <c r="D570" s="9"/>
      <c r="E570" s="9" t="str">
        <f t="shared" si="102"/>
        <v>WARISSARA PETSAKUL</v>
      </c>
      <c r="F570" s="9"/>
      <c r="G570" s="3"/>
      <c r="H570" s="13"/>
      <c r="I570" s="36"/>
      <c r="J570" s="3"/>
      <c r="K570" s="31" t="s">
        <v>545</v>
      </c>
      <c r="L570" s="3"/>
      <c r="M570" s="63"/>
      <c r="N570" s="13"/>
      <c r="O570" s="36"/>
      <c r="P570" s="3"/>
      <c r="Q570" s="31" t="s">
        <v>545</v>
      </c>
      <c r="R570" s="3"/>
    </row>
    <row r="571" spans="1:18">
      <c r="A571" s="14"/>
      <c r="B571" s="9"/>
      <c r="C571" s="10" t="str">
        <f t="shared" si="101"/>
        <v>LAYOUT COORDINATOR</v>
      </c>
      <c r="D571" s="9"/>
      <c r="E571" s="9" t="str">
        <f t="shared" si="102"/>
        <v>PATSAWAN CHUASRITRAKUL</v>
      </c>
      <c r="F571" s="9"/>
      <c r="G571" s="3"/>
      <c r="H571" s="13"/>
      <c r="I571" s="36" t="s">
        <v>546</v>
      </c>
      <c r="J571" s="3"/>
      <c r="K571" s="31" t="s">
        <v>547</v>
      </c>
      <c r="L571" s="3"/>
      <c r="M571" s="8"/>
      <c r="N571" s="13"/>
      <c r="O571" s="36" t="s">
        <v>546</v>
      </c>
      <c r="P571" s="3"/>
      <c r="Q571" s="31" t="s">
        <v>547</v>
      </c>
      <c r="R571" s="3"/>
    </row>
    <row r="572" spans="1:18">
      <c r="A572" s="14"/>
      <c r="B572" s="9"/>
      <c r="C572" s="10" t="str">
        <f t="shared" si="101"/>
        <v>ANIMATION COORDINATOR</v>
      </c>
      <c r="D572" s="9"/>
      <c r="E572" s="9" t="str">
        <f t="shared" si="102"/>
        <v>SAWITA STARPITCHAYANANT</v>
      </c>
      <c r="F572" s="9"/>
      <c r="G572" s="3"/>
      <c r="H572" s="13"/>
      <c r="I572" s="36" t="s">
        <v>548</v>
      </c>
      <c r="J572" s="3"/>
      <c r="K572" s="31" t="s">
        <v>549</v>
      </c>
      <c r="L572" s="3"/>
      <c r="M572" s="8"/>
      <c r="N572" s="13"/>
      <c r="O572" s="36" t="s">
        <v>548</v>
      </c>
      <c r="P572" s="3"/>
      <c r="Q572" s="31" t="s">
        <v>549</v>
      </c>
      <c r="R572" s="3"/>
    </row>
    <row r="573" spans="1:18">
      <c r="A573" s="14"/>
      <c r="B573" s="9"/>
      <c r="C573" s="10" t="str">
        <f t="shared" si="101"/>
        <v/>
      </c>
      <c r="D573" s="9"/>
      <c r="E573" s="9" t="str">
        <f t="shared" si="102"/>
        <v>KUNLAPHAT JEERAMANEEMAI</v>
      </c>
      <c r="F573" s="9"/>
      <c r="G573" s="3"/>
      <c r="H573" s="13"/>
      <c r="I573" s="36"/>
      <c r="J573" s="3"/>
      <c r="K573" s="31" t="s">
        <v>550</v>
      </c>
      <c r="L573" s="3"/>
      <c r="M573" s="8"/>
      <c r="N573" s="13"/>
      <c r="O573" s="36"/>
      <c r="P573" s="3"/>
      <c r="Q573" s="31" t="s">
        <v>550</v>
      </c>
      <c r="R573" s="3"/>
    </row>
    <row r="574" spans="1:18">
      <c r="A574" s="14"/>
      <c r="B574" s="9"/>
      <c r="C574" s="10" t="str">
        <f t="shared" si="101"/>
        <v/>
      </c>
      <c r="D574" s="9"/>
      <c r="E574" s="9" t="str">
        <f t="shared" si="102"/>
        <v>PUNYAWEE TUNGJAISUE</v>
      </c>
      <c r="F574" s="9"/>
      <c r="G574" s="3"/>
      <c r="H574" s="13"/>
      <c r="I574" s="36"/>
      <c r="J574" s="3"/>
      <c r="K574" s="31" t="s">
        <v>551</v>
      </c>
      <c r="L574" s="3"/>
      <c r="M574" s="8"/>
      <c r="N574" s="13"/>
      <c r="O574" s="36"/>
      <c r="P574" s="3"/>
      <c r="Q574" s="31" t="s">
        <v>551</v>
      </c>
      <c r="R574" s="3"/>
    </row>
    <row r="575" spans="1:18">
      <c r="A575" s="14"/>
      <c r="B575" s="9"/>
      <c r="C575" s="10" t="str">
        <f t="shared" si="101"/>
        <v>FX COORDINATOR</v>
      </c>
      <c r="D575" s="9"/>
      <c r="E575" s="9" t="str">
        <f t="shared" si="102"/>
        <v>NAVIPAS SUTTICHONSAKUL</v>
      </c>
      <c r="F575" s="9"/>
      <c r="G575" s="3"/>
      <c r="H575" s="13"/>
      <c r="I575" s="36" t="s">
        <v>552</v>
      </c>
      <c r="J575" s="3"/>
      <c r="K575" s="31" t="s">
        <v>553</v>
      </c>
      <c r="L575" s="3"/>
      <c r="M575" s="8"/>
      <c r="N575" s="13"/>
      <c r="O575" s="36" t="s">
        <v>552</v>
      </c>
      <c r="P575" s="3"/>
      <c r="Q575" s="31" t="s">
        <v>553</v>
      </c>
      <c r="R575" s="3"/>
    </row>
    <row r="576" spans="1:18">
      <c r="A576" s="14"/>
      <c r="B576" s="9"/>
      <c r="C576" s="10" t="str">
        <f t="shared" si="101"/>
        <v>LRC COORDINATOR</v>
      </c>
      <c r="D576" s="9"/>
      <c r="E576" s="9" t="str">
        <f t="shared" si="102"/>
        <v>SUNIDA DANGTHONGKUM</v>
      </c>
      <c r="F576" s="9"/>
      <c r="G576" s="3"/>
      <c r="H576" s="13"/>
      <c r="I576" s="36" t="s">
        <v>554</v>
      </c>
      <c r="J576" s="3"/>
      <c r="K576" s="31" t="s">
        <v>555</v>
      </c>
      <c r="L576" s="3"/>
      <c r="M576" s="8"/>
      <c r="N576" s="13"/>
      <c r="O576" s="36" t="s">
        <v>554</v>
      </c>
      <c r="P576" s="3"/>
      <c r="Q576" s="31" t="s">
        <v>555</v>
      </c>
      <c r="R576" s="3"/>
    </row>
    <row r="577" spans="1:18">
      <c r="A577" s="14"/>
      <c r="B577" s="9"/>
      <c r="C577" s="10" t="str">
        <f t="shared" si="101"/>
        <v>PIPELINE&amp;TD COORDINATOR</v>
      </c>
      <c r="D577" s="9"/>
      <c r="E577" s="9" t="str">
        <f t="shared" si="102"/>
        <v>DANUPHOL JONGARIYAKUL</v>
      </c>
      <c r="F577" s="9"/>
      <c r="G577" s="3"/>
      <c r="H577" s="13"/>
      <c r="I577" s="36" t="s">
        <v>556</v>
      </c>
      <c r="J577" s="3"/>
      <c r="K577" s="31" t="s">
        <v>557</v>
      </c>
      <c r="L577" s="3"/>
      <c r="M577" s="8"/>
      <c r="N577" s="13"/>
      <c r="O577" s="36" t="s">
        <v>556</v>
      </c>
      <c r="P577" s="3"/>
      <c r="Q577" s="31" t="s">
        <v>557</v>
      </c>
      <c r="R577" s="3"/>
    </row>
    <row r="578" spans="1:18">
      <c r="A578" s="14"/>
      <c r="B578" s="9"/>
      <c r="C578" s="10"/>
      <c r="D578" s="9"/>
      <c r="E578" s="9"/>
      <c r="F578" s="9"/>
      <c r="G578" s="3"/>
      <c r="H578" s="13"/>
      <c r="I578" s="36"/>
      <c r="J578" s="3"/>
      <c r="K578" s="31"/>
      <c r="L578" s="3"/>
      <c r="M578" s="8"/>
      <c r="N578" s="13"/>
      <c r="O578" s="8"/>
      <c r="P578" s="3"/>
      <c r="Q578" s="13"/>
      <c r="R578" s="3"/>
    </row>
    <row r="579" spans="1:18">
      <c r="A579" s="14"/>
      <c r="B579" s="11"/>
      <c r="C579" s="12" t="str">
        <f>UPPER(I579)</f>
        <v/>
      </c>
      <c r="D579" s="11"/>
      <c r="E579" s="11" t="str">
        <f>UPPER(K579)</f>
        <v/>
      </c>
      <c r="F579" s="11"/>
      <c r="G579" s="3"/>
      <c r="H579" s="13"/>
      <c r="I579" s="8"/>
      <c r="J579" s="3"/>
      <c r="K579" s="13"/>
      <c r="L579" s="3"/>
      <c r="M579" s="8"/>
      <c r="N579" s="8"/>
      <c r="O579" s="8"/>
      <c r="P579" s="3"/>
      <c r="Q579" s="3"/>
      <c r="R579" s="3"/>
    </row>
    <row r="580" spans="1:18">
      <c r="A580" s="14"/>
      <c r="B580" s="6"/>
      <c r="C580" s="6"/>
      <c r="D580" s="6"/>
      <c r="E580" s="6"/>
      <c r="F580" s="6"/>
      <c r="G580" s="3"/>
      <c r="H580" s="74"/>
      <c r="I580" s="5"/>
      <c r="J580" s="5"/>
      <c r="K580" s="5"/>
      <c r="L580" s="74"/>
      <c r="M580" s="8"/>
      <c r="N580" s="8"/>
      <c r="O580" s="8"/>
      <c r="P580" s="3"/>
      <c r="Q580" s="3"/>
      <c r="R580" s="3"/>
    </row>
    <row r="581" spans="1:18">
      <c r="A581" s="14"/>
      <c r="B581" s="143" t="str">
        <f t="shared" ref="B581:B582" si="103">UPPER(H581)</f>
        <v>PRODUCTION SERVICES PROVIDED BY</v>
      </c>
      <c r="C581" s="141"/>
      <c r="D581" s="141"/>
      <c r="E581" s="141"/>
      <c r="F581" s="141"/>
      <c r="G581" s="3"/>
      <c r="H581" s="145" t="s">
        <v>530</v>
      </c>
      <c r="I581" s="141"/>
      <c r="J581" s="141"/>
      <c r="K581" s="141"/>
      <c r="L581" s="141"/>
      <c r="M581" s="8"/>
      <c r="N581" s="145" t="s">
        <v>940</v>
      </c>
      <c r="O581" s="141"/>
      <c r="P581" s="141"/>
      <c r="Q581" s="141"/>
      <c r="R581" s="141"/>
    </row>
    <row r="582" spans="1:18">
      <c r="A582" s="14"/>
      <c r="B582" s="146" t="str">
        <f t="shared" si="103"/>
        <v>THE MONK STUDIOS</v>
      </c>
      <c r="C582" s="141"/>
      <c r="D582" s="141"/>
      <c r="E582" s="141"/>
      <c r="F582" s="141"/>
      <c r="G582" s="8"/>
      <c r="H582" s="149" t="s">
        <v>202</v>
      </c>
      <c r="I582" s="141"/>
      <c r="J582" s="141"/>
      <c r="K582" s="141"/>
      <c r="L582" s="141"/>
      <c r="M582" s="8"/>
      <c r="N582" s="149" t="s">
        <v>202</v>
      </c>
      <c r="O582" s="141"/>
      <c r="P582" s="141"/>
      <c r="Q582" s="141"/>
      <c r="R582" s="141"/>
    </row>
    <row r="583" spans="1:18">
      <c r="A583" s="14"/>
      <c r="B583" s="6"/>
      <c r="C583" s="6"/>
      <c r="D583" s="6"/>
      <c r="E583" s="6"/>
      <c r="F583" s="6"/>
      <c r="G583" s="3"/>
      <c r="H583" s="74"/>
      <c r="I583" s="5"/>
      <c r="J583" s="5"/>
      <c r="K583" s="5"/>
      <c r="L583" s="74"/>
      <c r="M583" s="8"/>
      <c r="N583" s="74"/>
      <c r="O583" s="5"/>
      <c r="P583" s="5"/>
      <c r="Q583" s="5"/>
      <c r="R583" s="74"/>
    </row>
    <row r="584" spans="1:18">
      <c r="A584" s="14"/>
      <c r="B584" s="146" t="str">
        <f>UPPER(H584)</f>
        <v>PIPELINE &amp; TD</v>
      </c>
      <c r="C584" s="141"/>
      <c r="D584" s="141"/>
      <c r="E584" s="141"/>
      <c r="F584" s="141"/>
      <c r="G584" s="3"/>
      <c r="H584" s="151" t="s">
        <v>558</v>
      </c>
      <c r="I584" s="141"/>
      <c r="J584" s="141"/>
      <c r="K584" s="141"/>
      <c r="L584" s="141"/>
      <c r="M584" s="8"/>
      <c r="N584" s="151" t="s">
        <v>558</v>
      </c>
      <c r="O584" s="141"/>
      <c r="P584" s="141"/>
      <c r="Q584" s="141"/>
      <c r="R584" s="141"/>
    </row>
    <row r="585" spans="1:18">
      <c r="A585" s="14"/>
      <c r="B585" s="9"/>
      <c r="C585" s="10" t="str">
        <f>UPPER(I585)</f>
        <v>HEAD OF PIPELINE</v>
      </c>
      <c r="D585" s="9"/>
      <c r="E585" s="9" t="str">
        <f t="shared" ref="E585:E603" si="104">UPPER(K585)</f>
        <v>MICHAEL ISARASAK KHANTHAROD</v>
      </c>
      <c r="F585" s="9"/>
      <c r="G585" s="3"/>
      <c r="H585" s="13"/>
      <c r="I585" s="36" t="s">
        <v>561</v>
      </c>
      <c r="J585" s="3"/>
      <c r="K585" s="31" t="s">
        <v>562</v>
      </c>
      <c r="L585" s="3"/>
      <c r="M585" s="8"/>
      <c r="N585" s="13"/>
      <c r="O585" s="36" t="s">
        <v>561</v>
      </c>
      <c r="P585" s="3"/>
      <c r="Q585" s="31" t="s">
        <v>562</v>
      </c>
      <c r="R585" s="3"/>
    </row>
    <row r="586" spans="1:18">
      <c r="A586" s="14"/>
      <c r="B586" s="9"/>
      <c r="C586" s="10"/>
      <c r="D586" s="9"/>
      <c r="E586" s="9" t="str">
        <f t="shared" si="104"/>
        <v/>
      </c>
      <c r="F586" s="9"/>
      <c r="G586" s="3"/>
      <c r="H586" s="13"/>
      <c r="I586" s="36"/>
      <c r="J586" s="3"/>
      <c r="K586" s="31"/>
      <c r="L586" s="3"/>
      <c r="M586" s="8"/>
      <c r="N586" s="13"/>
      <c r="O586" s="36"/>
      <c r="P586" s="3"/>
      <c r="Q586" s="31"/>
      <c r="R586" s="3"/>
    </row>
    <row r="587" spans="1:18">
      <c r="A587" s="14"/>
      <c r="B587" s="9"/>
      <c r="C587" s="10" t="str">
        <f>UPPER(I587)</f>
        <v>LEAD PIPELINE</v>
      </c>
      <c r="D587" s="9"/>
      <c r="E587" s="9" t="str">
        <f t="shared" si="104"/>
        <v>SARINPORN PINTUSOPON</v>
      </c>
      <c r="F587" s="9"/>
      <c r="G587" s="3"/>
      <c r="H587" s="13"/>
      <c r="I587" s="36" t="s">
        <v>563</v>
      </c>
      <c r="J587" s="3"/>
      <c r="K587" s="31" t="s">
        <v>564</v>
      </c>
      <c r="L587" s="3"/>
      <c r="M587" s="8"/>
      <c r="N587" s="13"/>
      <c r="O587" s="36" t="s">
        <v>563</v>
      </c>
      <c r="P587" s="3"/>
      <c r="Q587" s="31" t="s">
        <v>564</v>
      </c>
      <c r="R587" s="3"/>
    </row>
    <row r="588" spans="1:18">
      <c r="A588" s="14"/>
      <c r="B588" s="9"/>
      <c r="C588" s="10"/>
      <c r="D588" s="9"/>
      <c r="E588" s="9" t="str">
        <f t="shared" si="104"/>
        <v/>
      </c>
      <c r="F588" s="9"/>
      <c r="G588" s="3"/>
      <c r="H588" s="13"/>
      <c r="I588" s="36"/>
      <c r="J588" s="3"/>
      <c r="K588" s="31"/>
      <c r="L588" s="3"/>
      <c r="M588" s="8"/>
      <c r="N588" s="13"/>
      <c r="O588" s="36"/>
      <c r="P588" s="3"/>
      <c r="Q588" s="31"/>
      <c r="R588" s="3"/>
    </row>
    <row r="589" spans="1:18">
      <c r="A589" s="14"/>
      <c r="B589" s="9"/>
      <c r="C589" s="10" t="str">
        <f>UPPER(I589)</f>
        <v>PIPELINE DEVELOPER</v>
      </c>
      <c r="D589" s="9"/>
      <c r="E589" s="9" t="str">
        <f t="shared" si="104"/>
        <v>TANARAT LUANG-ON</v>
      </c>
      <c r="F589" s="9"/>
      <c r="G589" s="3"/>
      <c r="H589" s="13"/>
      <c r="I589" s="36" t="s">
        <v>565</v>
      </c>
      <c r="J589" s="3"/>
      <c r="K589" s="31" t="s">
        <v>566</v>
      </c>
      <c r="L589" s="3"/>
      <c r="M589" s="8"/>
      <c r="N589" s="13"/>
      <c r="O589" s="36" t="s">
        <v>565</v>
      </c>
      <c r="P589" s="3"/>
      <c r="Q589" s="31" t="s">
        <v>566</v>
      </c>
      <c r="R589" s="3"/>
    </row>
    <row r="590" spans="1:18">
      <c r="A590" s="14"/>
      <c r="B590" s="9"/>
      <c r="C590" s="10"/>
      <c r="D590" s="9"/>
      <c r="E590" s="9" t="str">
        <f t="shared" si="104"/>
        <v>THANYATHON TAYANGKHANON</v>
      </c>
      <c r="F590" s="9"/>
      <c r="G590" s="3"/>
      <c r="H590" s="13"/>
      <c r="I590" s="36"/>
      <c r="J590" s="3"/>
      <c r="K590" s="31" t="s">
        <v>567</v>
      </c>
      <c r="L590" s="3"/>
      <c r="M590" s="8"/>
      <c r="N590" s="13"/>
      <c r="O590" s="36"/>
      <c r="P590" s="3"/>
      <c r="Q590" s="31" t="s">
        <v>567</v>
      </c>
      <c r="R590" s="3"/>
    </row>
    <row r="591" spans="1:18">
      <c r="A591" s="14"/>
      <c r="B591" s="9"/>
      <c r="C591" s="10" t="str">
        <f t="shared" ref="C591:C594" si="105">UPPER(I591)</f>
        <v/>
      </c>
      <c r="D591" s="9"/>
      <c r="E591" s="9" t="str">
        <f t="shared" si="104"/>
        <v>NUTTAPON VANAKITTISTIEN</v>
      </c>
      <c r="F591" s="9"/>
      <c r="G591" s="3"/>
      <c r="H591" s="13"/>
      <c r="I591" s="36"/>
      <c r="J591" s="3"/>
      <c r="K591" s="31" t="s">
        <v>568</v>
      </c>
      <c r="L591" s="3"/>
      <c r="M591" s="63"/>
      <c r="N591" s="13"/>
      <c r="O591" s="36"/>
      <c r="P591" s="3"/>
      <c r="Q591" s="31" t="s">
        <v>568</v>
      </c>
      <c r="R591" s="3"/>
    </row>
    <row r="592" spans="1:18">
      <c r="A592" s="14"/>
      <c r="B592" s="9"/>
      <c r="C592" s="10" t="str">
        <f t="shared" si="105"/>
        <v/>
      </c>
      <c r="D592" s="9"/>
      <c r="E592" s="9" t="str">
        <f t="shared" si="104"/>
        <v>APISIT SENLUANG</v>
      </c>
      <c r="F592" s="9"/>
      <c r="G592" s="3"/>
      <c r="H592" s="13"/>
      <c r="I592" s="36"/>
      <c r="J592" s="3"/>
      <c r="K592" s="31" t="s">
        <v>569</v>
      </c>
      <c r="L592" s="3"/>
      <c r="M592" s="8"/>
      <c r="N592" s="13"/>
      <c r="O592" s="36"/>
      <c r="P592" s="3"/>
      <c r="Q592" s="31" t="s">
        <v>569</v>
      </c>
      <c r="R592" s="3"/>
    </row>
    <row r="593" spans="1:18">
      <c r="A593" s="14"/>
      <c r="B593" s="9"/>
      <c r="C593" s="10" t="str">
        <f t="shared" si="105"/>
        <v/>
      </c>
      <c r="D593" s="9"/>
      <c r="E593" s="9" t="str">
        <f t="shared" si="104"/>
        <v/>
      </c>
      <c r="F593" s="9"/>
      <c r="G593" s="3"/>
      <c r="H593" s="13"/>
      <c r="I593" s="36"/>
      <c r="J593" s="3"/>
      <c r="K593" s="31"/>
      <c r="L593" s="3"/>
      <c r="M593" s="8"/>
      <c r="N593" s="13"/>
      <c r="O593" s="36"/>
      <c r="P593" s="3"/>
      <c r="Q593" s="31"/>
      <c r="R593" s="3"/>
    </row>
    <row r="594" spans="1:18">
      <c r="A594" s="14"/>
      <c r="B594" s="9"/>
      <c r="C594" s="10" t="str">
        <f t="shared" si="105"/>
        <v>LEAD TECHNICAL DIRECTOR</v>
      </c>
      <c r="D594" s="9"/>
      <c r="E594" s="9" t="str">
        <f t="shared" si="104"/>
        <v>THANAPAT TUMMATI</v>
      </c>
      <c r="F594" s="9"/>
      <c r="G594" s="3"/>
      <c r="H594" s="13"/>
      <c r="I594" s="36" t="s">
        <v>570</v>
      </c>
      <c r="J594" s="3"/>
      <c r="K594" s="31" t="s">
        <v>571</v>
      </c>
      <c r="L594" s="3"/>
      <c r="M594" s="8"/>
      <c r="N594" s="13"/>
      <c r="O594" s="36" t="s">
        <v>570</v>
      </c>
      <c r="P594" s="3"/>
      <c r="Q594" s="31" t="s">
        <v>571</v>
      </c>
      <c r="R594" s="3"/>
    </row>
    <row r="595" spans="1:18">
      <c r="A595" s="14"/>
      <c r="B595" s="9"/>
      <c r="C595" s="10"/>
      <c r="D595" s="9"/>
      <c r="E595" s="9" t="str">
        <f t="shared" si="104"/>
        <v/>
      </c>
      <c r="F595" s="9"/>
      <c r="G595" s="3"/>
      <c r="H595" s="13"/>
      <c r="I595" s="36"/>
      <c r="J595" s="3"/>
      <c r="K595" s="31"/>
      <c r="L595" s="3"/>
      <c r="M595" s="8"/>
      <c r="N595" s="13"/>
      <c r="O595" s="36"/>
      <c r="P595" s="3"/>
      <c r="Q595" s="31"/>
      <c r="R595" s="3"/>
    </row>
    <row r="596" spans="1:18">
      <c r="A596" s="14"/>
      <c r="B596" s="9"/>
      <c r="C596" s="10" t="str">
        <f>UPPER(I596)</f>
        <v>TECHNICAL DIRECTOR</v>
      </c>
      <c r="D596" s="9"/>
      <c r="E596" s="9" t="str">
        <f t="shared" si="104"/>
        <v>TANAWOOT  SINGTHONGPRASERT</v>
      </c>
      <c r="F596" s="9"/>
      <c r="G596" s="3"/>
      <c r="H596" s="13"/>
      <c r="I596" s="36" t="s">
        <v>572</v>
      </c>
      <c r="J596" s="3"/>
      <c r="K596" s="31" t="s">
        <v>646</v>
      </c>
      <c r="L596" s="3"/>
      <c r="M596" s="8"/>
      <c r="N596" s="13"/>
      <c r="O596" s="36" t="s">
        <v>572</v>
      </c>
      <c r="P596" s="3"/>
      <c r="Q596" s="31" t="s">
        <v>646</v>
      </c>
      <c r="R596" s="3"/>
    </row>
    <row r="597" spans="1:18">
      <c r="A597" s="14"/>
      <c r="B597" s="9"/>
      <c r="C597" s="10"/>
      <c r="D597" s="9"/>
      <c r="E597" s="9" t="str">
        <f t="shared" si="104"/>
        <v>PEERAPAT SRIPENG</v>
      </c>
      <c r="F597" s="9"/>
      <c r="G597" s="3"/>
      <c r="H597" s="13"/>
      <c r="I597" s="36"/>
      <c r="J597" s="3"/>
      <c r="K597" s="31" t="s">
        <v>574</v>
      </c>
      <c r="L597" s="3"/>
      <c r="M597" s="8"/>
      <c r="N597" s="13"/>
      <c r="O597" s="36"/>
      <c r="P597" s="3"/>
      <c r="Q597" s="31" t="s">
        <v>574</v>
      </c>
      <c r="R597" s="3"/>
    </row>
    <row r="598" spans="1:18">
      <c r="A598" s="14"/>
      <c r="B598" s="9"/>
      <c r="C598" s="10" t="str">
        <f t="shared" ref="C598:C602" si="106">UPPER(I598)</f>
        <v/>
      </c>
      <c r="D598" s="9"/>
      <c r="E598" s="9" t="str">
        <f t="shared" si="104"/>
        <v>THIRADA THEETHUM</v>
      </c>
      <c r="F598" s="9"/>
      <c r="G598" s="3"/>
      <c r="H598" s="13"/>
      <c r="I598" s="36"/>
      <c r="J598" s="3"/>
      <c r="K598" s="31" t="s">
        <v>575</v>
      </c>
      <c r="L598" s="3"/>
      <c r="M598" s="8"/>
      <c r="N598" s="13"/>
      <c r="O598" s="36"/>
      <c r="P598" s="3"/>
      <c r="Q598" s="31" t="s">
        <v>575</v>
      </c>
      <c r="R598" s="3"/>
    </row>
    <row r="599" spans="1:18">
      <c r="A599" s="14"/>
      <c r="B599" s="9"/>
      <c r="C599" s="10" t="str">
        <f t="shared" si="106"/>
        <v/>
      </c>
      <c r="D599" s="9"/>
      <c r="E599" s="9" t="str">
        <f t="shared" si="104"/>
        <v>NICHAPAT KACHACHEEWA</v>
      </c>
      <c r="F599" s="9"/>
      <c r="G599" s="3"/>
      <c r="H599" s="13"/>
      <c r="I599" s="36"/>
      <c r="J599" s="3"/>
      <c r="K599" s="31" t="s">
        <v>576</v>
      </c>
      <c r="L599" s="3"/>
      <c r="M599" s="8"/>
      <c r="N599" s="13"/>
      <c r="O599" s="36"/>
      <c r="P599" s="3"/>
      <c r="Q599" s="31" t="s">
        <v>576</v>
      </c>
      <c r="R599" s="3"/>
    </row>
    <row r="600" spans="1:18">
      <c r="A600" s="14"/>
      <c r="B600" s="9"/>
      <c r="C600" s="10" t="str">
        <f t="shared" si="106"/>
        <v/>
      </c>
      <c r="D600" s="9"/>
      <c r="E600" s="9" t="str">
        <f t="shared" si="104"/>
        <v>SUCHADA  KHAMWAN</v>
      </c>
      <c r="F600" s="9"/>
      <c r="G600" s="3"/>
      <c r="H600" s="13"/>
      <c r="I600" s="36"/>
      <c r="J600" s="3"/>
      <c r="K600" s="31" t="s">
        <v>577</v>
      </c>
      <c r="L600" s="3"/>
      <c r="M600" s="8"/>
      <c r="N600" s="13"/>
      <c r="O600" s="36"/>
      <c r="P600" s="3"/>
      <c r="Q600" s="31" t="s">
        <v>577</v>
      </c>
      <c r="R600" s="3"/>
    </row>
    <row r="601" spans="1:18">
      <c r="A601" s="14"/>
      <c r="B601" s="9"/>
      <c r="C601" s="10" t="str">
        <f t="shared" si="106"/>
        <v/>
      </c>
      <c r="D601" s="9"/>
      <c r="E601" s="9" t="str">
        <f t="shared" si="104"/>
        <v/>
      </c>
      <c r="F601" s="9"/>
      <c r="G601" s="3"/>
      <c r="H601" s="13"/>
      <c r="I601" s="36"/>
      <c r="J601" s="3"/>
      <c r="K601" s="31"/>
      <c r="L601" s="3"/>
      <c r="M601" s="8"/>
      <c r="N601" s="13"/>
      <c r="O601" s="36"/>
      <c r="P601" s="3"/>
      <c r="Q601" s="31"/>
      <c r="R601" s="3"/>
    </row>
    <row r="602" spans="1:18">
      <c r="A602" s="14"/>
      <c r="B602" s="9"/>
      <c r="C602" s="10" t="str">
        <f t="shared" si="106"/>
        <v>RIG TECHNICAL DIRECTOR</v>
      </c>
      <c r="D602" s="9"/>
      <c r="E602" s="9" t="str">
        <f t="shared" si="104"/>
        <v>PONGSOPON  SROYSOMWONG</v>
      </c>
      <c r="F602" s="9"/>
      <c r="G602" s="3"/>
      <c r="H602" s="13"/>
      <c r="I602" s="36" t="s">
        <v>578</v>
      </c>
      <c r="J602" s="3"/>
      <c r="K602" s="31" t="s">
        <v>647</v>
      </c>
      <c r="L602" s="3"/>
      <c r="M602" s="8"/>
      <c r="N602" s="13"/>
      <c r="O602" s="36" t="s">
        <v>578</v>
      </c>
      <c r="P602" s="3"/>
      <c r="Q602" s="31" t="s">
        <v>647</v>
      </c>
      <c r="R602" s="3"/>
    </row>
    <row r="603" spans="1:18">
      <c r="A603" s="14"/>
      <c r="B603" s="9"/>
      <c r="C603" s="10"/>
      <c r="D603" s="9"/>
      <c r="E603" s="9" t="str">
        <f t="shared" si="104"/>
        <v>SARAWUT SUWAN</v>
      </c>
      <c r="F603" s="9"/>
      <c r="G603" s="3"/>
      <c r="H603" s="13"/>
      <c r="I603" s="36"/>
      <c r="J603" s="3"/>
      <c r="K603" s="31" t="s">
        <v>580</v>
      </c>
      <c r="L603" s="3"/>
      <c r="M603" s="8"/>
      <c r="N603" s="13"/>
      <c r="O603" s="36"/>
      <c r="P603" s="3"/>
      <c r="Q603" s="31" t="s">
        <v>580</v>
      </c>
      <c r="R603" s="3"/>
    </row>
    <row r="604" spans="1:18">
      <c r="A604" s="14"/>
      <c r="B604" s="6"/>
      <c r="C604" s="6"/>
      <c r="D604" s="6"/>
      <c r="E604" s="6"/>
      <c r="F604" s="6"/>
      <c r="G604" s="3"/>
      <c r="H604" s="74"/>
      <c r="I604" s="5"/>
      <c r="J604" s="5"/>
      <c r="K604" s="5"/>
      <c r="L604" s="74"/>
      <c r="M604" s="8"/>
      <c r="N604" s="13"/>
      <c r="O604" s="8"/>
      <c r="P604" s="3"/>
      <c r="Q604" s="13"/>
      <c r="R604" s="3"/>
    </row>
    <row r="605" spans="1:18">
      <c r="A605" s="14"/>
      <c r="B605" s="26"/>
      <c r="C605" s="26"/>
      <c r="D605" s="26"/>
      <c r="E605" s="26"/>
      <c r="F605" s="26"/>
      <c r="G605" s="3"/>
      <c r="H605" s="74"/>
      <c r="I605" s="5"/>
      <c r="J605" s="5"/>
      <c r="K605" s="5"/>
      <c r="L605" s="74"/>
      <c r="M605" s="8"/>
      <c r="N605" s="13"/>
      <c r="O605" s="8"/>
      <c r="P605" s="3"/>
      <c r="Q605" s="13"/>
      <c r="R605" s="3"/>
    </row>
    <row r="606" spans="1:18">
      <c r="A606" s="14"/>
      <c r="B606" s="6"/>
      <c r="C606" s="6"/>
      <c r="D606" s="6"/>
      <c r="E606" s="6"/>
      <c r="F606" s="6"/>
      <c r="G606" s="3"/>
      <c r="H606" s="74"/>
      <c r="I606" s="5"/>
      <c r="J606" s="5"/>
      <c r="K606" s="5"/>
      <c r="L606" s="74"/>
      <c r="M606" s="8"/>
      <c r="N606" s="13"/>
      <c r="O606" s="8"/>
      <c r="P606" s="3"/>
      <c r="Q606" s="13"/>
      <c r="R606" s="3"/>
    </row>
    <row r="607" spans="1:18">
      <c r="A607" s="14"/>
      <c r="B607" s="143" t="str">
        <f t="shared" ref="B607:B608" si="107">UPPER(H607)</f>
        <v>PRODUCTION SERVICES PROVIDED BY</v>
      </c>
      <c r="C607" s="141"/>
      <c r="D607" s="141"/>
      <c r="E607" s="141"/>
      <c r="F607" s="141"/>
      <c r="G607" s="3"/>
      <c r="H607" s="145" t="s">
        <v>530</v>
      </c>
      <c r="I607" s="141"/>
      <c r="J607" s="141"/>
      <c r="K607" s="141"/>
      <c r="L607" s="141"/>
      <c r="M607" s="8"/>
      <c r="N607" s="145" t="s">
        <v>940</v>
      </c>
      <c r="O607" s="141"/>
      <c r="P607" s="141"/>
      <c r="Q607" s="141"/>
      <c r="R607" s="141"/>
    </row>
    <row r="608" spans="1:18">
      <c r="A608" s="14"/>
      <c r="B608" s="146" t="str">
        <f t="shared" si="107"/>
        <v>THE MONK STUDIOS</v>
      </c>
      <c r="C608" s="141"/>
      <c r="D608" s="141"/>
      <c r="E608" s="141"/>
      <c r="F608" s="141"/>
      <c r="G608" s="8"/>
      <c r="H608" s="149" t="s">
        <v>202</v>
      </c>
      <c r="I608" s="141"/>
      <c r="J608" s="141"/>
      <c r="K608" s="141"/>
      <c r="L608" s="141"/>
      <c r="M608" s="8"/>
      <c r="N608" s="149" t="s">
        <v>202</v>
      </c>
      <c r="O608" s="141"/>
      <c r="P608" s="141"/>
      <c r="Q608" s="141"/>
      <c r="R608" s="141"/>
    </row>
    <row r="609" spans="1:18">
      <c r="A609" s="14"/>
      <c r="B609" s="9"/>
      <c r="C609" s="10"/>
      <c r="D609" s="9"/>
      <c r="E609" s="9"/>
      <c r="F609" s="9"/>
      <c r="G609" s="3"/>
      <c r="H609" s="13"/>
      <c r="I609" s="8"/>
      <c r="J609" s="3"/>
      <c r="K609" s="13"/>
      <c r="L609" s="3"/>
      <c r="M609" s="8"/>
      <c r="N609" s="13"/>
      <c r="O609" s="8"/>
      <c r="P609" s="3"/>
      <c r="Q609" s="13"/>
      <c r="R609" s="3"/>
    </row>
    <row r="610" spans="1:18">
      <c r="A610" s="14"/>
      <c r="B610" s="146" t="str">
        <f>UPPER(H610)</f>
        <v>IT</v>
      </c>
      <c r="C610" s="141"/>
      <c r="D610" s="141"/>
      <c r="E610" s="141"/>
      <c r="F610" s="141"/>
      <c r="G610" s="3"/>
      <c r="H610" s="151" t="s">
        <v>581</v>
      </c>
      <c r="I610" s="141"/>
      <c r="J610" s="141"/>
      <c r="K610" s="141"/>
      <c r="L610" s="141"/>
      <c r="M610" s="8"/>
      <c r="N610" s="151" t="s">
        <v>581</v>
      </c>
      <c r="O610" s="141"/>
      <c r="P610" s="141"/>
      <c r="Q610" s="141"/>
      <c r="R610" s="141"/>
    </row>
    <row r="611" spans="1:18">
      <c r="A611" s="14"/>
      <c r="B611" s="9"/>
      <c r="C611" s="10" t="str">
        <f t="shared" ref="C611:C618" si="108">UPPER(I611)</f>
        <v>IT DIRECTOR</v>
      </c>
      <c r="D611" s="9"/>
      <c r="E611" s="9" t="str">
        <f t="shared" ref="E611:E618" si="109">UPPER(K611)</f>
        <v>PAKORN CHUTINIMITKUL</v>
      </c>
      <c r="F611" s="9"/>
      <c r="G611" s="3"/>
      <c r="H611" s="13"/>
      <c r="I611" s="30" t="s">
        <v>582</v>
      </c>
      <c r="J611" s="3"/>
      <c r="K611" s="22" t="s">
        <v>583</v>
      </c>
      <c r="L611" s="3"/>
      <c r="M611" s="8"/>
      <c r="N611" s="13"/>
      <c r="O611" s="30" t="s">
        <v>582</v>
      </c>
      <c r="P611" s="3"/>
      <c r="Q611" s="22" t="s">
        <v>583</v>
      </c>
      <c r="R611" s="3"/>
    </row>
    <row r="612" spans="1:18">
      <c r="A612" s="14"/>
      <c r="B612" s="9"/>
      <c r="C612" s="10" t="str">
        <f t="shared" si="108"/>
        <v/>
      </c>
      <c r="D612" s="9"/>
      <c r="E612" s="9" t="str">
        <f t="shared" si="109"/>
        <v/>
      </c>
      <c r="F612" s="9"/>
      <c r="G612" s="3"/>
      <c r="H612" s="13"/>
      <c r="I612" s="30"/>
      <c r="J612" s="3"/>
      <c r="K612" s="22"/>
      <c r="L612" s="3"/>
      <c r="M612" s="8"/>
      <c r="N612" s="13"/>
      <c r="O612" s="30"/>
      <c r="P612" s="3"/>
      <c r="Q612" s="22"/>
      <c r="R612" s="3"/>
    </row>
    <row r="613" spans="1:18">
      <c r="A613" s="14"/>
      <c r="B613" s="9"/>
      <c r="C613" s="10" t="str">
        <f t="shared" si="108"/>
        <v>SYSTEM ENGINEER</v>
      </c>
      <c r="D613" s="9"/>
      <c r="E613" s="9" t="str">
        <f t="shared" si="109"/>
        <v>NATEE KOONJATURAPAT</v>
      </c>
      <c r="F613" s="9"/>
      <c r="G613" s="3"/>
      <c r="H613" s="13"/>
      <c r="I613" s="30" t="s">
        <v>584</v>
      </c>
      <c r="J613" s="3"/>
      <c r="K613" s="22" t="s">
        <v>585</v>
      </c>
      <c r="L613" s="3"/>
      <c r="M613" s="8"/>
      <c r="N613" s="13"/>
      <c r="O613" s="30" t="s">
        <v>584</v>
      </c>
      <c r="P613" s="3"/>
      <c r="Q613" s="22" t="s">
        <v>585</v>
      </c>
      <c r="R613" s="3"/>
    </row>
    <row r="614" spans="1:18">
      <c r="A614" s="14"/>
      <c r="B614" s="9"/>
      <c r="C614" s="10" t="str">
        <f t="shared" si="108"/>
        <v/>
      </c>
      <c r="D614" s="9"/>
      <c r="E614" s="9" t="str">
        <f t="shared" si="109"/>
        <v/>
      </c>
      <c r="F614" s="9"/>
      <c r="G614" s="3"/>
      <c r="H614" s="13"/>
      <c r="I614" s="30"/>
      <c r="J614" s="3"/>
      <c r="K614" s="22"/>
      <c r="L614" s="3"/>
      <c r="M614" s="8"/>
      <c r="N614" s="13"/>
      <c r="O614" s="30"/>
      <c r="P614" s="3"/>
      <c r="Q614" s="22"/>
      <c r="R614" s="3"/>
    </row>
    <row r="615" spans="1:18">
      <c r="A615" s="14"/>
      <c r="B615" s="9"/>
      <c r="C615" s="10" t="str">
        <f t="shared" si="108"/>
        <v>IT SUPPORT</v>
      </c>
      <c r="D615" s="9"/>
      <c r="E615" s="9" t="str">
        <f t="shared" si="109"/>
        <v>CHATCHAI LOHSIRI</v>
      </c>
      <c r="F615" s="9"/>
      <c r="G615" s="3"/>
      <c r="H615" s="13"/>
      <c r="I615" s="30" t="s">
        <v>586</v>
      </c>
      <c r="J615" s="3"/>
      <c r="K615" s="22" t="s">
        <v>587</v>
      </c>
      <c r="L615" s="3"/>
      <c r="M615" s="8"/>
      <c r="N615" s="13"/>
      <c r="O615" s="30" t="s">
        <v>586</v>
      </c>
      <c r="P615" s="3"/>
      <c r="Q615" s="22" t="s">
        <v>587</v>
      </c>
      <c r="R615" s="3"/>
    </row>
    <row r="616" spans="1:18">
      <c r="A616" s="14"/>
      <c r="B616" s="9"/>
      <c r="C616" s="10" t="str">
        <f t="shared" si="108"/>
        <v/>
      </c>
      <c r="D616" s="9"/>
      <c r="E616" s="9" t="str">
        <f t="shared" si="109"/>
        <v>WIMONWAN LERTTHONGKAM</v>
      </c>
      <c r="F616" s="9"/>
      <c r="G616" s="3"/>
      <c r="H616" s="13"/>
      <c r="I616" s="30"/>
      <c r="J616" s="3"/>
      <c r="K616" s="22" t="s">
        <v>588</v>
      </c>
      <c r="L616" s="3"/>
      <c r="M616" s="8"/>
      <c r="N616" s="13"/>
      <c r="O616" s="30"/>
      <c r="P616" s="3"/>
      <c r="Q616" s="22" t="s">
        <v>588</v>
      </c>
      <c r="R616" s="3"/>
    </row>
    <row r="617" spans="1:18">
      <c r="A617" s="14"/>
      <c r="B617" s="9"/>
      <c r="C617" s="10" t="str">
        <f t="shared" si="108"/>
        <v/>
      </c>
      <c r="D617" s="9"/>
      <c r="E617" s="9" t="str">
        <f t="shared" si="109"/>
        <v/>
      </c>
      <c r="F617" s="9"/>
      <c r="G617" s="3"/>
      <c r="H617" s="13"/>
      <c r="I617" s="8"/>
      <c r="J617" s="3"/>
      <c r="K617" s="13"/>
      <c r="L617" s="3"/>
      <c r="M617" s="8"/>
      <c r="N617" s="13"/>
      <c r="O617" s="8"/>
      <c r="P617" s="3"/>
      <c r="Q617" s="76"/>
      <c r="R617" s="3"/>
    </row>
    <row r="618" spans="1:18">
      <c r="A618" s="14"/>
      <c r="B618" s="11"/>
      <c r="C618" s="12" t="str">
        <f t="shared" si="108"/>
        <v/>
      </c>
      <c r="D618" s="11"/>
      <c r="E618" s="11" t="str">
        <f t="shared" si="109"/>
        <v/>
      </c>
      <c r="F618" s="11"/>
      <c r="G618" s="3"/>
      <c r="H618" s="3"/>
      <c r="I618" s="8"/>
      <c r="J618" s="3"/>
      <c r="K618" s="13"/>
      <c r="L618" s="3"/>
      <c r="M618" s="8"/>
      <c r="N618" s="8"/>
      <c r="O618" s="8"/>
      <c r="P618" s="3"/>
      <c r="Q618" s="3"/>
      <c r="R618" s="3"/>
    </row>
    <row r="619" spans="1:18">
      <c r="A619" s="14"/>
      <c r="B619" s="61"/>
      <c r="C619" s="61"/>
      <c r="D619" s="61"/>
      <c r="E619" s="61"/>
      <c r="F619" s="61"/>
      <c r="G619" s="3"/>
      <c r="H619" s="7"/>
      <c r="I619" s="7"/>
      <c r="J619" s="7"/>
      <c r="K619" s="7"/>
      <c r="L619" s="7"/>
      <c r="M619" s="8"/>
      <c r="N619" s="8"/>
      <c r="O619" s="8"/>
      <c r="P619" s="3"/>
      <c r="Q619" s="3"/>
      <c r="R619" s="3"/>
    </row>
    <row r="620" spans="1:18">
      <c r="A620" s="14"/>
      <c r="B620" s="143" t="str">
        <f t="shared" ref="B620:B621" si="110">UPPER(H620)</f>
        <v>PRODUCTION SERVICES PROVIDED BY</v>
      </c>
      <c r="C620" s="141"/>
      <c r="D620" s="141"/>
      <c r="E620" s="141"/>
      <c r="F620" s="141"/>
      <c r="G620" s="3"/>
      <c r="H620" s="145" t="s">
        <v>530</v>
      </c>
      <c r="I620" s="141"/>
      <c r="J620" s="141"/>
      <c r="K620" s="141"/>
      <c r="L620" s="141"/>
      <c r="M620" s="8"/>
      <c r="N620" s="145" t="s">
        <v>940</v>
      </c>
      <c r="O620" s="141"/>
      <c r="P620" s="141"/>
      <c r="Q620" s="141"/>
      <c r="R620" s="141"/>
    </row>
    <row r="621" spans="1:18">
      <c r="A621" s="14"/>
      <c r="B621" s="146" t="str">
        <f t="shared" si="110"/>
        <v>STUDIO GOINDOL INC.</v>
      </c>
      <c r="C621" s="141"/>
      <c r="D621" s="141"/>
      <c r="E621" s="141"/>
      <c r="F621" s="141"/>
      <c r="G621" s="3"/>
      <c r="H621" s="149" t="s">
        <v>176</v>
      </c>
      <c r="I621" s="141"/>
      <c r="J621" s="141"/>
      <c r="K621" s="141"/>
      <c r="L621" s="141"/>
      <c r="M621" s="8"/>
      <c r="N621" s="149" t="s">
        <v>176</v>
      </c>
      <c r="O621" s="141"/>
      <c r="P621" s="141"/>
      <c r="Q621" s="141"/>
      <c r="R621" s="141"/>
    </row>
    <row r="622" spans="1:18">
      <c r="A622" s="14"/>
      <c r="B622" s="6"/>
      <c r="C622" s="6"/>
      <c r="D622" s="6"/>
      <c r="E622" s="6"/>
      <c r="F622" s="6"/>
      <c r="G622" s="3"/>
      <c r="H622" s="5"/>
      <c r="I622" s="5"/>
      <c r="J622" s="5"/>
      <c r="K622" s="5"/>
      <c r="L622" s="5"/>
      <c r="M622" s="8"/>
      <c r="N622" s="15"/>
      <c r="O622" s="15"/>
      <c r="P622" s="15"/>
      <c r="Q622" s="15"/>
      <c r="R622" s="15"/>
    </row>
    <row r="623" spans="1:18">
      <c r="A623" s="14"/>
      <c r="B623" s="146" t="str">
        <f>UPPER(H623)</f>
        <v>STORYBOARD &amp; DESIGN</v>
      </c>
      <c r="C623" s="141"/>
      <c r="D623" s="141"/>
      <c r="E623" s="141"/>
      <c r="F623" s="141"/>
      <c r="G623" s="3"/>
      <c r="H623" s="149" t="s">
        <v>589</v>
      </c>
      <c r="I623" s="141"/>
      <c r="J623" s="141"/>
      <c r="K623" s="141"/>
      <c r="L623" s="141"/>
      <c r="M623" s="8"/>
      <c r="N623" s="149" t="s">
        <v>941</v>
      </c>
      <c r="O623" s="141"/>
      <c r="P623" s="141"/>
      <c r="Q623" s="141"/>
      <c r="R623" s="141"/>
    </row>
    <row r="624" spans="1:18">
      <c r="A624" s="14"/>
      <c r="B624" s="9"/>
      <c r="C624" s="10" t="str">
        <f>UPPER(I624)</f>
        <v>CHIEF PRODUCER</v>
      </c>
      <c r="D624" s="9"/>
      <c r="E624" s="9" t="str">
        <f>UPPER(K624)</f>
        <v>JUNGSOO HUR</v>
      </c>
      <c r="F624" s="9"/>
      <c r="G624" s="3"/>
      <c r="H624" s="3"/>
      <c r="I624" s="8" t="s">
        <v>590</v>
      </c>
      <c r="J624" s="3"/>
      <c r="K624" s="3" t="s">
        <v>591</v>
      </c>
      <c r="L624" s="3"/>
      <c r="M624" s="8"/>
      <c r="N624" s="3"/>
      <c r="O624" s="63" t="s">
        <v>772</v>
      </c>
      <c r="P624" s="3"/>
      <c r="Q624" s="3" t="s">
        <v>942</v>
      </c>
      <c r="R624" s="3"/>
    </row>
    <row r="625" spans="1:18">
      <c r="A625" s="14"/>
      <c r="B625" s="9"/>
      <c r="C625" s="10"/>
      <c r="D625" s="9"/>
      <c r="E625" s="9"/>
      <c r="F625" s="9"/>
      <c r="G625" s="3"/>
      <c r="H625" s="3"/>
      <c r="I625" s="8"/>
      <c r="J625" s="3"/>
      <c r="K625" s="3"/>
      <c r="L625" s="3"/>
      <c r="M625" s="8"/>
      <c r="N625" s="3"/>
      <c r="O625" s="8"/>
      <c r="P625" s="3"/>
      <c r="Q625" s="3"/>
      <c r="R625" s="3"/>
    </row>
    <row r="626" spans="1:18">
      <c r="A626" s="14"/>
      <c r="B626" s="9"/>
      <c r="C626" s="10" t="str">
        <f>UPPER(I626)</f>
        <v>PRODUCER</v>
      </c>
      <c r="D626" s="9"/>
      <c r="E626" s="9" t="str">
        <f>UPPER(K626)</f>
        <v>GEUNJEONG KIM</v>
      </c>
      <c r="F626" s="9"/>
      <c r="G626" s="3"/>
      <c r="H626" s="3"/>
      <c r="I626" s="8" t="s">
        <v>504</v>
      </c>
      <c r="J626" s="3"/>
      <c r="K626" s="3" t="s">
        <v>592</v>
      </c>
      <c r="L626" s="3"/>
      <c r="M626" s="8"/>
      <c r="N626" s="3"/>
      <c r="O626" s="8" t="s">
        <v>773</v>
      </c>
      <c r="P626" s="3"/>
      <c r="Q626" s="3" t="s">
        <v>943</v>
      </c>
      <c r="R626" s="3"/>
    </row>
    <row r="627" spans="1:18">
      <c r="A627" s="14"/>
      <c r="B627" s="9"/>
      <c r="C627" s="10"/>
      <c r="D627" s="9"/>
      <c r="E627" s="9"/>
      <c r="F627" s="9"/>
      <c r="G627" s="3"/>
      <c r="H627" s="3"/>
      <c r="I627" s="8"/>
      <c r="J627" s="3"/>
      <c r="K627" s="3"/>
      <c r="L627" s="3"/>
      <c r="M627" s="8"/>
      <c r="N627" s="3"/>
      <c r="O627" s="8"/>
      <c r="P627" s="3"/>
      <c r="Q627" s="3"/>
      <c r="R627" s="3"/>
    </row>
    <row r="628" spans="1:18">
      <c r="A628" s="14"/>
      <c r="B628" s="9"/>
      <c r="C628" s="10" t="str">
        <f>UPPER(I628)</f>
        <v>COORDINATOR</v>
      </c>
      <c r="D628" s="9"/>
      <c r="E628" s="9" t="str">
        <f>UPPER(K628)</f>
        <v>JOWON JUNG</v>
      </c>
      <c r="F628" s="9"/>
      <c r="G628" s="3"/>
      <c r="H628" s="3"/>
      <c r="I628" s="8" t="s">
        <v>593</v>
      </c>
      <c r="J628" s="3"/>
      <c r="K628" s="3" t="s">
        <v>594</v>
      </c>
      <c r="L628" s="3"/>
      <c r="M628" s="8"/>
      <c r="N628" s="3"/>
      <c r="O628" s="8" t="s">
        <v>944</v>
      </c>
      <c r="P628" s="3"/>
      <c r="Q628" s="3" t="s">
        <v>945</v>
      </c>
      <c r="R628" s="3"/>
    </row>
    <row r="629" spans="1:18">
      <c r="A629" s="14"/>
      <c r="B629" s="9"/>
      <c r="C629" s="10"/>
      <c r="D629" s="9"/>
      <c r="E629" s="9"/>
      <c r="F629" s="9"/>
      <c r="G629" s="3"/>
      <c r="H629" s="3"/>
      <c r="I629" s="8"/>
      <c r="J629" s="3"/>
      <c r="K629" s="3"/>
      <c r="L629" s="3"/>
      <c r="M629" s="8"/>
      <c r="N629" s="3"/>
      <c r="O629" s="8"/>
      <c r="P629" s="3"/>
      <c r="Q629" s="3"/>
      <c r="R629" s="3"/>
    </row>
    <row r="630" spans="1:18">
      <c r="A630" s="14"/>
      <c r="B630" s="9"/>
      <c r="C630" s="10" t="str">
        <f t="shared" ref="C630:C637" si="111">UPPER(I630)</f>
        <v>LEAD DESIGNER</v>
      </c>
      <c r="D630" s="9"/>
      <c r="E630" s="9" t="str">
        <f t="shared" ref="E630:E637" si="112">UPPER(K630)</f>
        <v>WOOJIN SEOK</v>
      </c>
      <c r="F630" s="9"/>
      <c r="G630" s="3"/>
      <c r="H630" s="3"/>
      <c r="I630" s="8" t="s">
        <v>595</v>
      </c>
      <c r="J630" s="3"/>
      <c r="K630" s="3" t="s">
        <v>596</v>
      </c>
      <c r="L630" s="3"/>
      <c r="M630" s="8"/>
      <c r="N630" s="3"/>
      <c r="O630" s="8" t="s">
        <v>946</v>
      </c>
      <c r="P630" s="3"/>
      <c r="Q630" s="3" t="s">
        <v>947</v>
      </c>
      <c r="R630" s="3"/>
    </row>
    <row r="631" spans="1:18">
      <c r="A631" s="14"/>
      <c r="B631" s="9"/>
      <c r="C631" s="10" t="str">
        <f t="shared" si="111"/>
        <v/>
      </c>
      <c r="D631" s="9"/>
      <c r="E631" s="9" t="str">
        <f t="shared" si="112"/>
        <v/>
      </c>
      <c r="F631" s="9"/>
      <c r="G631" s="3"/>
      <c r="H631" s="3"/>
      <c r="I631" s="8"/>
      <c r="J631" s="3"/>
      <c r="K631" s="3"/>
      <c r="L631" s="3"/>
      <c r="M631" s="8"/>
      <c r="N631" s="3"/>
      <c r="O631" s="8"/>
      <c r="P631" s="3"/>
      <c r="Q631" s="3"/>
      <c r="R631" s="3"/>
    </row>
    <row r="632" spans="1:18">
      <c r="A632" s="14"/>
      <c r="B632" s="9"/>
      <c r="C632" s="10" t="str">
        <f t="shared" si="111"/>
        <v>DESIGNER</v>
      </c>
      <c r="D632" s="9"/>
      <c r="E632" s="9" t="str">
        <f t="shared" si="112"/>
        <v>JIHYUN KIM</v>
      </c>
      <c r="F632" s="9"/>
      <c r="G632" s="3"/>
      <c r="H632" s="3"/>
      <c r="I632" s="8" t="s">
        <v>597</v>
      </c>
      <c r="J632" s="3"/>
      <c r="K632" s="3" t="s">
        <v>598</v>
      </c>
      <c r="L632" s="3"/>
      <c r="M632" s="8"/>
      <c r="N632" s="3"/>
      <c r="O632" s="8" t="s">
        <v>948</v>
      </c>
      <c r="P632" s="3"/>
      <c r="Q632" s="3" t="s">
        <v>771</v>
      </c>
      <c r="R632" s="3"/>
    </row>
    <row r="633" spans="1:18">
      <c r="A633" s="14"/>
      <c r="B633" s="9"/>
      <c r="C633" s="10" t="str">
        <f t="shared" si="111"/>
        <v/>
      </c>
      <c r="D633" s="9"/>
      <c r="E633" s="9" t="str">
        <f t="shared" si="112"/>
        <v>MINCHANG KIM</v>
      </c>
      <c r="F633" s="9"/>
      <c r="G633" s="3"/>
      <c r="H633" s="3"/>
      <c r="I633" s="8"/>
      <c r="J633" s="3"/>
      <c r="K633" s="3" t="s">
        <v>599</v>
      </c>
      <c r="L633" s="3"/>
      <c r="M633" s="8"/>
      <c r="N633" s="3"/>
      <c r="O633" s="3"/>
      <c r="P633" s="3"/>
      <c r="Q633" s="3" t="s">
        <v>949</v>
      </c>
      <c r="R633" s="3"/>
    </row>
    <row r="634" spans="1:18">
      <c r="A634" s="14"/>
      <c r="B634" s="9"/>
      <c r="C634" s="10" t="str">
        <f t="shared" si="111"/>
        <v/>
      </c>
      <c r="D634" s="9"/>
      <c r="E634" s="9" t="str">
        <f t="shared" si="112"/>
        <v>JAEWOOK JOO</v>
      </c>
      <c r="F634" s="9"/>
      <c r="G634" s="3"/>
      <c r="H634" s="3"/>
      <c r="I634" s="8"/>
      <c r="J634" s="3"/>
      <c r="K634" s="3" t="s">
        <v>600</v>
      </c>
      <c r="L634" s="3"/>
      <c r="M634" s="8"/>
      <c r="N634" s="3"/>
      <c r="O634" s="3"/>
      <c r="P634" s="3"/>
      <c r="Q634" s="3" t="s">
        <v>950</v>
      </c>
      <c r="R634" s="3"/>
    </row>
    <row r="635" spans="1:18">
      <c r="A635" s="14"/>
      <c r="B635" s="9"/>
      <c r="C635" s="10" t="str">
        <f t="shared" si="111"/>
        <v/>
      </c>
      <c r="D635" s="9"/>
      <c r="E635" s="9" t="str">
        <f t="shared" si="112"/>
        <v>NAMOK EU</v>
      </c>
      <c r="F635" s="9"/>
      <c r="G635" s="3"/>
      <c r="H635" s="3"/>
      <c r="I635" s="8"/>
      <c r="J635" s="3"/>
      <c r="K635" s="3" t="s">
        <v>601</v>
      </c>
      <c r="L635" s="3"/>
      <c r="M635" s="8"/>
      <c r="N635" s="3"/>
      <c r="O635" s="3"/>
      <c r="P635" s="3"/>
      <c r="Q635" s="3" t="s">
        <v>951</v>
      </c>
      <c r="R635" s="3"/>
    </row>
    <row r="636" spans="1:18">
      <c r="A636" s="14"/>
      <c r="B636" s="9"/>
      <c r="C636" s="10" t="str">
        <f t="shared" si="111"/>
        <v/>
      </c>
      <c r="D636" s="9"/>
      <c r="E636" s="9" t="str">
        <f t="shared" si="112"/>
        <v>DAI JEONG</v>
      </c>
      <c r="F636" s="9"/>
      <c r="G636" s="3"/>
      <c r="H636" s="3"/>
      <c r="I636" s="8"/>
      <c r="J636" s="3"/>
      <c r="K636" s="3" t="s">
        <v>602</v>
      </c>
      <c r="L636" s="3"/>
      <c r="M636" s="8"/>
      <c r="N636" s="3"/>
      <c r="O636" s="3"/>
      <c r="P636" s="3"/>
      <c r="Q636" s="3" t="s">
        <v>952</v>
      </c>
      <c r="R636" s="3"/>
    </row>
    <row r="637" spans="1:18">
      <c r="A637" s="14"/>
      <c r="B637" s="9"/>
      <c r="C637" s="10" t="str">
        <f t="shared" si="111"/>
        <v/>
      </c>
      <c r="D637" s="9"/>
      <c r="E637" s="9" t="str">
        <f t="shared" si="112"/>
        <v/>
      </c>
      <c r="F637" s="9"/>
      <c r="G637" s="3"/>
      <c r="H637" s="3"/>
      <c r="I637" s="8"/>
      <c r="J637" s="3"/>
      <c r="K637" s="3"/>
      <c r="L637" s="3"/>
      <c r="M637" s="8"/>
      <c r="N637" s="8"/>
      <c r="O637" s="8"/>
      <c r="P637" s="3"/>
      <c r="Q637" s="3"/>
      <c r="R637" s="3"/>
    </row>
    <row r="638" spans="1:18">
      <c r="A638" s="14"/>
      <c r="B638" s="3"/>
      <c r="C638" s="12"/>
      <c r="D638" s="3"/>
      <c r="E638" s="11"/>
      <c r="F638" s="3"/>
      <c r="G638" s="3"/>
      <c r="H638" s="8"/>
      <c r="I638" s="8"/>
      <c r="J638" s="8"/>
      <c r="K638" s="13"/>
      <c r="L638" s="8"/>
      <c r="M638" s="8"/>
      <c r="N638" s="8"/>
      <c r="O638" s="8"/>
      <c r="P638" s="3"/>
      <c r="Q638" s="3"/>
      <c r="R638" s="3"/>
    </row>
    <row r="639" spans="1:18">
      <c r="A639" s="14"/>
      <c r="B639" s="3"/>
      <c r="C639" s="12" t="str">
        <f>UPPER(I639)</f>
        <v/>
      </c>
      <c r="D639" s="11"/>
      <c r="E639" s="11" t="str">
        <f>UPPER(K639)</f>
        <v/>
      </c>
      <c r="F639" s="3"/>
      <c r="G639" s="3"/>
      <c r="H639" s="8"/>
      <c r="I639" s="8"/>
      <c r="J639" s="8"/>
      <c r="K639" s="13"/>
      <c r="L639" s="8"/>
      <c r="M639" s="8"/>
      <c r="N639" s="8"/>
      <c r="O639" s="8"/>
      <c r="P639" s="3"/>
      <c r="Q639" s="3"/>
      <c r="R639" s="3"/>
    </row>
    <row r="640" spans="1:18">
      <c r="A640" s="14"/>
      <c r="B640" s="3"/>
      <c r="C640" s="3"/>
      <c r="D640" s="3"/>
      <c r="E640" s="3"/>
      <c r="F640" s="3"/>
      <c r="G640" s="3"/>
      <c r="H640" s="3"/>
      <c r="I640" s="8"/>
      <c r="J640" s="3"/>
      <c r="K640" s="3"/>
      <c r="L640" s="3"/>
      <c r="M640" s="3"/>
      <c r="N640" s="3"/>
      <c r="O640" s="8"/>
      <c r="P640" s="3"/>
      <c r="Q640" s="3"/>
      <c r="R640" s="3"/>
    </row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</sheetData>
  <mergeCells count="203">
    <mergeCell ref="N162:R162"/>
    <mergeCell ref="N163:R163"/>
    <mergeCell ref="B141:F141"/>
    <mergeCell ref="H141:L141"/>
    <mergeCell ref="N141:R141"/>
    <mergeCell ref="B162:F162"/>
    <mergeCell ref="H162:L162"/>
    <mergeCell ref="B163:F163"/>
    <mergeCell ref="H163:L163"/>
    <mergeCell ref="H195:L195"/>
    <mergeCell ref="N195:R195"/>
    <mergeCell ref="B182:F182"/>
    <mergeCell ref="H182:L182"/>
    <mergeCell ref="N182:R182"/>
    <mergeCell ref="B183:F183"/>
    <mergeCell ref="H183:L183"/>
    <mergeCell ref="N183:R183"/>
    <mergeCell ref="B195:F195"/>
    <mergeCell ref="H215:L215"/>
    <mergeCell ref="N215:R215"/>
    <mergeCell ref="B199:F199"/>
    <mergeCell ref="H199:L199"/>
    <mergeCell ref="N199:R199"/>
    <mergeCell ref="B210:F210"/>
    <mergeCell ref="H210:L210"/>
    <mergeCell ref="N210:R210"/>
    <mergeCell ref="B215:F215"/>
    <mergeCell ref="H254:L254"/>
    <mergeCell ref="N254:R254"/>
    <mergeCell ref="B234:F234"/>
    <mergeCell ref="H234:L234"/>
    <mergeCell ref="N234:R234"/>
    <mergeCell ref="B235:F235"/>
    <mergeCell ref="H235:L235"/>
    <mergeCell ref="N235:R235"/>
    <mergeCell ref="B254:F254"/>
    <mergeCell ref="H283:L283"/>
    <mergeCell ref="N283:R283"/>
    <mergeCell ref="B268:F268"/>
    <mergeCell ref="H268:L268"/>
    <mergeCell ref="N268:R268"/>
    <mergeCell ref="B269:F269"/>
    <mergeCell ref="H269:L269"/>
    <mergeCell ref="N269:R269"/>
    <mergeCell ref="B283:F283"/>
    <mergeCell ref="N295:R295"/>
    <mergeCell ref="N296:R296"/>
    <mergeCell ref="B284:F284"/>
    <mergeCell ref="H284:L284"/>
    <mergeCell ref="N284:R284"/>
    <mergeCell ref="B295:F295"/>
    <mergeCell ref="H295:L295"/>
    <mergeCell ref="B296:F296"/>
    <mergeCell ref="H296:L296"/>
    <mergeCell ref="H331:L331"/>
    <mergeCell ref="N331:R331"/>
    <mergeCell ref="B319:F319"/>
    <mergeCell ref="H319:L319"/>
    <mergeCell ref="N319:R319"/>
    <mergeCell ref="B320:F320"/>
    <mergeCell ref="H320:L320"/>
    <mergeCell ref="N320:R320"/>
    <mergeCell ref="B331:F331"/>
    <mergeCell ref="N581:R581"/>
    <mergeCell ref="N582:R582"/>
    <mergeCell ref="B555:F555"/>
    <mergeCell ref="H555:L555"/>
    <mergeCell ref="N555:R555"/>
    <mergeCell ref="B581:F581"/>
    <mergeCell ref="H581:L581"/>
    <mergeCell ref="B582:F582"/>
    <mergeCell ref="H582:L582"/>
    <mergeCell ref="H440:L440"/>
    <mergeCell ref="N440:R440"/>
    <mergeCell ref="B420:F420"/>
    <mergeCell ref="H420:L420"/>
    <mergeCell ref="N420:R420"/>
    <mergeCell ref="B421:F421"/>
    <mergeCell ref="H421:L421"/>
    <mergeCell ref="N421:R421"/>
    <mergeCell ref="B440:F440"/>
    <mergeCell ref="H484:L484"/>
    <mergeCell ref="B485:F485"/>
    <mergeCell ref="H485:L485"/>
    <mergeCell ref="B459:F459"/>
    <mergeCell ref="H459:L459"/>
    <mergeCell ref="N459:R459"/>
    <mergeCell ref="B460:F460"/>
    <mergeCell ref="H460:L460"/>
    <mergeCell ref="B461:F461"/>
    <mergeCell ref="H461:L461"/>
    <mergeCell ref="N460:R460"/>
    <mergeCell ref="N461:R461"/>
    <mergeCell ref="B623:F623"/>
    <mergeCell ref="H623:L623"/>
    <mergeCell ref="N623:R623"/>
    <mergeCell ref="B337:F337"/>
    <mergeCell ref="H337:L337"/>
    <mergeCell ref="N337:R337"/>
    <mergeCell ref="B340:F340"/>
    <mergeCell ref="B354:F354"/>
    <mergeCell ref="N354:R354"/>
    <mergeCell ref="B355:F355"/>
    <mergeCell ref="N355:R355"/>
    <mergeCell ref="H354:L354"/>
    <mergeCell ref="H355:L355"/>
    <mergeCell ref="B377:F377"/>
    <mergeCell ref="H377:L377"/>
    <mergeCell ref="N377:R377"/>
    <mergeCell ref="B394:F394"/>
    <mergeCell ref="H394:L394"/>
    <mergeCell ref="H407:L407"/>
    <mergeCell ref="N407:R407"/>
    <mergeCell ref="N394:R394"/>
    <mergeCell ref="N399:R399"/>
    <mergeCell ref="B400:F400"/>
    <mergeCell ref="H400:L400"/>
    <mergeCell ref="N400:R400"/>
    <mergeCell ref="N405:R405"/>
    <mergeCell ref="B407:F407"/>
    <mergeCell ref="A1:R2"/>
    <mergeCell ref="B4:F4"/>
    <mergeCell ref="H4:L4"/>
    <mergeCell ref="N4:R4"/>
    <mergeCell ref="B27:F27"/>
    <mergeCell ref="H27:L27"/>
    <mergeCell ref="N27:R27"/>
    <mergeCell ref="B60:F60"/>
    <mergeCell ref="H60:L60"/>
    <mergeCell ref="N60:R60"/>
    <mergeCell ref="B61:F61"/>
    <mergeCell ref="H61:L61"/>
    <mergeCell ref="N61:R61"/>
    <mergeCell ref="B78:F78"/>
    <mergeCell ref="H100:L100"/>
    <mergeCell ref="N100:R100"/>
    <mergeCell ref="B79:F79"/>
    <mergeCell ref="H79:L79"/>
    <mergeCell ref="N79:R79"/>
    <mergeCell ref="B91:F91"/>
    <mergeCell ref="H91:L91"/>
    <mergeCell ref="N91:R91"/>
    <mergeCell ref="B100:F100"/>
    <mergeCell ref="H140:L140"/>
    <mergeCell ref="N140:R140"/>
    <mergeCell ref="B113:F113"/>
    <mergeCell ref="H113:L113"/>
    <mergeCell ref="N113:R113"/>
    <mergeCell ref="B114:F114"/>
    <mergeCell ref="H114:L114"/>
    <mergeCell ref="N114:R114"/>
    <mergeCell ref="B140:F140"/>
    <mergeCell ref="B441:F441"/>
    <mergeCell ref="H441:L441"/>
    <mergeCell ref="N441:R441"/>
    <mergeCell ref="N511:R511"/>
    <mergeCell ref="N512:R512"/>
    <mergeCell ref="B500:F500"/>
    <mergeCell ref="H500:L500"/>
    <mergeCell ref="N500:R500"/>
    <mergeCell ref="B511:F511"/>
    <mergeCell ref="H511:L511"/>
    <mergeCell ref="B512:F512"/>
    <mergeCell ref="H512:L512"/>
    <mergeCell ref="H464:L464"/>
    <mergeCell ref="B471:F471"/>
    <mergeCell ref="H471:L471"/>
    <mergeCell ref="B472:F472"/>
    <mergeCell ref="H472:L472"/>
    <mergeCell ref="N484:R484"/>
    <mergeCell ref="N485:R485"/>
    <mergeCell ref="N486:R486"/>
    <mergeCell ref="N471:R471"/>
    <mergeCell ref="N472:R472"/>
    <mergeCell ref="H475:L475"/>
    <mergeCell ref="B484:F484"/>
    <mergeCell ref="N552:R552"/>
    <mergeCell ref="N553:R553"/>
    <mergeCell ref="B526:F526"/>
    <mergeCell ref="H526:L526"/>
    <mergeCell ref="N526:R526"/>
    <mergeCell ref="B552:F552"/>
    <mergeCell ref="H552:L552"/>
    <mergeCell ref="B553:F553"/>
    <mergeCell ref="H553:L553"/>
    <mergeCell ref="N607:R607"/>
    <mergeCell ref="N608:R608"/>
    <mergeCell ref="B584:F584"/>
    <mergeCell ref="H584:L584"/>
    <mergeCell ref="N584:R584"/>
    <mergeCell ref="B607:F607"/>
    <mergeCell ref="H607:L607"/>
    <mergeCell ref="B608:F608"/>
    <mergeCell ref="H608:L608"/>
    <mergeCell ref="N620:R620"/>
    <mergeCell ref="N621:R621"/>
    <mergeCell ref="B610:F610"/>
    <mergeCell ref="H610:L610"/>
    <mergeCell ref="N610:R610"/>
    <mergeCell ref="B620:F620"/>
    <mergeCell ref="H620:L620"/>
    <mergeCell ref="B621:F621"/>
    <mergeCell ref="H621:L621"/>
  </mergeCells>
  <phoneticPr fontId="5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R733"/>
  <sheetViews>
    <sheetView workbookViewId="0">
      <pane ySplit="2" topLeftCell="A39" activePane="bottomLeft" state="frozen"/>
      <selection pane="bottomLeft" sqref="A1:R2"/>
    </sheetView>
  </sheetViews>
  <sheetFormatPr defaultColWidth="12.5703125" defaultRowHeight="15.75" customHeight="1"/>
  <cols>
    <col min="1" max="1" width="2.5703125" customWidth="1"/>
    <col min="2" max="3" width="18.85546875" customWidth="1"/>
    <col min="4" max="4" width="1.42578125" customWidth="1"/>
    <col min="5" max="6" width="18.85546875" customWidth="1"/>
    <col min="7" max="7" width="1.42578125" customWidth="1"/>
    <col min="8" max="9" width="18.85546875" customWidth="1"/>
    <col min="10" max="10" width="1.42578125" customWidth="1"/>
    <col min="11" max="12" width="18.85546875" customWidth="1"/>
    <col min="13" max="13" width="1.42578125" customWidth="1"/>
    <col min="16" max="16" width="1.42578125" customWidth="1"/>
  </cols>
  <sheetData>
    <row r="1" spans="1:18">
      <c r="A1" s="152" t="s">
        <v>696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</row>
    <row r="2" spans="1:18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</row>
    <row r="3" spans="1:18">
      <c r="A3" s="1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72"/>
      <c r="P3" s="5"/>
      <c r="Q3" s="5"/>
      <c r="R3" s="5"/>
    </row>
    <row r="4" spans="1:18">
      <c r="A4" s="14"/>
      <c r="B4" s="150" t="str">
        <f>UPPER(H4)</f>
        <v>VOICE</v>
      </c>
      <c r="C4" s="141"/>
      <c r="D4" s="141"/>
      <c r="E4" s="141"/>
      <c r="F4" s="141"/>
      <c r="G4" s="18"/>
      <c r="H4" s="167" t="s">
        <v>157</v>
      </c>
      <c r="I4" s="141"/>
      <c r="J4" s="141"/>
      <c r="K4" s="141"/>
      <c r="L4" s="141"/>
      <c r="M4" s="18"/>
      <c r="N4" s="149" t="s">
        <v>777</v>
      </c>
      <c r="O4" s="141"/>
      <c r="P4" s="141"/>
      <c r="Q4" s="141"/>
      <c r="R4" s="141"/>
    </row>
    <row r="5" spans="1:18">
      <c r="A5" s="14"/>
      <c r="B5" s="9"/>
      <c r="C5" s="10" t="str">
        <f t="shared" ref="C5:C24" si="0">UPPER(I5)</f>
        <v>MICHAEL</v>
      </c>
      <c r="D5" s="9"/>
      <c r="E5" s="9" t="str">
        <f t="shared" ref="E5:E23" si="1">UPPER(K5)</f>
        <v>MARC THOMPSON</v>
      </c>
      <c r="F5" s="9"/>
      <c r="G5" s="3"/>
      <c r="H5" s="3"/>
      <c r="I5" s="8" t="s">
        <v>158</v>
      </c>
      <c r="J5" s="3"/>
      <c r="K5" s="2" t="s">
        <v>10</v>
      </c>
      <c r="L5" s="3"/>
      <c r="M5" s="8"/>
      <c r="N5" s="8"/>
      <c r="O5" s="8" t="s">
        <v>778</v>
      </c>
      <c r="P5" s="3"/>
      <c r="Q5" s="3" t="s">
        <v>117</v>
      </c>
      <c r="R5" s="3"/>
    </row>
    <row r="6" spans="1:18">
      <c r="A6" s="14"/>
      <c r="B6" s="9"/>
      <c r="C6" s="10" t="str">
        <f t="shared" si="0"/>
        <v>LUCY</v>
      </c>
      <c r="D6" s="9"/>
      <c r="E6" s="9" t="str">
        <f t="shared" si="1"/>
        <v>SAMANTHA COOPER</v>
      </c>
      <c r="F6" s="9"/>
      <c r="G6" s="3"/>
      <c r="H6" s="3"/>
      <c r="I6" s="8" t="s">
        <v>159</v>
      </c>
      <c r="J6" s="3"/>
      <c r="K6" s="2" t="s">
        <v>37</v>
      </c>
      <c r="L6" s="3"/>
      <c r="M6" s="8"/>
      <c r="N6" s="8"/>
      <c r="O6" s="8" t="s">
        <v>779</v>
      </c>
      <c r="P6" s="3"/>
      <c r="Q6" s="3" t="s">
        <v>118</v>
      </c>
      <c r="R6" s="3"/>
    </row>
    <row r="7" spans="1:18">
      <c r="A7" s="14"/>
      <c r="B7" s="9"/>
      <c r="C7" s="10" t="str">
        <f t="shared" si="0"/>
        <v>NICK</v>
      </c>
      <c r="D7" s="9"/>
      <c r="E7" s="9" t="str">
        <f t="shared" si="1"/>
        <v>JAMES BROWN JR</v>
      </c>
      <c r="F7" s="9"/>
      <c r="G7" s="3"/>
      <c r="H7" s="3"/>
      <c r="I7" s="8" t="s">
        <v>42</v>
      </c>
      <c r="J7" s="3"/>
      <c r="K7" s="2" t="s">
        <v>43</v>
      </c>
      <c r="L7" s="3"/>
      <c r="M7" s="8"/>
      <c r="N7" s="8"/>
      <c r="O7" s="8" t="s">
        <v>119</v>
      </c>
      <c r="P7" s="3"/>
      <c r="Q7" s="3" t="s">
        <v>120</v>
      </c>
      <c r="R7" s="3"/>
    </row>
    <row r="8" spans="1:18">
      <c r="A8" s="14"/>
      <c r="B8" s="9"/>
      <c r="C8" s="10" t="str">
        <f t="shared" si="0"/>
        <v>CRYING MAN</v>
      </c>
      <c r="D8" s="9"/>
      <c r="E8" s="9" t="str">
        <f t="shared" si="1"/>
        <v>BARRETT LEDDY</v>
      </c>
      <c r="F8" s="9"/>
      <c r="G8" s="3"/>
      <c r="H8" s="3"/>
      <c r="I8" s="8" t="s">
        <v>160</v>
      </c>
      <c r="J8" s="3"/>
      <c r="K8" s="2" t="s">
        <v>1</v>
      </c>
      <c r="L8" s="3"/>
      <c r="M8" s="8"/>
      <c r="N8" s="8"/>
      <c r="O8" s="8" t="s">
        <v>74</v>
      </c>
      <c r="P8" s="3"/>
      <c r="Q8" s="3" t="s">
        <v>75</v>
      </c>
      <c r="R8" s="3"/>
    </row>
    <row r="9" spans="1:18">
      <c r="A9" s="14"/>
      <c r="B9" s="9"/>
      <c r="C9" s="10" t="str">
        <f t="shared" si="0"/>
        <v>HUMMINGBIRD MAN</v>
      </c>
      <c r="D9" s="9"/>
      <c r="E9" s="9" t="str">
        <f t="shared" si="1"/>
        <v>ROBB MOREIRA</v>
      </c>
      <c r="F9" s="9"/>
      <c r="G9" s="3"/>
      <c r="H9" s="3"/>
      <c r="I9" s="8" t="s">
        <v>2</v>
      </c>
      <c r="J9" s="3"/>
      <c r="K9" s="22" t="s">
        <v>6</v>
      </c>
      <c r="L9" s="3"/>
      <c r="M9" s="8"/>
      <c r="N9" s="8"/>
      <c r="O9" s="8" t="s">
        <v>76</v>
      </c>
      <c r="P9" s="3"/>
      <c r="Q9" s="3" t="s">
        <v>77</v>
      </c>
      <c r="R9" s="3"/>
    </row>
    <row r="10" spans="1:18">
      <c r="A10" s="14"/>
      <c r="B10" s="9"/>
      <c r="C10" s="10" t="str">
        <f t="shared" si="0"/>
        <v>LOCUST MAN</v>
      </c>
      <c r="D10" s="9"/>
      <c r="E10" s="9" t="str">
        <f t="shared" si="1"/>
        <v>ADIN RUDD</v>
      </c>
      <c r="F10" s="9"/>
      <c r="G10" s="3"/>
      <c r="H10" s="3"/>
      <c r="I10" s="36" t="s">
        <v>604</v>
      </c>
      <c r="J10" s="2"/>
      <c r="K10" s="2" t="s">
        <v>14</v>
      </c>
      <c r="L10" s="3"/>
      <c r="M10" s="8"/>
      <c r="N10" s="8"/>
      <c r="O10" s="8" t="s">
        <v>99</v>
      </c>
      <c r="P10" s="3"/>
      <c r="Q10" s="3" t="s">
        <v>100</v>
      </c>
      <c r="R10" s="3"/>
    </row>
    <row r="11" spans="1:18">
      <c r="A11" s="14"/>
      <c r="B11" s="9"/>
      <c r="C11" s="10" t="str">
        <f t="shared" si="0"/>
        <v>SUGARSUGAR PANGPANG</v>
      </c>
      <c r="D11" s="9"/>
      <c r="E11" s="9" t="str">
        <f t="shared" si="1"/>
        <v>JENNY YOKOBORI</v>
      </c>
      <c r="F11" s="9"/>
      <c r="G11" s="3"/>
      <c r="H11" s="3"/>
      <c r="I11" s="8" t="s">
        <v>11</v>
      </c>
      <c r="J11" s="3"/>
      <c r="K11" s="22" t="s">
        <v>12</v>
      </c>
      <c r="L11" s="3"/>
      <c r="M11" s="8"/>
      <c r="N11" s="8"/>
      <c r="O11" s="8" t="s">
        <v>86</v>
      </c>
      <c r="P11" s="3"/>
      <c r="Q11" s="3" t="s">
        <v>87</v>
      </c>
      <c r="R11" s="3"/>
    </row>
    <row r="12" spans="1:18">
      <c r="A12" s="14"/>
      <c r="B12" s="9"/>
      <c r="C12" s="10" t="str">
        <f t="shared" si="0"/>
        <v>TARA</v>
      </c>
      <c r="D12" s="9"/>
      <c r="E12" s="9" t="str">
        <f t="shared" si="1"/>
        <v>JUSTIS BOLDING</v>
      </c>
      <c r="F12" s="9"/>
      <c r="G12" s="3"/>
      <c r="H12" s="3"/>
      <c r="I12" s="8" t="s">
        <v>44</v>
      </c>
      <c r="J12" s="3"/>
      <c r="K12" s="22" t="s">
        <v>45</v>
      </c>
      <c r="L12" s="3"/>
      <c r="M12" s="8"/>
      <c r="N12" s="8"/>
      <c r="O12" s="8" t="s">
        <v>121</v>
      </c>
      <c r="P12" s="3"/>
      <c r="Q12" s="3" t="s">
        <v>87</v>
      </c>
      <c r="R12" s="3"/>
    </row>
    <row r="13" spans="1:18">
      <c r="A13" s="14"/>
      <c r="B13" s="9"/>
      <c r="C13" s="10" t="str">
        <f t="shared" si="0"/>
        <v>MRS. CUBBENSON</v>
      </c>
      <c r="D13" s="9"/>
      <c r="E13" s="9" t="str">
        <f t="shared" si="1"/>
        <v>ERICA SCHROEDER</v>
      </c>
      <c r="F13" s="9"/>
      <c r="G13" s="3"/>
      <c r="H13" s="3"/>
      <c r="I13" s="36" t="s">
        <v>697</v>
      </c>
      <c r="K13" s="2" t="s">
        <v>16</v>
      </c>
      <c r="L13" s="3"/>
      <c r="M13" s="8"/>
      <c r="N13" s="8"/>
      <c r="O13" s="8" t="s">
        <v>146</v>
      </c>
      <c r="P13" s="3"/>
      <c r="Q13" s="3" t="s">
        <v>118</v>
      </c>
      <c r="R13" s="3"/>
    </row>
    <row r="14" spans="1:18">
      <c r="A14" s="14"/>
      <c r="B14" s="9"/>
      <c r="C14" s="10" t="str">
        <f t="shared" si="0"/>
        <v>MR. JUSTICE</v>
      </c>
      <c r="D14" s="9"/>
      <c r="E14" s="9" t="str">
        <f t="shared" si="1"/>
        <v>MARC THOMPSON</v>
      </c>
      <c r="F14" s="9"/>
      <c r="G14" s="3"/>
      <c r="H14" s="3"/>
      <c r="I14" s="36" t="s">
        <v>698</v>
      </c>
      <c r="K14" s="2" t="s">
        <v>10</v>
      </c>
      <c r="L14" s="3"/>
      <c r="M14" s="8"/>
      <c r="N14" s="8"/>
      <c r="O14" s="8" t="s">
        <v>109</v>
      </c>
      <c r="P14" s="3"/>
      <c r="Q14" s="3" t="s">
        <v>100</v>
      </c>
      <c r="R14" s="3"/>
    </row>
    <row r="15" spans="1:18">
      <c r="A15" s="14"/>
      <c r="B15" s="9"/>
      <c r="C15" s="10" t="str">
        <f t="shared" si="0"/>
        <v>PAPA PRINCESS</v>
      </c>
      <c r="D15" s="9"/>
      <c r="E15" s="9" t="str">
        <f t="shared" si="1"/>
        <v>DINESH ALVIS</v>
      </c>
      <c r="F15" s="9"/>
      <c r="G15" s="3"/>
      <c r="H15" s="3"/>
      <c r="I15" s="36" t="s">
        <v>54</v>
      </c>
      <c r="J15" s="2"/>
      <c r="K15" s="2" t="s">
        <v>55</v>
      </c>
      <c r="L15" s="3"/>
      <c r="M15" s="8"/>
      <c r="N15" s="8"/>
      <c r="O15" s="8" t="s">
        <v>133</v>
      </c>
      <c r="P15" s="3"/>
      <c r="Q15" s="3" t="s">
        <v>75</v>
      </c>
      <c r="R15" s="3"/>
    </row>
    <row r="16" spans="1:18">
      <c r="A16" s="14"/>
      <c r="B16" s="9"/>
      <c r="C16" s="10" t="str">
        <f t="shared" si="0"/>
        <v>KAY-OH</v>
      </c>
      <c r="D16" s="9"/>
      <c r="E16" s="9" t="str">
        <f t="shared" si="1"/>
        <v>JENNY YOKOBORI</v>
      </c>
      <c r="F16" s="9"/>
      <c r="G16" s="3"/>
      <c r="H16" s="3"/>
      <c r="I16" s="36" t="s">
        <v>33</v>
      </c>
      <c r="J16" s="3"/>
      <c r="K16" s="22" t="s">
        <v>12</v>
      </c>
      <c r="L16" s="3"/>
      <c r="M16" s="8"/>
      <c r="N16" s="8"/>
      <c r="O16" s="8" t="s">
        <v>110</v>
      </c>
      <c r="P16" s="3"/>
      <c r="Q16" s="3" t="s">
        <v>111</v>
      </c>
      <c r="R16" s="3"/>
    </row>
    <row r="17" spans="1:18">
      <c r="A17" s="14"/>
      <c r="B17" s="9"/>
      <c r="C17" s="10" t="str">
        <f t="shared" si="0"/>
        <v>SKULL CRUSHER</v>
      </c>
      <c r="D17" s="9"/>
      <c r="E17" s="9" t="str">
        <f t="shared" si="1"/>
        <v>VALORY PIERCE</v>
      </c>
      <c r="F17" s="9"/>
      <c r="G17" s="3"/>
      <c r="H17" s="3"/>
      <c r="I17" s="36" t="s">
        <v>52</v>
      </c>
      <c r="J17" s="2"/>
      <c r="K17" s="2" t="s">
        <v>53</v>
      </c>
      <c r="L17" s="3"/>
      <c r="M17" s="8"/>
      <c r="N17" s="8"/>
      <c r="O17" s="8" t="s">
        <v>132</v>
      </c>
      <c r="P17" s="3"/>
      <c r="Q17" s="3" t="s">
        <v>83</v>
      </c>
      <c r="R17" s="3"/>
    </row>
    <row r="18" spans="1:18">
      <c r="A18" s="14"/>
      <c r="B18" s="9"/>
      <c r="C18" s="10" t="str">
        <f t="shared" si="0"/>
        <v>DONNY</v>
      </c>
      <c r="D18" s="9"/>
      <c r="E18" s="9" t="str">
        <f t="shared" si="1"/>
        <v>LUCAS SCHUNEMAN</v>
      </c>
      <c r="F18" s="9"/>
      <c r="G18" s="3"/>
      <c r="H18" s="3"/>
      <c r="I18" s="36" t="s">
        <v>73</v>
      </c>
      <c r="J18" s="3"/>
      <c r="K18" s="24" t="s">
        <v>4</v>
      </c>
      <c r="L18" s="3"/>
      <c r="M18" s="8"/>
      <c r="N18" s="8"/>
      <c r="O18" s="8" t="s">
        <v>147</v>
      </c>
      <c r="P18" s="3"/>
      <c r="Q18" s="3" t="s">
        <v>81</v>
      </c>
      <c r="R18" s="3"/>
    </row>
    <row r="19" spans="1:18">
      <c r="A19" s="14"/>
      <c r="B19" s="9"/>
      <c r="C19" s="10" t="str">
        <f t="shared" si="0"/>
        <v>STREAMER</v>
      </c>
      <c r="D19" s="9"/>
      <c r="E19" s="9" t="str">
        <f t="shared" si="1"/>
        <v>ROBB MOREIRA</v>
      </c>
      <c r="F19" s="9"/>
      <c r="G19" s="3"/>
      <c r="H19" s="3"/>
      <c r="I19" s="8" t="s">
        <v>699</v>
      </c>
      <c r="J19" s="3"/>
      <c r="K19" s="22" t="s">
        <v>6</v>
      </c>
      <c r="L19" s="3"/>
      <c r="M19" s="8"/>
      <c r="N19" s="8"/>
      <c r="O19" s="8" t="s">
        <v>967</v>
      </c>
      <c r="P19" s="3"/>
      <c r="Q19" s="3" t="s">
        <v>117</v>
      </c>
      <c r="R19" s="3"/>
    </row>
    <row r="20" spans="1:18">
      <c r="A20" s="14"/>
      <c r="B20" s="9"/>
      <c r="C20" s="10" t="str">
        <f t="shared" si="0"/>
        <v/>
      </c>
      <c r="D20" s="9"/>
      <c r="E20" s="9" t="str">
        <f t="shared" si="1"/>
        <v/>
      </c>
      <c r="F20" s="9"/>
      <c r="G20" s="3"/>
      <c r="H20" s="3"/>
      <c r="I20" s="8"/>
      <c r="J20" s="3"/>
      <c r="K20" s="31"/>
      <c r="L20" s="3"/>
      <c r="M20" s="8"/>
      <c r="N20" s="8"/>
      <c r="O20" s="8"/>
      <c r="P20" s="3"/>
      <c r="Q20" s="3"/>
      <c r="R20" s="3"/>
    </row>
    <row r="21" spans="1:18">
      <c r="A21" s="14"/>
      <c r="B21" s="9"/>
      <c r="C21" s="10" t="str">
        <f t="shared" si="0"/>
        <v/>
      </c>
      <c r="D21" s="9"/>
      <c r="E21" s="9" t="str">
        <f t="shared" si="1"/>
        <v/>
      </c>
      <c r="F21" s="9"/>
      <c r="G21" s="3"/>
      <c r="H21" s="3"/>
      <c r="I21" s="36"/>
      <c r="J21" s="3"/>
      <c r="K21" s="31"/>
      <c r="L21" s="3"/>
      <c r="M21" s="8"/>
      <c r="N21" s="8"/>
      <c r="O21" s="8"/>
      <c r="P21" s="3"/>
      <c r="Q21" s="3"/>
      <c r="R21" s="3"/>
    </row>
    <row r="22" spans="1:18">
      <c r="A22" s="14"/>
      <c r="B22" s="9"/>
      <c r="C22" s="10" t="str">
        <f t="shared" si="0"/>
        <v/>
      </c>
      <c r="D22" s="9"/>
      <c r="E22" s="9" t="str">
        <f t="shared" si="1"/>
        <v/>
      </c>
      <c r="F22" s="9"/>
      <c r="G22" s="3"/>
      <c r="H22" s="3"/>
      <c r="I22" s="36"/>
      <c r="J22" s="3"/>
      <c r="K22" s="31"/>
      <c r="L22" s="3"/>
      <c r="M22" s="8"/>
      <c r="N22" s="8"/>
      <c r="O22" s="8"/>
      <c r="P22" s="3"/>
      <c r="Q22" s="3"/>
      <c r="R22" s="3"/>
    </row>
    <row r="23" spans="1:18">
      <c r="A23" s="14"/>
      <c r="B23" s="9"/>
      <c r="C23" s="10" t="str">
        <f t="shared" si="0"/>
        <v/>
      </c>
      <c r="D23" s="9"/>
      <c r="E23" s="9" t="str">
        <f t="shared" si="1"/>
        <v/>
      </c>
      <c r="F23" s="9"/>
      <c r="G23" s="3"/>
      <c r="H23" s="3"/>
      <c r="I23" s="8"/>
      <c r="J23" s="3"/>
      <c r="K23" s="31"/>
      <c r="L23" s="3"/>
      <c r="M23" s="8"/>
      <c r="N23" s="8"/>
      <c r="O23" s="8"/>
      <c r="P23" s="3"/>
      <c r="Q23" s="3"/>
      <c r="R23" s="3"/>
    </row>
    <row r="24" spans="1:18">
      <c r="A24" s="14"/>
      <c r="B24" s="9"/>
      <c r="C24" s="10" t="str">
        <f t="shared" si="0"/>
        <v/>
      </c>
      <c r="D24" s="9"/>
      <c r="E24" s="9"/>
      <c r="F24" s="9"/>
      <c r="G24" s="3"/>
      <c r="H24" s="3"/>
      <c r="I24" s="8"/>
      <c r="J24" s="3"/>
      <c r="K24" s="25"/>
      <c r="L24" s="3"/>
      <c r="M24" s="8"/>
      <c r="N24" s="8"/>
      <c r="O24" s="8"/>
      <c r="P24" s="3"/>
      <c r="Q24" s="3"/>
      <c r="R24" s="3"/>
    </row>
    <row r="25" spans="1:18">
      <c r="A25" s="14"/>
      <c r="B25" s="11"/>
      <c r="C25" s="12"/>
      <c r="D25" s="11"/>
      <c r="E25" s="11"/>
      <c r="F25" s="11"/>
      <c r="G25" s="3"/>
      <c r="H25" s="3"/>
      <c r="I25" s="8"/>
      <c r="J25" s="3"/>
      <c r="K25" s="25"/>
      <c r="L25" s="3"/>
      <c r="M25" s="8"/>
      <c r="N25" s="8"/>
      <c r="O25" s="8"/>
      <c r="P25" s="3"/>
      <c r="Q25" s="3"/>
      <c r="R25" s="3"/>
    </row>
    <row r="26" spans="1:18">
      <c r="A26" s="14"/>
      <c r="B26" s="9"/>
      <c r="C26" s="10"/>
      <c r="D26" s="9"/>
      <c r="E26" s="9"/>
      <c r="F26" s="9"/>
      <c r="G26" s="3"/>
      <c r="H26" s="3"/>
      <c r="I26" s="8"/>
      <c r="J26" s="3"/>
      <c r="K26" s="25"/>
      <c r="L26" s="3"/>
      <c r="M26" s="8"/>
      <c r="N26" s="8"/>
      <c r="O26" s="8"/>
      <c r="P26" s="3"/>
      <c r="Q26" s="3"/>
      <c r="R26" s="3"/>
    </row>
    <row r="27" spans="1:18">
      <c r="A27" s="14"/>
      <c r="B27" s="150" t="str">
        <f>UPPER(H27)</f>
        <v>VOICE</v>
      </c>
      <c r="C27" s="141"/>
      <c r="D27" s="141"/>
      <c r="E27" s="141"/>
      <c r="F27" s="141"/>
      <c r="G27" s="18"/>
      <c r="H27" s="167" t="s">
        <v>157</v>
      </c>
      <c r="I27" s="141"/>
      <c r="J27" s="141"/>
      <c r="K27" s="141"/>
      <c r="L27" s="141"/>
      <c r="M27" s="18"/>
      <c r="N27" s="172" t="s">
        <v>968</v>
      </c>
      <c r="O27" s="141"/>
      <c r="P27" s="141"/>
      <c r="Q27" s="141"/>
      <c r="R27" s="141"/>
    </row>
    <row r="28" spans="1:18">
      <c r="A28" s="14"/>
      <c r="B28" s="9"/>
      <c r="C28" s="10" t="str">
        <f t="shared" ref="C28:C33" si="2">UPPER(I28)</f>
        <v>OTHER VOICES</v>
      </c>
      <c r="D28" s="9"/>
      <c r="E28" s="9" t="str">
        <f t="shared" ref="E28:E34" si="3">UPPER(K28)</f>
        <v xml:space="preserve">ALLEN WINTER </v>
      </c>
      <c r="F28" s="9"/>
      <c r="G28" s="3"/>
      <c r="H28" s="3"/>
      <c r="I28" s="8" t="s">
        <v>165</v>
      </c>
      <c r="J28" s="3"/>
      <c r="K28" s="23" t="s">
        <v>34</v>
      </c>
      <c r="L28" s="3"/>
      <c r="M28" s="8"/>
      <c r="N28" s="8"/>
      <c r="O28" s="8"/>
      <c r="P28" s="3"/>
      <c r="Q28" s="3"/>
      <c r="R28" s="3"/>
    </row>
    <row r="29" spans="1:18">
      <c r="A29" s="14"/>
      <c r="B29" s="9"/>
      <c r="C29" s="10" t="str">
        <f t="shared" si="2"/>
        <v/>
      </c>
      <c r="D29" s="9"/>
      <c r="E29" s="9" t="str">
        <f t="shared" si="3"/>
        <v>AMANDA HUFFORD</v>
      </c>
      <c r="F29" s="9"/>
      <c r="G29" s="3"/>
      <c r="H29" s="3"/>
      <c r="I29" s="8"/>
      <c r="J29" s="3"/>
      <c r="K29" s="14" t="s">
        <v>18</v>
      </c>
      <c r="L29" s="3"/>
      <c r="M29" s="8"/>
      <c r="N29" s="8"/>
      <c r="O29" s="8"/>
      <c r="P29" s="3"/>
      <c r="Q29" s="3"/>
      <c r="R29" s="3"/>
    </row>
    <row r="30" spans="1:18">
      <c r="A30" s="14"/>
      <c r="B30" s="9"/>
      <c r="C30" s="10" t="str">
        <f t="shared" si="2"/>
        <v/>
      </c>
      <c r="D30" s="9"/>
      <c r="E30" s="9" t="str">
        <f t="shared" si="3"/>
        <v>MARC THOMPSON</v>
      </c>
      <c r="F30" s="9"/>
      <c r="G30" s="3"/>
      <c r="H30" s="3"/>
      <c r="I30" s="8"/>
      <c r="J30" s="3"/>
      <c r="K30" s="2" t="s">
        <v>10</v>
      </c>
      <c r="L30" s="3"/>
      <c r="M30" s="8"/>
      <c r="N30" s="8"/>
      <c r="O30" s="8"/>
      <c r="P30" s="3"/>
      <c r="Q30" s="3"/>
      <c r="R30" s="3"/>
    </row>
    <row r="31" spans="1:18">
      <c r="A31" s="14"/>
      <c r="B31" s="9"/>
      <c r="C31" s="10" t="str">
        <f t="shared" si="2"/>
        <v/>
      </c>
      <c r="D31" s="9"/>
      <c r="E31" s="9" t="str">
        <f t="shared" si="3"/>
        <v>SAMANTHA COOPER</v>
      </c>
      <c r="F31" s="9"/>
      <c r="G31" s="3"/>
      <c r="H31" s="3"/>
      <c r="I31" s="8"/>
      <c r="J31" s="3"/>
      <c r="K31" s="2" t="s">
        <v>37</v>
      </c>
      <c r="L31" s="3"/>
      <c r="M31" s="8"/>
      <c r="N31" s="8"/>
      <c r="O31" s="8"/>
      <c r="P31" s="3"/>
      <c r="Q31" s="3"/>
      <c r="R31" s="3"/>
    </row>
    <row r="32" spans="1:18">
      <c r="A32" s="14"/>
      <c r="B32" s="9"/>
      <c r="C32" s="10" t="str">
        <f t="shared" si="2"/>
        <v/>
      </c>
      <c r="D32" s="9"/>
      <c r="E32" s="9" t="str">
        <f t="shared" si="3"/>
        <v>JASON GRIFFITH</v>
      </c>
      <c r="F32" s="9"/>
      <c r="G32" s="3"/>
      <c r="H32" s="3"/>
      <c r="I32" s="8"/>
      <c r="J32" s="3"/>
      <c r="K32" s="24" t="s">
        <v>23</v>
      </c>
      <c r="L32" s="3"/>
      <c r="M32" s="8"/>
      <c r="N32" s="8"/>
      <c r="O32" s="8"/>
      <c r="P32" s="3"/>
      <c r="Q32" s="3"/>
      <c r="R32" s="3"/>
    </row>
    <row r="33" spans="1:18">
      <c r="A33" s="14"/>
      <c r="B33" s="9"/>
      <c r="C33" s="10" t="str">
        <f t="shared" si="2"/>
        <v/>
      </c>
      <c r="D33" s="9"/>
      <c r="E33" s="9" t="str">
        <f t="shared" si="3"/>
        <v/>
      </c>
      <c r="F33" s="9"/>
      <c r="G33" s="3"/>
      <c r="H33" s="3"/>
      <c r="I33" s="8"/>
      <c r="J33" s="3"/>
      <c r="K33" s="14"/>
      <c r="L33" s="3"/>
      <c r="M33" s="8"/>
      <c r="N33" s="8"/>
      <c r="O33" s="8"/>
      <c r="P33" s="3"/>
      <c r="Q33" s="3"/>
      <c r="R33" s="3"/>
    </row>
    <row r="34" spans="1:18">
      <c r="A34" s="14"/>
      <c r="B34" s="11" t="str">
        <f t="shared" ref="B34:C34" si="4">UPPER(H34)</f>
        <v/>
      </c>
      <c r="C34" s="12" t="str">
        <f t="shared" si="4"/>
        <v/>
      </c>
      <c r="D34" s="11"/>
      <c r="E34" s="11" t="str">
        <f t="shared" si="3"/>
        <v/>
      </c>
      <c r="F34" s="11"/>
      <c r="G34" s="3"/>
      <c r="H34" s="3"/>
      <c r="I34" s="8"/>
      <c r="J34" s="3"/>
      <c r="K34" s="13"/>
      <c r="L34" s="3"/>
      <c r="M34" s="8"/>
      <c r="N34" s="8"/>
      <c r="O34" s="8"/>
      <c r="P34" s="3"/>
      <c r="Q34" s="3"/>
      <c r="R34" s="3"/>
    </row>
    <row r="35" spans="1:18">
      <c r="A35" s="14"/>
      <c r="B35" s="9"/>
      <c r="C35" s="10"/>
      <c r="D35" s="9"/>
      <c r="E35" s="9"/>
      <c r="F35" s="9"/>
      <c r="G35" s="3"/>
      <c r="H35" s="3"/>
      <c r="I35" s="8"/>
      <c r="J35" s="3"/>
      <c r="K35" s="3"/>
      <c r="L35" s="3"/>
      <c r="M35" s="8"/>
      <c r="N35" s="8"/>
      <c r="O35" s="8"/>
      <c r="P35" s="3"/>
      <c r="Q35" s="3"/>
      <c r="R35" s="3"/>
    </row>
    <row r="36" spans="1:18">
      <c r="A36" s="14"/>
      <c r="B36" s="9"/>
      <c r="C36" s="10" t="str">
        <f t="shared" ref="C36:C50" si="5">UPPER(I36)</f>
        <v>DIRECTOR</v>
      </c>
      <c r="D36" s="9"/>
      <c r="E36" s="9" t="str">
        <f t="shared" ref="E36:E50" si="6">UPPER(K36)</f>
        <v>JOOGONG MAENG</v>
      </c>
      <c r="F36" s="9"/>
      <c r="G36" s="3"/>
      <c r="H36" s="3"/>
      <c r="I36" s="8" t="s">
        <v>168</v>
      </c>
      <c r="J36" s="3"/>
      <c r="K36" s="3" t="s">
        <v>148</v>
      </c>
      <c r="L36" s="3"/>
      <c r="M36" s="8"/>
      <c r="N36" s="8"/>
      <c r="O36" s="8" t="s">
        <v>783</v>
      </c>
      <c r="P36" s="3"/>
      <c r="Q36" s="3" t="s">
        <v>769</v>
      </c>
      <c r="R36" s="3"/>
    </row>
    <row r="37" spans="1:18">
      <c r="A37" s="14"/>
      <c r="B37" s="9"/>
      <c r="C37" s="10" t="str">
        <f t="shared" si="5"/>
        <v/>
      </c>
      <c r="D37" s="9"/>
      <c r="E37" s="9" t="str">
        <f t="shared" si="6"/>
        <v/>
      </c>
      <c r="F37" s="9"/>
      <c r="G37" s="3"/>
      <c r="H37" s="3"/>
      <c r="I37" s="8"/>
      <c r="J37" s="3"/>
      <c r="K37" s="13"/>
      <c r="L37" s="3"/>
      <c r="M37" s="8"/>
      <c r="N37" s="8"/>
      <c r="O37" s="3"/>
      <c r="P37" s="3"/>
      <c r="Q37" s="3"/>
      <c r="R37" s="3"/>
    </row>
    <row r="38" spans="1:18">
      <c r="A38" s="14"/>
      <c r="B38" s="9"/>
      <c r="C38" s="10" t="str">
        <f t="shared" si="5"/>
        <v>CO-DIRECTOR</v>
      </c>
      <c r="D38" s="9"/>
      <c r="E38" s="9" t="str">
        <f t="shared" si="6"/>
        <v>TAEWOOK KOH</v>
      </c>
      <c r="F38" s="9"/>
      <c r="G38" s="3"/>
      <c r="H38" s="3"/>
      <c r="I38" s="8" t="s">
        <v>169</v>
      </c>
      <c r="J38" s="3"/>
      <c r="K38" s="13" t="s">
        <v>149</v>
      </c>
      <c r="L38" s="3"/>
      <c r="M38" s="8"/>
      <c r="N38" s="8"/>
      <c r="O38" s="8" t="s">
        <v>784</v>
      </c>
      <c r="P38" s="3"/>
      <c r="Q38" s="3" t="s">
        <v>770</v>
      </c>
      <c r="R38" s="3"/>
    </row>
    <row r="39" spans="1:18">
      <c r="A39" s="14"/>
      <c r="B39" s="9"/>
      <c r="C39" s="10" t="str">
        <f t="shared" si="5"/>
        <v/>
      </c>
      <c r="D39" s="9"/>
      <c r="E39" s="9" t="str">
        <f t="shared" si="6"/>
        <v/>
      </c>
      <c r="F39" s="9"/>
      <c r="G39" s="3"/>
      <c r="H39" s="3"/>
      <c r="I39" s="8"/>
      <c r="J39" s="3"/>
      <c r="K39" s="13"/>
      <c r="L39" s="3"/>
      <c r="M39" s="8"/>
      <c r="N39" s="8"/>
      <c r="O39" s="3"/>
      <c r="P39" s="3"/>
      <c r="Q39" s="3"/>
      <c r="R39" s="3"/>
    </row>
    <row r="40" spans="1:18">
      <c r="A40" s="14"/>
      <c r="B40" s="9"/>
      <c r="C40" s="10" t="str">
        <f t="shared" si="5"/>
        <v>ASSISTANT DIRECTOR</v>
      </c>
      <c r="D40" s="9"/>
      <c r="E40" s="9" t="str">
        <f t="shared" si="6"/>
        <v>JEEHYUN KIM</v>
      </c>
      <c r="F40" s="9"/>
      <c r="G40" s="3"/>
      <c r="H40" s="3"/>
      <c r="I40" s="8" t="s">
        <v>170</v>
      </c>
      <c r="J40" s="3"/>
      <c r="K40" s="13" t="s">
        <v>150</v>
      </c>
      <c r="L40" s="3"/>
      <c r="M40" s="8"/>
      <c r="N40" s="8"/>
      <c r="O40" s="8" t="s">
        <v>785</v>
      </c>
      <c r="P40" s="3"/>
      <c r="Q40" s="3" t="s">
        <v>771</v>
      </c>
      <c r="R40" s="3"/>
    </row>
    <row r="41" spans="1:18">
      <c r="A41" s="14"/>
      <c r="B41" s="9"/>
      <c r="C41" s="10" t="str">
        <f t="shared" si="5"/>
        <v/>
      </c>
      <c r="D41" s="9"/>
      <c r="E41" s="9" t="str">
        <f t="shared" si="6"/>
        <v/>
      </c>
      <c r="F41" s="9"/>
      <c r="G41" s="3"/>
      <c r="H41" s="3"/>
      <c r="I41" s="8"/>
      <c r="J41" s="3"/>
      <c r="K41" s="13"/>
      <c r="L41" s="3"/>
      <c r="M41" s="8"/>
      <c r="N41" s="8"/>
      <c r="O41" s="3"/>
      <c r="P41" s="3"/>
      <c r="Q41" s="3"/>
      <c r="R41" s="3"/>
    </row>
    <row r="42" spans="1:18">
      <c r="A42" s="14"/>
      <c r="B42" s="9"/>
      <c r="C42" s="10" t="str">
        <f t="shared" si="5"/>
        <v>STORY SUPERVISOR</v>
      </c>
      <c r="D42" s="9"/>
      <c r="E42" s="9" t="str">
        <f t="shared" si="6"/>
        <v>TAEWOOK KOH</v>
      </c>
      <c r="F42" s="9"/>
      <c r="G42" s="3"/>
      <c r="H42" s="3"/>
      <c r="I42" s="8" t="s">
        <v>171</v>
      </c>
      <c r="J42" s="3"/>
      <c r="K42" s="13" t="s">
        <v>149</v>
      </c>
      <c r="L42" s="3"/>
      <c r="M42" s="3"/>
      <c r="N42" s="3"/>
      <c r="O42" s="8" t="s">
        <v>786</v>
      </c>
      <c r="P42" s="3"/>
      <c r="Q42" s="3" t="s">
        <v>770</v>
      </c>
      <c r="R42" s="3"/>
    </row>
    <row r="43" spans="1:18">
      <c r="A43" s="14"/>
      <c r="B43" s="9"/>
      <c r="C43" s="10" t="str">
        <f t="shared" si="5"/>
        <v/>
      </c>
      <c r="D43" s="9"/>
      <c r="E43" s="9" t="str">
        <f t="shared" si="6"/>
        <v>JEEHYUN KIM</v>
      </c>
      <c r="F43" s="9"/>
      <c r="G43" s="3"/>
      <c r="H43" s="3"/>
      <c r="I43" s="8"/>
      <c r="J43" s="3"/>
      <c r="K43" s="13" t="s">
        <v>150</v>
      </c>
      <c r="L43" s="3"/>
      <c r="M43" s="8"/>
      <c r="N43" s="8"/>
      <c r="O43" s="3"/>
      <c r="P43" s="3"/>
      <c r="Q43" s="3" t="s">
        <v>771</v>
      </c>
      <c r="R43" s="3"/>
    </row>
    <row r="44" spans="1:18">
      <c r="A44" s="14"/>
      <c r="B44" s="9"/>
      <c r="C44" s="10" t="str">
        <f t="shared" si="5"/>
        <v/>
      </c>
      <c r="D44" s="9"/>
      <c r="E44" s="9" t="str">
        <f t="shared" si="6"/>
        <v>JIWON OH</v>
      </c>
      <c r="F44" s="9"/>
      <c r="G44" s="3"/>
      <c r="H44" s="3"/>
      <c r="I44" s="8"/>
      <c r="J44" s="3"/>
      <c r="K44" s="13" t="s">
        <v>151</v>
      </c>
      <c r="L44" s="3"/>
      <c r="M44" s="8"/>
      <c r="N44" s="8"/>
      <c r="O44" s="3"/>
      <c r="P44" s="3"/>
      <c r="Q44" s="3" t="s">
        <v>774</v>
      </c>
      <c r="R44" s="3"/>
    </row>
    <row r="45" spans="1:18">
      <c r="A45" s="14"/>
      <c r="B45" s="9"/>
      <c r="C45" s="10" t="str">
        <f t="shared" si="5"/>
        <v/>
      </c>
      <c r="D45" s="9"/>
      <c r="E45" s="9" t="str">
        <f t="shared" si="6"/>
        <v/>
      </c>
      <c r="F45" s="9"/>
      <c r="G45" s="3"/>
      <c r="H45" s="3"/>
      <c r="I45" s="8"/>
      <c r="J45" s="3"/>
      <c r="K45" s="13"/>
      <c r="L45" s="3"/>
      <c r="M45" s="8"/>
      <c r="N45" s="8"/>
      <c r="O45" s="3"/>
      <c r="P45" s="3"/>
      <c r="Q45" s="3"/>
      <c r="R45" s="3"/>
    </row>
    <row r="46" spans="1:18">
      <c r="A46" s="14"/>
      <c r="B46" s="9"/>
      <c r="C46" s="10" t="str">
        <f t="shared" si="5"/>
        <v>STORY ARTIST</v>
      </c>
      <c r="D46" s="9"/>
      <c r="E46" s="9" t="str">
        <f t="shared" si="6"/>
        <v>WON HWANG</v>
      </c>
      <c r="F46" s="9"/>
      <c r="G46" s="3"/>
      <c r="H46" s="3"/>
      <c r="I46" s="8" t="s">
        <v>172</v>
      </c>
      <c r="J46" s="3"/>
      <c r="K46" s="13" t="s">
        <v>173</v>
      </c>
      <c r="L46" s="3"/>
      <c r="M46" s="8"/>
      <c r="N46" s="8"/>
      <c r="O46" s="8" t="s">
        <v>787</v>
      </c>
      <c r="P46" s="3"/>
      <c r="Q46" s="3" t="s">
        <v>788</v>
      </c>
      <c r="R46" s="3"/>
    </row>
    <row r="47" spans="1:18">
      <c r="A47" s="14"/>
      <c r="B47" s="9"/>
      <c r="C47" s="10" t="str">
        <f t="shared" si="5"/>
        <v/>
      </c>
      <c r="D47" s="9"/>
      <c r="E47" s="9" t="str">
        <f t="shared" si="6"/>
        <v/>
      </c>
      <c r="F47" s="9"/>
      <c r="G47" s="3"/>
      <c r="H47" s="3"/>
      <c r="I47" s="8"/>
      <c r="J47" s="3"/>
      <c r="K47" s="13"/>
      <c r="L47" s="3"/>
      <c r="M47" s="3"/>
      <c r="N47" s="3"/>
      <c r="O47" s="8"/>
      <c r="P47" s="3"/>
      <c r="Q47" s="3"/>
      <c r="R47" s="3"/>
    </row>
    <row r="48" spans="1:18">
      <c r="A48" s="14"/>
      <c r="B48" s="9"/>
      <c r="C48" s="10" t="str">
        <f t="shared" si="5"/>
        <v>STORY EDITOR</v>
      </c>
      <c r="D48" s="9"/>
      <c r="E48" s="9" t="str">
        <f t="shared" si="6"/>
        <v>JAKE GOLDMAN</v>
      </c>
      <c r="F48" s="9"/>
      <c r="G48" s="3"/>
      <c r="H48" s="3"/>
      <c r="I48" s="8" t="s">
        <v>174</v>
      </c>
      <c r="J48" s="3"/>
      <c r="K48" s="13" t="s">
        <v>155</v>
      </c>
      <c r="L48" s="3"/>
      <c r="M48" s="8"/>
      <c r="N48" s="3"/>
      <c r="O48" s="8" t="s">
        <v>789</v>
      </c>
      <c r="P48" s="3"/>
      <c r="Q48" s="3" t="s">
        <v>155</v>
      </c>
      <c r="R48" s="3"/>
    </row>
    <row r="49" spans="1:18">
      <c r="A49" s="14"/>
      <c r="B49" s="9"/>
      <c r="C49" s="10" t="str">
        <f t="shared" si="5"/>
        <v>WRITTEN BY</v>
      </c>
      <c r="D49" s="9"/>
      <c r="E49" s="9" t="str">
        <f t="shared" si="6"/>
        <v>JESSE GOLDMAN</v>
      </c>
      <c r="F49" s="9"/>
      <c r="G49" s="3"/>
      <c r="H49" s="3"/>
      <c r="I49" s="8" t="s">
        <v>154</v>
      </c>
      <c r="J49" s="3"/>
      <c r="K49" s="2" t="s">
        <v>650</v>
      </c>
      <c r="L49" s="3"/>
      <c r="M49" s="3"/>
      <c r="N49" s="3"/>
      <c r="O49" s="8" t="s">
        <v>790</v>
      </c>
      <c r="P49" s="3"/>
      <c r="Q49" s="2" t="s">
        <v>650</v>
      </c>
      <c r="R49" s="3"/>
    </row>
    <row r="50" spans="1:18">
      <c r="A50" s="14"/>
      <c r="B50" s="9"/>
      <c r="C50" s="10" t="str">
        <f t="shared" si="5"/>
        <v/>
      </c>
      <c r="D50" s="9"/>
      <c r="E50" s="9" t="str">
        <f t="shared" si="6"/>
        <v/>
      </c>
      <c r="F50" s="9"/>
      <c r="G50" s="3"/>
      <c r="H50" s="3"/>
      <c r="I50" s="8"/>
      <c r="J50" s="3"/>
      <c r="K50" s="13"/>
      <c r="L50" s="3"/>
      <c r="M50" s="3"/>
      <c r="N50" s="3"/>
      <c r="O50" s="8"/>
      <c r="P50" s="3"/>
      <c r="Q50" s="3"/>
      <c r="R50" s="3"/>
    </row>
    <row r="51" spans="1:18">
      <c r="A51" s="14"/>
      <c r="B51" s="26"/>
      <c r="C51" s="26"/>
      <c r="D51" s="26"/>
      <c r="E51" s="26"/>
      <c r="F51" s="26"/>
      <c r="G51" s="3"/>
      <c r="H51" s="7"/>
      <c r="I51" s="8"/>
      <c r="J51" s="7"/>
      <c r="K51" s="7"/>
      <c r="L51" s="7"/>
      <c r="M51" s="3"/>
      <c r="N51" s="3"/>
      <c r="O51" s="8"/>
      <c r="P51" s="3"/>
      <c r="Q51" s="3"/>
      <c r="R51" s="3"/>
    </row>
    <row r="52" spans="1:18">
      <c r="A52" s="14"/>
      <c r="B52" s="6"/>
      <c r="C52" s="6"/>
      <c r="D52" s="6"/>
      <c r="E52" s="6"/>
      <c r="F52" s="6"/>
      <c r="G52" s="3"/>
      <c r="H52" s="7"/>
      <c r="I52" s="8"/>
      <c r="J52" s="7"/>
      <c r="K52" s="7"/>
      <c r="L52" s="7"/>
      <c r="M52" s="3"/>
      <c r="N52" s="3"/>
      <c r="O52" s="8"/>
      <c r="P52" s="3"/>
      <c r="Q52" s="3"/>
      <c r="R52" s="3"/>
    </row>
    <row r="53" spans="1:18">
      <c r="A53" s="14"/>
      <c r="B53" s="150" t="str">
        <f t="shared" ref="B53:B54" si="7">UPPER(H53)</f>
        <v>STORYBOARD</v>
      </c>
      <c r="C53" s="141"/>
      <c r="D53" s="141"/>
      <c r="E53" s="141"/>
      <c r="F53" s="141"/>
      <c r="G53" s="28"/>
      <c r="H53" s="167" t="s">
        <v>175</v>
      </c>
      <c r="I53" s="141"/>
      <c r="J53" s="141"/>
      <c r="K53" s="141"/>
      <c r="L53" s="141"/>
      <c r="M53" s="28"/>
      <c r="N53" s="149" t="s">
        <v>791</v>
      </c>
      <c r="O53" s="141"/>
      <c r="P53" s="141"/>
      <c r="Q53" s="141"/>
      <c r="R53" s="141"/>
    </row>
    <row r="54" spans="1:18">
      <c r="A54" s="14"/>
      <c r="B54" s="146" t="str">
        <f t="shared" si="7"/>
        <v/>
      </c>
      <c r="C54" s="141"/>
      <c r="D54" s="141"/>
      <c r="E54" s="141"/>
      <c r="F54" s="141"/>
      <c r="G54" s="3"/>
      <c r="H54" s="149"/>
      <c r="I54" s="141"/>
      <c r="J54" s="141"/>
      <c r="K54" s="141"/>
      <c r="L54" s="141"/>
      <c r="M54" s="3"/>
      <c r="N54" s="149"/>
      <c r="O54" s="141"/>
      <c r="P54" s="141"/>
      <c r="Q54" s="141"/>
      <c r="R54" s="141"/>
    </row>
    <row r="55" spans="1:18">
      <c r="A55" s="14"/>
      <c r="B55" s="9"/>
      <c r="C55" s="10"/>
      <c r="D55" s="9"/>
      <c r="E55" s="9"/>
      <c r="F55" s="9"/>
      <c r="G55" s="3"/>
      <c r="H55" s="3"/>
      <c r="I55" s="36"/>
      <c r="K55" s="2"/>
      <c r="L55" s="3"/>
      <c r="M55" s="3"/>
      <c r="N55" s="3"/>
      <c r="O55" s="36"/>
      <c r="P55" s="2"/>
      <c r="Q55" s="2"/>
      <c r="R55" s="3"/>
    </row>
    <row r="56" spans="1:18">
      <c r="A56" s="14"/>
      <c r="B56" s="9"/>
      <c r="C56" s="10" t="str">
        <f>UPPER(I56)</f>
        <v>STORYBOARD DIRECTOR</v>
      </c>
      <c r="D56" s="9"/>
      <c r="E56" s="9" t="str">
        <f>UPPER(K56)</f>
        <v>HOSEONG JEON</v>
      </c>
      <c r="F56" s="9"/>
      <c r="G56" s="3"/>
      <c r="H56" s="3"/>
      <c r="I56" s="36" t="s">
        <v>177</v>
      </c>
      <c r="J56" s="2"/>
      <c r="K56" s="2" t="s">
        <v>700</v>
      </c>
      <c r="L56" s="3"/>
      <c r="M56" s="3"/>
      <c r="N56" s="3"/>
      <c r="O56" s="8" t="s">
        <v>793</v>
      </c>
      <c r="P56" s="2"/>
      <c r="Q56" s="2" t="s">
        <v>969</v>
      </c>
      <c r="R56" s="3"/>
    </row>
    <row r="57" spans="1:18">
      <c r="A57" s="14"/>
      <c r="B57" s="9"/>
      <c r="C57" s="10"/>
      <c r="D57" s="9"/>
      <c r="E57" s="9"/>
      <c r="F57" s="9"/>
      <c r="G57" s="3"/>
      <c r="H57" s="3"/>
      <c r="I57" s="8"/>
      <c r="J57" s="3"/>
      <c r="K57" s="13"/>
      <c r="L57" s="3"/>
      <c r="M57" s="3"/>
      <c r="N57" s="3"/>
      <c r="O57" s="8"/>
      <c r="P57" s="3"/>
      <c r="Q57" s="3"/>
      <c r="R57" s="3"/>
    </row>
    <row r="58" spans="1:18">
      <c r="A58" s="14"/>
      <c r="B58" s="11" t="str">
        <f t="shared" ref="B58:C58" si="8">UPPER(H58)</f>
        <v/>
      </c>
      <c r="C58" s="12" t="str">
        <f t="shared" si="8"/>
        <v/>
      </c>
      <c r="D58" s="11"/>
      <c r="E58" s="11" t="str">
        <f t="shared" ref="E58:E59" si="9">UPPER(K58)</f>
        <v/>
      </c>
      <c r="F58" s="11"/>
      <c r="G58" s="3"/>
      <c r="H58" s="3"/>
      <c r="I58" s="8"/>
      <c r="J58" s="3"/>
      <c r="K58" s="13"/>
      <c r="L58" s="3"/>
      <c r="M58" s="3"/>
      <c r="N58" s="3"/>
      <c r="O58" s="8"/>
      <c r="P58" s="3"/>
      <c r="Q58" s="3"/>
      <c r="R58" s="3"/>
    </row>
    <row r="59" spans="1:18">
      <c r="A59" s="14"/>
      <c r="B59" s="9"/>
      <c r="C59" s="10" t="str">
        <f>UPPER(I59)</f>
        <v/>
      </c>
      <c r="D59" s="9"/>
      <c r="E59" s="9" t="str">
        <f t="shared" si="9"/>
        <v/>
      </c>
      <c r="F59" s="9"/>
      <c r="G59" s="3"/>
      <c r="H59" s="3"/>
      <c r="I59" s="8"/>
      <c r="J59" s="3"/>
      <c r="K59" s="13"/>
      <c r="L59" s="3"/>
      <c r="M59" s="8"/>
      <c r="N59" s="8"/>
      <c r="O59" s="8"/>
      <c r="P59" s="3"/>
      <c r="Q59" s="3"/>
      <c r="R59" s="3"/>
    </row>
    <row r="60" spans="1:18">
      <c r="A60" s="14"/>
      <c r="B60" s="9"/>
      <c r="C60" s="10"/>
      <c r="D60" s="9"/>
      <c r="E60" s="9"/>
      <c r="F60" s="9"/>
      <c r="G60" s="3"/>
      <c r="H60" s="3"/>
      <c r="I60" s="8"/>
      <c r="J60" s="3"/>
      <c r="K60" s="3"/>
      <c r="L60" s="3"/>
      <c r="M60" s="8"/>
      <c r="N60" s="8"/>
      <c r="R60" s="3"/>
    </row>
    <row r="61" spans="1:18">
      <c r="A61" s="14"/>
      <c r="B61" s="9"/>
      <c r="C61" s="10" t="str">
        <f t="shared" ref="C61:C68" si="10">UPPER(I61)</f>
        <v>PRODUCTION MANAGER</v>
      </c>
      <c r="D61" s="9"/>
      <c r="E61" s="9" t="str">
        <f t="shared" ref="E61:E68" si="11">UPPER(K61)</f>
        <v>SEMIN SHIN</v>
      </c>
      <c r="F61" s="9"/>
      <c r="G61" s="3"/>
      <c r="H61" s="3"/>
      <c r="I61" s="8" t="s">
        <v>152</v>
      </c>
      <c r="J61" s="3"/>
      <c r="K61" s="3" t="s">
        <v>153</v>
      </c>
      <c r="L61" s="3"/>
      <c r="M61" s="8"/>
      <c r="N61" s="8"/>
      <c r="O61" s="8" t="s">
        <v>775</v>
      </c>
      <c r="P61" s="3"/>
      <c r="Q61" s="3" t="s">
        <v>776</v>
      </c>
      <c r="R61" s="3"/>
    </row>
    <row r="62" spans="1:18">
      <c r="A62" s="14"/>
      <c r="B62" s="9"/>
      <c r="C62" s="10" t="str">
        <f t="shared" si="10"/>
        <v/>
      </c>
      <c r="D62" s="9"/>
      <c r="E62" s="9" t="str">
        <f t="shared" si="11"/>
        <v/>
      </c>
      <c r="F62" s="9"/>
      <c r="G62" s="3"/>
      <c r="H62" s="3"/>
      <c r="I62" s="8"/>
      <c r="J62" s="3"/>
      <c r="K62" s="3"/>
      <c r="L62" s="3"/>
      <c r="M62" s="8"/>
      <c r="N62" s="3"/>
      <c r="O62" s="8"/>
      <c r="P62" s="3"/>
      <c r="Q62" s="3"/>
      <c r="R62" s="3"/>
    </row>
    <row r="63" spans="1:18">
      <c r="A63" s="14"/>
      <c r="B63" s="9"/>
      <c r="C63" s="10" t="str">
        <f t="shared" si="10"/>
        <v>PRODUCTION COORDINATOR</v>
      </c>
      <c r="D63" s="9"/>
      <c r="E63" s="9" t="str">
        <f t="shared" si="11"/>
        <v>SEHUI JUNG</v>
      </c>
      <c r="F63" s="9"/>
      <c r="G63" s="3"/>
      <c r="H63" s="3"/>
      <c r="I63" s="8" t="s">
        <v>184</v>
      </c>
      <c r="J63" s="3"/>
      <c r="K63" s="3" t="s">
        <v>185</v>
      </c>
      <c r="L63" s="3"/>
      <c r="M63" s="3"/>
      <c r="N63" s="8"/>
      <c r="O63" s="8" t="s">
        <v>800</v>
      </c>
      <c r="P63" s="3"/>
      <c r="Q63" s="3" t="s">
        <v>801</v>
      </c>
      <c r="R63" s="3"/>
    </row>
    <row r="64" spans="1:18">
      <c r="A64" s="14"/>
      <c r="B64" s="9"/>
      <c r="C64" s="10" t="str">
        <f t="shared" si="10"/>
        <v/>
      </c>
      <c r="D64" s="9"/>
      <c r="E64" s="9" t="str">
        <f t="shared" si="11"/>
        <v>CHRISTINA YOONJUNG HAN</v>
      </c>
      <c r="F64" s="9"/>
      <c r="G64" s="3"/>
      <c r="H64" s="3"/>
      <c r="I64" s="8"/>
      <c r="J64" s="3"/>
      <c r="K64" s="3" t="s">
        <v>186</v>
      </c>
      <c r="L64" s="3"/>
      <c r="M64" s="8"/>
      <c r="N64" s="8"/>
      <c r="O64" s="3"/>
      <c r="P64" s="3"/>
      <c r="Q64" s="3" t="s">
        <v>802</v>
      </c>
      <c r="R64" s="3"/>
    </row>
    <row r="65" spans="1:18">
      <c r="A65" s="14"/>
      <c r="B65" s="9"/>
      <c r="C65" s="10" t="str">
        <f t="shared" si="10"/>
        <v/>
      </c>
      <c r="D65" s="9"/>
      <c r="E65" s="9" t="str">
        <f t="shared" si="11"/>
        <v>WOORI KO</v>
      </c>
      <c r="F65" s="9"/>
      <c r="G65" s="3"/>
      <c r="H65" s="3"/>
      <c r="I65" s="8"/>
      <c r="J65" s="3"/>
      <c r="K65" s="3" t="s">
        <v>187</v>
      </c>
      <c r="L65" s="3"/>
      <c r="M65" s="8"/>
      <c r="N65" s="8"/>
      <c r="O65" s="3"/>
      <c r="P65" s="3"/>
      <c r="Q65" s="3" t="s">
        <v>803</v>
      </c>
      <c r="R65" s="3"/>
    </row>
    <row r="66" spans="1:18">
      <c r="A66" s="14"/>
      <c r="B66" s="9"/>
      <c r="C66" s="10" t="str">
        <f t="shared" si="10"/>
        <v/>
      </c>
      <c r="D66" s="9"/>
      <c r="E66" s="9" t="str">
        <f t="shared" si="11"/>
        <v>EUNHA HWANG</v>
      </c>
      <c r="F66" s="9"/>
      <c r="G66" s="3"/>
      <c r="H66" s="3"/>
      <c r="I66" s="8"/>
      <c r="J66" s="3"/>
      <c r="K66" s="3" t="s">
        <v>188</v>
      </c>
      <c r="L66" s="3"/>
      <c r="M66" s="8"/>
      <c r="N66" s="8"/>
      <c r="O66" s="3"/>
      <c r="P66" s="3"/>
      <c r="Q66" s="3" t="s">
        <v>804</v>
      </c>
      <c r="R66" s="3"/>
    </row>
    <row r="67" spans="1:18">
      <c r="A67" s="14"/>
      <c r="B67" s="9"/>
      <c r="C67" s="10" t="str">
        <f t="shared" si="10"/>
        <v/>
      </c>
      <c r="D67" s="9"/>
      <c r="E67" s="9" t="str">
        <f t="shared" si="11"/>
        <v>YEONJAE KANG</v>
      </c>
      <c r="F67" s="9"/>
      <c r="G67" s="3"/>
      <c r="H67" s="3"/>
      <c r="I67" s="8"/>
      <c r="J67" s="3"/>
      <c r="K67" s="3" t="s">
        <v>189</v>
      </c>
      <c r="L67" s="3"/>
      <c r="M67" s="8"/>
      <c r="N67" s="8"/>
      <c r="O67" s="3"/>
      <c r="P67" s="3"/>
      <c r="Q67" s="3" t="s">
        <v>805</v>
      </c>
      <c r="R67" s="3"/>
    </row>
    <row r="68" spans="1:18">
      <c r="A68" s="14"/>
      <c r="B68" s="9"/>
      <c r="C68" s="10" t="str">
        <f t="shared" si="10"/>
        <v/>
      </c>
      <c r="D68" s="9"/>
      <c r="E68" s="9" t="str">
        <f t="shared" si="11"/>
        <v>SKYE YONJI LEE</v>
      </c>
      <c r="F68" s="9"/>
      <c r="G68" s="3"/>
      <c r="H68" s="3"/>
      <c r="I68" s="8"/>
      <c r="J68" s="3"/>
      <c r="K68" s="3" t="s">
        <v>190</v>
      </c>
      <c r="L68" s="3"/>
      <c r="M68" s="8"/>
      <c r="N68" s="8"/>
      <c r="O68" s="3"/>
      <c r="P68" s="3"/>
      <c r="Q68" s="3" t="s">
        <v>806</v>
      </c>
      <c r="R68" s="3"/>
    </row>
    <row r="69" spans="1:18">
      <c r="A69" s="14"/>
      <c r="B69" s="9"/>
      <c r="C69" s="10"/>
      <c r="D69" s="9"/>
      <c r="E69" s="9"/>
      <c r="F69" s="9"/>
      <c r="G69" s="3"/>
      <c r="H69" s="3"/>
      <c r="I69" s="8"/>
      <c r="J69" s="3"/>
      <c r="K69" s="3"/>
      <c r="L69" s="3"/>
      <c r="M69" s="8"/>
      <c r="N69" s="8"/>
      <c r="O69" s="8"/>
      <c r="P69" s="3"/>
      <c r="Q69" s="3"/>
      <c r="R69" s="3"/>
    </row>
    <row r="70" spans="1:18">
      <c r="A70" s="14"/>
      <c r="B70" s="11" t="str">
        <f t="shared" ref="B70:C70" si="12">UPPER(H70)</f>
        <v/>
      </c>
      <c r="C70" s="12" t="str">
        <f t="shared" si="12"/>
        <v/>
      </c>
      <c r="D70" s="11"/>
      <c r="E70" s="11" t="str">
        <f>UPPER(K70)</f>
        <v/>
      </c>
      <c r="F70" s="11"/>
      <c r="G70" s="3"/>
      <c r="H70" s="3"/>
      <c r="I70" s="8"/>
      <c r="J70" s="3"/>
      <c r="K70" s="13"/>
      <c r="L70" s="3"/>
      <c r="M70" s="8"/>
      <c r="N70" s="8"/>
      <c r="O70" s="8"/>
      <c r="P70" s="3"/>
      <c r="Q70" s="3"/>
      <c r="R70" s="3"/>
    </row>
    <row r="71" spans="1:18">
      <c r="A71" s="14"/>
      <c r="B71" s="146"/>
      <c r="C71" s="141"/>
      <c r="D71" s="141"/>
      <c r="E71" s="141"/>
      <c r="F71" s="141"/>
      <c r="G71" s="3"/>
      <c r="H71" s="3"/>
      <c r="I71" s="8"/>
      <c r="J71" s="3"/>
      <c r="K71" s="3"/>
      <c r="L71" s="3"/>
      <c r="M71" s="8"/>
      <c r="N71" s="8"/>
      <c r="O71" s="8"/>
      <c r="P71" s="3"/>
      <c r="Q71" s="3"/>
      <c r="R71" s="3"/>
    </row>
    <row r="72" spans="1:18">
      <c r="A72" s="14"/>
      <c r="B72" s="150" t="str">
        <f>UPPER(H72)</f>
        <v>ART</v>
      </c>
      <c r="C72" s="141"/>
      <c r="D72" s="141"/>
      <c r="E72" s="141"/>
      <c r="F72" s="141"/>
      <c r="G72" s="28"/>
      <c r="H72" s="167" t="s">
        <v>191</v>
      </c>
      <c r="I72" s="141"/>
      <c r="J72" s="141"/>
      <c r="K72" s="141"/>
      <c r="L72" s="141"/>
      <c r="M72" s="29"/>
      <c r="N72" s="149" t="s">
        <v>807</v>
      </c>
      <c r="O72" s="141"/>
      <c r="P72" s="141"/>
      <c r="Q72" s="141"/>
      <c r="R72" s="141"/>
    </row>
    <row r="73" spans="1:18">
      <c r="A73" s="14"/>
      <c r="B73" s="9"/>
      <c r="C73" s="10" t="str">
        <f t="shared" ref="C73:C76" si="13">UPPER(I73)</f>
        <v>CHARACTER DESIGN</v>
      </c>
      <c r="D73" s="9"/>
      <c r="E73" s="9" t="str">
        <f t="shared" ref="E73:E83" si="14">UPPER(K73)</f>
        <v>NANDABY KWON</v>
      </c>
      <c r="F73" s="9"/>
      <c r="G73" s="3"/>
      <c r="H73" s="3"/>
      <c r="I73" s="8" t="s">
        <v>192</v>
      </c>
      <c r="J73" s="3"/>
      <c r="K73" s="13" t="s">
        <v>193</v>
      </c>
      <c r="L73" s="3"/>
      <c r="M73" s="8"/>
      <c r="N73" s="3"/>
      <c r="O73" s="8" t="s">
        <v>808</v>
      </c>
      <c r="P73" s="3"/>
      <c r="Q73" s="3" t="s">
        <v>809</v>
      </c>
      <c r="R73" s="3"/>
    </row>
    <row r="74" spans="1:18">
      <c r="A74" s="14"/>
      <c r="B74" s="9"/>
      <c r="C74" s="10" t="str">
        <f t="shared" si="13"/>
        <v/>
      </c>
      <c r="D74" s="9"/>
      <c r="E74" s="9" t="str">
        <f t="shared" si="14"/>
        <v>MANJOONG LEE</v>
      </c>
      <c r="F74" s="9"/>
      <c r="G74" s="3"/>
      <c r="H74" s="3"/>
      <c r="I74" s="8"/>
      <c r="J74" s="3"/>
      <c r="K74" s="13" t="s">
        <v>194</v>
      </c>
      <c r="L74" s="3"/>
      <c r="M74" s="8"/>
      <c r="N74" s="3"/>
      <c r="O74" s="3"/>
      <c r="P74" s="3"/>
      <c r="Q74" s="3" t="s">
        <v>810</v>
      </c>
      <c r="R74" s="3"/>
    </row>
    <row r="75" spans="1:18">
      <c r="A75" s="14"/>
      <c r="B75" s="9"/>
      <c r="C75" s="10" t="str">
        <f t="shared" si="13"/>
        <v/>
      </c>
      <c r="D75" s="9"/>
      <c r="E75" s="9" t="str">
        <f t="shared" si="14"/>
        <v>HYUNSONG WE</v>
      </c>
      <c r="F75" s="9"/>
      <c r="G75" s="3"/>
      <c r="H75" s="3"/>
      <c r="I75" s="8"/>
      <c r="J75" s="3"/>
      <c r="K75" s="13" t="s">
        <v>195</v>
      </c>
      <c r="L75" s="3"/>
      <c r="M75" s="8"/>
      <c r="N75" s="3"/>
      <c r="O75" s="3"/>
      <c r="P75" s="3"/>
      <c r="Q75" s="3" t="s">
        <v>811</v>
      </c>
      <c r="R75" s="3"/>
    </row>
    <row r="76" spans="1:18">
      <c r="A76" s="14"/>
      <c r="B76" s="9"/>
      <c r="C76" s="10" t="str">
        <f t="shared" si="13"/>
        <v/>
      </c>
      <c r="D76" s="9"/>
      <c r="E76" s="9" t="str">
        <f t="shared" si="14"/>
        <v>HEEGYEONG JUNG</v>
      </c>
      <c r="F76" s="9"/>
      <c r="G76" s="3"/>
      <c r="H76" s="3"/>
      <c r="I76" s="8"/>
      <c r="J76" s="3"/>
      <c r="K76" s="13" t="s">
        <v>196</v>
      </c>
      <c r="L76" s="3"/>
      <c r="M76" s="8"/>
      <c r="N76" s="3"/>
      <c r="O76" s="3"/>
      <c r="P76" s="3"/>
      <c r="Q76" s="3" t="s">
        <v>812</v>
      </c>
      <c r="R76" s="3"/>
    </row>
    <row r="77" spans="1:18">
      <c r="A77" s="14"/>
      <c r="B77" s="9"/>
      <c r="C77" s="10"/>
      <c r="D77" s="9"/>
      <c r="E77" s="9" t="str">
        <f t="shared" si="14"/>
        <v>SUNGMIN JUNG</v>
      </c>
      <c r="F77" s="9"/>
      <c r="G77" s="3"/>
      <c r="H77" s="3"/>
      <c r="I77" s="8"/>
      <c r="J77" s="3"/>
      <c r="K77" s="3" t="s">
        <v>197</v>
      </c>
      <c r="L77" s="3"/>
      <c r="M77" s="8"/>
      <c r="N77" s="3"/>
      <c r="O77" s="3"/>
      <c r="P77" s="3"/>
      <c r="Q77" s="3" t="s">
        <v>813</v>
      </c>
      <c r="R77" s="3"/>
    </row>
    <row r="78" spans="1:18">
      <c r="A78" s="14"/>
      <c r="B78" s="9"/>
      <c r="C78" s="10" t="str">
        <f t="shared" ref="C78:C79" si="15">UPPER(I78)</f>
        <v/>
      </c>
      <c r="D78" s="9"/>
      <c r="E78" s="9" t="str">
        <f t="shared" si="14"/>
        <v/>
      </c>
      <c r="F78" s="9"/>
      <c r="G78" s="3"/>
      <c r="H78" s="3"/>
      <c r="I78" s="8"/>
      <c r="J78" s="3"/>
      <c r="K78" s="13"/>
      <c r="L78" s="3"/>
      <c r="M78" s="8"/>
      <c r="N78" s="3"/>
      <c r="O78" s="8"/>
      <c r="P78" s="3"/>
      <c r="Q78" s="3"/>
      <c r="R78" s="3"/>
    </row>
    <row r="79" spans="1:18">
      <c r="A79" s="14"/>
      <c r="B79" s="9"/>
      <c r="C79" s="10" t="str">
        <f t="shared" si="15"/>
        <v>SET DESIGN</v>
      </c>
      <c r="D79" s="9"/>
      <c r="E79" s="9" t="str">
        <f t="shared" si="14"/>
        <v>BOMI KIM</v>
      </c>
      <c r="F79" s="9"/>
      <c r="G79" s="3"/>
      <c r="H79" s="3"/>
      <c r="I79" s="8" t="s">
        <v>198</v>
      </c>
      <c r="J79" s="3"/>
      <c r="K79" s="13" t="s">
        <v>199</v>
      </c>
      <c r="L79" s="3"/>
      <c r="M79" s="8"/>
      <c r="N79" s="3"/>
      <c r="O79" s="8" t="s">
        <v>814</v>
      </c>
      <c r="P79" s="3"/>
      <c r="Q79" s="3" t="s">
        <v>815</v>
      </c>
      <c r="R79" s="3"/>
    </row>
    <row r="80" spans="1:18">
      <c r="A80" s="14"/>
      <c r="B80" s="9"/>
      <c r="C80" s="10"/>
      <c r="D80" s="9"/>
      <c r="E80" s="9" t="str">
        <f t="shared" si="14"/>
        <v>CHANGRAE BAEK</v>
      </c>
      <c r="F80" s="9"/>
      <c r="G80" s="3"/>
      <c r="H80" s="3"/>
      <c r="I80" s="8"/>
      <c r="J80" s="3"/>
      <c r="K80" s="3" t="s">
        <v>200</v>
      </c>
      <c r="L80" s="3"/>
      <c r="M80" s="8"/>
      <c r="N80" s="3"/>
      <c r="O80" s="3"/>
      <c r="P80" s="3"/>
      <c r="Q80" s="3" t="s">
        <v>816</v>
      </c>
      <c r="R80" s="3"/>
    </row>
    <row r="81" spans="1:18">
      <c r="A81" s="14"/>
      <c r="B81" s="9"/>
      <c r="C81" s="10"/>
      <c r="D81" s="9"/>
      <c r="E81" s="9" t="str">
        <f t="shared" si="14"/>
        <v>SUNYOUNG PARK</v>
      </c>
      <c r="F81" s="9"/>
      <c r="G81" s="3"/>
      <c r="H81" s="3"/>
      <c r="I81" s="8"/>
      <c r="J81" s="3"/>
      <c r="K81" s="3" t="s">
        <v>201</v>
      </c>
      <c r="L81" s="3"/>
      <c r="M81" s="8"/>
      <c r="N81" s="3"/>
      <c r="O81" s="3"/>
      <c r="P81" s="3"/>
      <c r="Q81" s="3" t="s">
        <v>817</v>
      </c>
      <c r="R81" s="3"/>
    </row>
    <row r="82" spans="1:18">
      <c r="A82" s="14"/>
      <c r="B82" s="9"/>
      <c r="C82" s="10"/>
      <c r="D82" s="9"/>
      <c r="E82" s="9" t="str">
        <f t="shared" si="14"/>
        <v/>
      </c>
      <c r="F82" s="9"/>
      <c r="G82" s="3"/>
      <c r="H82" s="3"/>
      <c r="I82" s="8"/>
      <c r="J82" s="3"/>
      <c r="K82" s="3"/>
      <c r="L82" s="3"/>
      <c r="M82" s="8"/>
      <c r="N82" s="8"/>
      <c r="O82" s="8"/>
      <c r="P82" s="3"/>
      <c r="Q82" s="3"/>
      <c r="R82" s="3"/>
    </row>
    <row r="83" spans="1:18">
      <c r="A83" s="14"/>
      <c r="B83" s="9"/>
      <c r="C83" s="10" t="str">
        <f>UPPER(I83)</f>
        <v/>
      </c>
      <c r="D83" s="9"/>
      <c r="E83" s="9" t="str">
        <f t="shared" si="14"/>
        <v/>
      </c>
      <c r="F83" s="9"/>
      <c r="G83" s="3"/>
      <c r="H83" s="3"/>
      <c r="I83" s="8"/>
      <c r="J83" s="3"/>
      <c r="K83" s="13"/>
      <c r="L83" s="3"/>
      <c r="M83" s="8"/>
      <c r="N83" s="8"/>
      <c r="O83" s="8"/>
      <c r="P83" s="3"/>
      <c r="Q83" s="3"/>
      <c r="R83" s="3"/>
    </row>
    <row r="84" spans="1:18">
      <c r="A84" s="14"/>
      <c r="B84" s="146" t="str">
        <f>UPPER(H84)</f>
        <v>THE MONK STUDIOS</v>
      </c>
      <c r="C84" s="141"/>
      <c r="D84" s="141"/>
      <c r="E84" s="141"/>
      <c r="F84" s="141"/>
      <c r="G84" s="3"/>
      <c r="H84" s="149" t="s">
        <v>202</v>
      </c>
      <c r="I84" s="141"/>
      <c r="J84" s="141"/>
      <c r="K84" s="141"/>
      <c r="L84" s="141"/>
      <c r="M84" s="8"/>
      <c r="N84" s="149" t="s">
        <v>202</v>
      </c>
      <c r="O84" s="141"/>
      <c r="P84" s="141"/>
      <c r="Q84" s="141"/>
      <c r="R84" s="141"/>
    </row>
    <row r="85" spans="1:18">
      <c r="A85" s="14"/>
      <c r="B85" s="9"/>
      <c r="C85" s="10"/>
      <c r="D85" s="9"/>
      <c r="E85" s="9"/>
      <c r="F85" s="9"/>
      <c r="G85" s="3"/>
      <c r="H85" s="3"/>
      <c r="I85" s="30"/>
      <c r="J85" s="3"/>
      <c r="K85" s="31"/>
      <c r="L85" s="3"/>
      <c r="M85" s="8"/>
      <c r="N85" s="3"/>
      <c r="O85" s="30"/>
      <c r="P85" s="3"/>
      <c r="Q85" s="31"/>
      <c r="R85" s="3"/>
    </row>
    <row r="86" spans="1:18">
      <c r="A86" s="14"/>
      <c r="B86" s="9"/>
      <c r="C86" s="10" t="str">
        <f t="shared" ref="C86:C89" si="16">UPPER(I86)</f>
        <v>CONCEPT ARTIST</v>
      </c>
      <c r="D86" s="9"/>
      <c r="E86" s="9" t="str">
        <f t="shared" ref="E86:E89" si="17">UPPER(K86)</f>
        <v>WANICHAYA PHRAEJUNYA</v>
      </c>
      <c r="F86" s="9"/>
      <c r="G86" s="3"/>
      <c r="H86" s="3"/>
      <c r="I86" s="32" t="s">
        <v>203</v>
      </c>
      <c r="J86" s="3"/>
      <c r="K86" s="31" t="s">
        <v>610</v>
      </c>
      <c r="L86" s="3"/>
      <c r="M86" s="8"/>
      <c r="N86" s="3"/>
      <c r="O86" s="32" t="s">
        <v>203</v>
      </c>
      <c r="P86" s="3"/>
      <c r="Q86" s="31" t="s">
        <v>610</v>
      </c>
      <c r="R86" s="3"/>
    </row>
    <row r="87" spans="1:18">
      <c r="A87" s="14"/>
      <c r="B87" s="9"/>
      <c r="C87" s="10" t="str">
        <f t="shared" si="16"/>
        <v/>
      </c>
      <c r="D87" s="9"/>
      <c r="E87" s="9" t="str">
        <f t="shared" si="17"/>
        <v>PAKORN THONGKWANJAI</v>
      </c>
      <c r="F87" s="9"/>
      <c r="G87" s="3"/>
      <c r="H87" s="3"/>
      <c r="I87" s="8"/>
      <c r="J87" s="3"/>
      <c r="K87" s="31" t="s">
        <v>205</v>
      </c>
      <c r="L87" s="3"/>
      <c r="M87" s="8"/>
      <c r="N87" s="3"/>
      <c r="O87" s="8"/>
      <c r="P87" s="3"/>
      <c r="Q87" s="31" t="s">
        <v>205</v>
      </c>
      <c r="R87" s="3"/>
    </row>
    <row r="88" spans="1:18">
      <c r="A88" s="14"/>
      <c r="B88" s="9"/>
      <c r="C88" s="10" t="str">
        <f t="shared" si="16"/>
        <v/>
      </c>
      <c r="D88" s="9"/>
      <c r="E88" s="9" t="str">
        <f t="shared" si="17"/>
        <v>SURACHART YAMKUNTONG</v>
      </c>
      <c r="F88" s="9"/>
      <c r="G88" s="3"/>
      <c r="H88" s="3"/>
      <c r="I88" s="8"/>
      <c r="J88" s="3"/>
      <c r="K88" s="31" t="s">
        <v>206</v>
      </c>
      <c r="L88" s="3"/>
      <c r="M88" s="8"/>
      <c r="N88" s="3"/>
      <c r="O88" s="8"/>
      <c r="P88" s="3"/>
      <c r="Q88" s="31" t="s">
        <v>206</v>
      </c>
      <c r="R88" s="3"/>
    </row>
    <row r="89" spans="1:18">
      <c r="A89" s="14"/>
      <c r="B89" s="9"/>
      <c r="C89" s="10" t="str">
        <f t="shared" si="16"/>
        <v/>
      </c>
      <c r="D89" s="9"/>
      <c r="E89" s="9" t="str">
        <f t="shared" si="17"/>
        <v>BURATOUCH THONGPHISITSOMBAT</v>
      </c>
      <c r="F89" s="9"/>
      <c r="G89" s="3"/>
      <c r="H89" s="3"/>
      <c r="I89" s="8"/>
      <c r="J89" s="3"/>
      <c r="K89" s="31" t="s">
        <v>207</v>
      </c>
      <c r="L89" s="3"/>
      <c r="M89" s="8"/>
      <c r="N89" s="3"/>
      <c r="O89" s="8"/>
      <c r="P89" s="3"/>
      <c r="Q89" s="31" t="s">
        <v>207</v>
      </c>
      <c r="R89" s="3"/>
    </row>
    <row r="90" spans="1:18">
      <c r="A90" s="14"/>
      <c r="B90" s="9"/>
      <c r="C90" s="10"/>
      <c r="D90" s="9"/>
      <c r="E90" s="9"/>
      <c r="F90" s="9"/>
      <c r="G90" s="3"/>
      <c r="H90" s="3"/>
      <c r="I90" s="8"/>
      <c r="J90" s="3"/>
      <c r="K90" s="31"/>
      <c r="L90" s="3"/>
      <c r="M90" s="8"/>
      <c r="N90" s="8"/>
      <c r="O90" s="8"/>
      <c r="P90" s="3"/>
      <c r="Q90" s="3"/>
      <c r="R90" s="3"/>
    </row>
    <row r="91" spans="1:18">
      <c r="A91" s="14"/>
      <c r="B91" s="26"/>
      <c r="C91" s="26"/>
      <c r="D91" s="26"/>
      <c r="E91" s="26"/>
      <c r="F91" s="26"/>
      <c r="G91" s="3"/>
      <c r="H91" s="5"/>
      <c r="I91" s="72"/>
      <c r="J91" s="5"/>
      <c r="K91" s="33"/>
      <c r="L91" s="5"/>
      <c r="M91" s="8"/>
      <c r="N91" s="8"/>
      <c r="O91" s="8"/>
      <c r="P91" s="3"/>
      <c r="Q91" s="3"/>
      <c r="R91" s="3"/>
    </row>
    <row r="92" spans="1:18">
      <c r="A92" s="14"/>
      <c r="B92" s="6"/>
      <c r="C92" s="6"/>
      <c r="D92" s="6"/>
      <c r="E92" s="6"/>
      <c r="F92" s="6"/>
      <c r="G92" s="3"/>
      <c r="H92" s="5"/>
      <c r="I92" s="72"/>
      <c r="J92" s="5"/>
      <c r="K92" s="33"/>
      <c r="L92" s="5"/>
      <c r="M92" s="8"/>
      <c r="N92" s="8"/>
      <c r="O92" s="8"/>
      <c r="P92" s="3"/>
      <c r="Q92" s="3"/>
      <c r="R92" s="3"/>
    </row>
    <row r="93" spans="1:18">
      <c r="A93" s="14"/>
      <c r="B93" s="150" t="str">
        <f>UPPER(H93)</f>
        <v xml:space="preserve">ASSET </v>
      </c>
      <c r="C93" s="141"/>
      <c r="D93" s="141"/>
      <c r="E93" s="141"/>
      <c r="F93" s="141"/>
      <c r="G93" s="28"/>
      <c r="H93" s="167" t="s">
        <v>208</v>
      </c>
      <c r="I93" s="141"/>
      <c r="J93" s="141"/>
      <c r="K93" s="141"/>
      <c r="L93" s="141"/>
      <c r="M93" s="29"/>
      <c r="N93" s="149" t="s">
        <v>818</v>
      </c>
      <c r="O93" s="141"/>
      <c r="P93" s="141"/>
      <c r="Q93" s="141"/>
      <c r="R93" s="141"/>
    </row>
    <row r="94" spans="1:18">
      <c r="A94" s="14"/>
      <c r="B94" s="9"/>
      <c r="C94" s="10" t="str">
        <f t="shared" ref="C94:C102" si="18">UPPER(I94)</f>
        <v>ASSET SUPERVISOR</v>
      </c>
      <c r="D94" s="9"/>
      <c r="E94" s="9" t="str">
        <f t="shared" ref="E94:E102" si="19">UPPER(K94)</f>
        <v>SANGWOO NAM</v>
      </c>
      <c r="F94" s="9"/>
      <c r="G94" s="3"/>
      <c r="H94" s="3"/>
      <c r="I94" s="8" t="s">
        <v>209</v>
      </c>
      <c r="J94" s="3"/>
      <c r="K94" s="3" t="s">
        <v>210</v>
      </c>
      <c r="L94" s="3"/>
      <c r="M94" s="8"/>
      <c r="N94" s="8"/>
      <c r="O94" s="8" t="s">
        <v>819</v>
      </c>
      <c r="P94" s="3"/>
      <c r="Q94" s="3" t="s">
        <v>820</v>
      </c>
      <c r="R94" s="3"/>
    </row>
    <row r="95" spans="1:18">
      <c r="A95" s="14"/>
      <c r="B95" s="9"/>
      <c r="C95" s="10" t="str">
        <f t="shared" si="18"/>
        <v/>
      </c>
      <c r="D95" s="9"/>
      <c r="E95" s="9" t="str">
        <f t="shared" si="19"/>
        <v/>
      </c>
      <c r="F95" s="9"/>
      <c r="G95" s="3"/>
      <c r="H95" s="3"/>
      <c r="I95" s="8"/>
      <c r="J95" s="3"/>
      <c r="K95" s="3"/>
      <c r="L95" s="3"/>
      <c r="M95" s="8"/>
      <c r="N95" s="8"/>
      <c r="O95" s="21"/>
      <c r="P95" s="3"/>
      <c r="Q95" s="3"/>
      <c r="R95" s="3"/>
    </row>
    <row r="96" spans="1:18">
      <c r="A96" s="14"/>
      <c r="B96" s="9"/>
      <c r="C96" s="10" t="str">
        <f t="shared" si="18"/>
        <v>MODELING SUPERVISOR</v>
      </c>
      <c r="D96" s="9"/>
      <c r="E96" s="9" t="str">
        <f t="shared" si="19"/>
        <v>TEAYOUNG KIM</v>
      </c>
      <c r="F96" s="9"/>
      <c r="G96" s="3"/>
      <c r="H96" s="3"/>
      <c r="I96" s="8" t="s">
        <v>211</v>
      </c>
      <c r="J96" s="3"/>
      <c r="K96" s="3" t="s">
        <v>212</v>
      </c>
      <c r="L96" s="3"/>
      <c r="M96" s="8"/>
      <c r="N96" s="8"/>
      <c r="O96" s="8" t="s">
        <v>821</v>
      </c>
      <c r="P96" s="3"/>
      <c r="Q96" s="3" t="s">
        <v>822</v>
      </c>
      <c r="R96" s="3"/>
    </row>
    <row r="97" spans="1:18">
      <c r="A97" s="14"/>
      <c r="B97" s="9"/>
      <c r="C97" s="10" t="str">
        <f t="shared" si="18"/>
        <v/>
      </c>
      <c r="D97" s="9"/>
      <c r="E97" s="9" t="str">
        <f t="shared" si="19"/>
        <v>JUNGYUN HA</v>
      </c>
      <c r="F97" s="9"/>
      <c r="G97" s="3"/>
      <c r="H97" s="3"/>
      <c r="I97" s="8"/>
      <c r="J97" s="3"/>
      <c r="K97" s="3" t="s">
        <v>213</v>
      </c>
      <c r="L97" s="3"/>
      <c r="M97" s="8"/>
      <c r="N97" s="8"/>
      <c r="O97" s="8"/>
      <c r="P97" s="3"/>
      <c r="Q97" s="3" t="s">
        <v>823</v>
      </c>
      <c r="R97" s="3"/>
    </row>
    <row r="98" spans="1:18">
      <c r="A98" s="14"/>
      <c r="B98" s="9"/>
      <c r="C98" s="10" t="str">
        <f t="shared" si="18"/>
        <v/>
      </c>
      <c r="D98" s="9"/>
      <c r="E98" s="9" t="str">
        <f t="shared" si="19"/>
        <v>KIPYO KIM</v>
      </c>
      <c r="F98" s="9"/>
      <c r="G98" s="3"/>
      <c r="H98" s="3"/>
      <c r="I98" s="8"/>
      <c r="J98" s="3"/>
      <c r="K98" s="3" t="s">
        <v>214</v>
      </c>
      <c r="L98" s="3"/>
      <c r="M98" s="8"/>
      <c r="N98" s="8"/>
      <c r="O98" s="8"/>
      <c r="P98" s="3"/>
      <c r="Q98" s="3" t="s">
        <v>824</v>
      </c>
      <c r="R98" s="3"/>
    </row>
    <row r="99" spans="1:18">
      <c r="A99" s="14"/>
      <c r="B99" s="9"/>
      <c r="C99" s="10" t="str">
        <f t="shared" si="18"/>
        <v/>
      </c>
      <c r="D99" s="9"/>
      <c r="E99" s="9" t="str">
        <f t="shared" si="19"/>
        <v/>
      </c>
      <c r="F99" s="9"/>
      <c r="G99" s="3"/>
      <c r="H99" s="3"/>
      <c r="I99" s="8"/>
      <c r="J99" s="3"/>
      <c r="K99" s="3"/>
      <c r="L99" s="3"/>
      <c r="M99" s="8"/>
      <c r="N99" s="8"/>
      <c r="O99" s="8"/>
      <c r="P99" s="3"/>
      <c r="Q99" s="3"/>
      <c r="R99" s="3"/>
    </row>
    <row r="100" spans="1:18">
      <c r="A100" s="14"/>
      <c r="B100" s="9"/>
      <c r="C100" s="10" t="str">
        <f t="shared" si="18"/>
        <v>LOOKDEV ARTIST</v>
      </c>
      <c r="D100" s="9"/>
      <c r="E100" s="9" t="str">
        <f t="shared" si="19"/>
        <v>YEONJU LEE</v>
      </c>
      <c r="F100" s="9"/>
      <c r="G100" s="3"/>
      <c r="H100" s="3"/>
      <c r="I100" s="8" t="s">
        <v>215</v>
      </c>
      <c r="J100" s="3"/>
      <c r="K100" s="3" t="s">
        <v>216</v>
      </c>
      <c r="L100" s="3"/>
      <c r="M100" s="8"/>
      <c r="N100" s="8"/>
      <c r="O100" s="8" t="s">
        <v>825</v>
      </c>
      <c r="P100" s="3"/>
      <c r="Q100" s="3" t="s">
        <v>826</v>
      </c>
      <c r="R100" s="3"/>
    </row>
    <row r="101" spans="1:18">
      <c r="A101" s="14"/>
      <c r="B101" s="9"/>
      <c r="C101" s="10" t="str">
        <f t="shared" si="18"/>
        <v/>
      </c>
      <c r="D101" s="9"/>
      <c r="E101" s="9" t="str">
        <f t="shared" si="19"/>
        <v/>
      </c>
      <c r="F101" s="9"/>
      <c r="G101" s="3"/>
      <c r="H101" s="3"/>
      <c r="I101" s="8"/>
      <c r="J101" s="3"/>
      <c r="K101" s="3"/>
      <c r="L101" s="3"/>
      <c r="M101" s="3"/>
      <c r="N101" s="3"/>
      <c r="O101" s="8"/>
      <c r="P101" s="3"/>
      <c r="Q101" s="3"/>
      <c r="R101" s="3"/>
    </row>
    <row r="102" spans="1:18">
      <c r="A102" s="14"/>
      <c r="B102" s="9"/>
      <c r="C102" s="10" t="str">
        <f t="shared" si="18"/>
        <v>RIGGING</v>
      </c>
      <c r="D102" s="9"/>
      <c r="E102" s="9" t="str">
        <f t="shared" si="19"/>
        <v>MINJU YOO</v>
      </c>
      <c r="F102" s="9"/>
      <c r="G102" s="3"/>
      <c r="H102" s="3"/>
      <c r="I102" s="8" t="s">
        <v>217</v>
      </c>
      <c r="J102" s="3"/>
      <c r="K102" s="3" t="s">
        <v>218</v>
      </c>
      <c r="L102" s="3"/>
      <c r="M102" s="8"/>
      <c r="N102" s="8"/>
      <c r="O102" s="8" t="s">
        <v>827</v>
      </c>
      <c r="P102" s="3"/>
      <c r="Q102" s="3" t="s">
        <v>828</v>
      </c>
      <c r="R102" s="3"/>
    </row>
    <row r="103" spans="1:18">
      <c r="A103" s="14"/>
      <c r="B103" s="9"/>
      <c r="C103" s="10"/>
      <c r="D103" s="9"/>
      <c r="E103" s="9"/>
      <c r="F103" s="9"/>
      <c r="G103" s="3"/>
      <c r="H103" s="3"/>
      <c r="I103" s="8"/>
      <c r="J103" s="3"/>
      <c r="K103" s="3"/>
      <c r="L103" s="3"/>
      <c r="M103" s="8"/>
      <c r="N103" s="8"/>
      <c r="O103" s="8"/>
      <c r="P103" s="3"/>
      <c r="Q103" s="3"/>
      <c r="R103" s="3"/>
    </row>
    <row r="104" spans="1:18">
      <c r="A104" s="14"/>
      <c r="B104" s="11"/>
      <c r="C104" s="12" t="str">
        <f>UPPER(I104)</f>
        <v/>
      </c>
      <c r="D104" s="11"/>
      <c r="E104" s="11" t="str">
        <f>UPPER(K104)</f>
        <v/>
      </c>
      <c r="F104" s="11"/>
      <c r="G104" s="3"/>
      <c r="H104" s="3"/>
      <c r="J104" s="3"/>
      <c r="K104" s="3"/>
      <c r="L104" s="3"/>
      <c r="M104" s="8"/>
      <c r="N104" s="8"/>
      <c r="O104" s="8"/>
      <c r="P104" s="3"/>
      <c r="Q104" s="3"/>
      <c r="R104" s="3"/>
    </row>
    <row r="105" spans="1:18">
      <c r="A105" s="14"/>
      <c r="B105" s="9"/>
      <c r="C105" s="10"/>
      <c r="D105" s="9"/>
      <c r="E105" s="9"/>
      <c r="F105" s="9"/>
      <c r="G105" s="3"/>
      <c r="H105" s="3"/>
      <c r="J105" s="3"/>
      <c r="K105" s="3"/>
      <c r="L105" s="3"/>
      <c r="M105" s="8"/>
      <c r="N105" s="8"/>
      <c r="O105" s="8"/>
      <c r="P105" s="3"/>
      <c r="Q105" s="3"/>
      <c r="R105" s="3"/>
    </row>
    <row r="106" spans="1:18">
      <c r="A106" s="14"/>
      <c r="B106" s="150" t="str">
        <f t="shared" ref="B106:B107" si="20">UPPER(H106)</f>
        <v xml:space="preserve">ASSET </v>
      </c>
      <c r="C106" s="141"/>
      <c r="D106" s="141"/>
      <c r="E106" s="141"/>
      <c r="F106" s="141"/>
      <c r="G106" s="28"/>
      <c r="H106" s="167" t="s">
        <v>208</v>
      </c>
      <c r="I106" s="141"/>
      <c r="J106" s="141"/>
      <c r="K106" s="141"/>
      <c r="L106" s="141"/>
      <c r="M106" s="8"/>
      <c r="N106" s="149" t="s">
        <v>818</v>
      </c>
      <c r="O106" s="141"/>
      <c r="P106" s="141"/>
      <c r="Q106" s="141"/>
      <c r="R106" s="141"/>
    </row>
    <row r="107" spans="1:18">
      <c r="A107" s="14"/>
      <c r="B107" s="146" t="str">
        <f t="shared" si="20"/>
        <v>THE MONK STUDIOS</v>
      </c>
      <c r="C107" s="141"/>
      <c r="D107" s="141"/>
      <c r="E107" s="141"/>
      <c r="F107" s="141"/>
      <c r="G107" s="3"/>
      <c r="H107" s="149" t="s">
        <v>202</v>
      </c>
      <c r="I107" s="141"/>
      <c r="J107" s="141"/>
      <c r="K107" s="141"/>
      <c r="L107" s="141"/>
      <c r="M107" s="8"/>
      <c r="N107" s="149" t="s">
        <v>202</v>
      </c>
      <c r="O107" s="141"/>
      <c r="P107" s="141"/>
      <c r="Q107" s="141"/>
      <c r="R107" s="141"/>
    </row>
    <row r="108" spans="1:18">
      <c r="A108" s="14"/>
      <c r="B108" s="9"/>
      <c r="C108" s="10"/>
      <c r="D108" s="9"/>
      <c r="E108" s="9"/>
      <c r="F108" s="9"/>
      <c r="G108" s="3"/>
      <c r="H108" s="3"/>
      <c r="I108" s="8"/>
      <c r="K108" s="34"/>
      <c r="L108" s="2"/>
      <c r="N108" s="3"/>
      <c r="O108" s="8"/>
      <c r="Q108" s="34"/>
      <c r="R108" s="2"/>
    </row>
    <row r="109" spans="1:18">
      <c r="A109" s="14"/>
      <c r="B109" s="9"/>
      <c r="C109" s="10" t="str">
        <f t="shared" ref="C109:C126" si="21">UPPER(I109)</f>
        <v>ASSET SUPERVISOR</v>
      </c>
      <c r="D109" s="9"/>
      <c r="E109" s="9" t="str">
        <f t="shared" ref="E109:E129" si="22">UPPER(K109)</f>
        <v>ATTAPORN KANJANASAHAS</v>
      </c>
      <c r="F109" s="9"/>
      <c r="G109" s="3"/>
      <c r="H109" s="3"/>
      <c r="I109" s="8" t="s">
        <v>209</v>
      </c>
      <c r="K109" s="34" t="s">
        <v>219</v>
      </c>
      <c r="L109" s="2"/>
      <c r="N109" s="3"/>
      <c r="O109" s="8" t="s">
        <v>209</v>
      </c>
      <c r="Q109" s="34" t="s">
        <v>219</v>
      </c>
      <c r="R109" s="2"/>
    </row>
    <row r="110" spans="1:18">
      <c r="A110" s="14"/>
      <c r="B110" s="9"/>
      <c r="C110" s="10" t="str">
        <f t="shared" si="21"/>
        <v/>
      </c>
      <c r="D110" s="9"/>
      <c r="E110" s="9" t="str">
        <f t="shared" si="22"/>
        <v/>
      </c>
      <c r="F110" s="9"/>
      <c r="G110" s="3"/>
      <c r="H110" s="3"/>
      <c r="K110" s="35"/>
      <c r="L110" s="2"/>
      <c r="N110" s="3"/>
      <c r="Q110" s="35"/>
      <c r="R110" s="2"/>
    </row>
    <row r="111" spans="1:18">
      <c r="A111" s="14"/>
      <c r="B111" s="9"/>
      <c r="C111" s="10" t="str">
        <f t="shared" si="21"/>
        <v>MODEL SUPERVISOR</v>
      </c>
      <c r="D111" s="9"/>
      <c r="E111" s="9" t="str">
        <f t="shared" si="22"/>
        <v>THANITTHA PROMPATIMA</v>
      </c>
      <c r="F111" s="9"/>
      <c r="G111" s="3"/>
      <c r="H111" s="3"/>
      <c r="I111" s="36" t="s">
        <v>220</v>
      </c>
      <c r="J111" s="3"/>
      <c r="K111" s="37" t="s">
        <v>221</v>
      </c>
      <c r="L111" s="3"/>
      <c r="M111" s="8"/>
      <c r="N111" s="3"/>
      <c r="O111" s="36" t="s">
        <v>220</v>
      </c>
      <c r="P111" s="3"/>
      <c r="Q111" s="37" t="s">
        <v>221</v>
      </c>
      <c r="R111" s="3"/>
    </row>
    <row r="112" spans="1:18">
      <c r="A112" s="14"/>
      <c r="B112" s="9"/>
      <c r="C112" s="10" t="str">
        <f t="shared" si="21"/>
        <v/>
      </c>
      <c r="D112" s="9"/>
      <c r="E112" s="9" t="str">
        <f t="shared" si="22"/>
        <v/>
      </c>
      <c r="F112" s="9"/>
      <c r="G112" s="3"/>
      <c r="H112" s="3"/>
      <c r="I112" s="36"/>
      <c r="J112" s="3"/>
      <c r="K112" s="37"/>
      <c r="L112" s="3"/>
      <c r="M112" s="8"/>
      <c r="N112" s="3"/>
      <c r="O112" s="36"/>
      <c r="P112" s="3"/>
      <c r="Q112" s="37"/>
      <c r="R112" s="3"/>
    </row>
    <row r="113" spans="1:18">
      <c r="A113" s="14"/>
      <c r="B113" s="9"/>
      <c r="C113" s="10" t="str">
        <f t="shared" si="21"/>
        <v>MODELER LEADER</v>
      </c>
      <c r="D113" s="9"/>
      <c r="E113" s="9" t="str">
        <f t="shared" si="22"/>
        <v>YANNAKRON WONGPHUN</v>
      </c>
      <c r="F113" s="9"/>
      <c r="G113" s="3"/>
      <c r="H113" s="3"/>
      <c r="I113" s="36" t="s">
        <v>222</v>
      </c>
      <c r="J113" s="3"/>
      <c r="K113" s="37" t="s">
        <v>223</v>
      </c>
      <c r="L113" s="3"/>
      <c r="M113" s="8"/>
      <c r="N113" s="3"/>
      <c r="O113" s="36" t="s">
        <v>222</v>
      </c>
      <c r="P113" s="3"/>
      <c r="Q113" s="37" t="s">
        <v>223</v>
      </c>
      <c r="R113" s="3"/>
    </row>
    <row r="114" spans="1:18">
      <c r="A114" s="14"/>
      <c r="B114" s="9"/>
      <c r="C114" s="10" t="str">
        <f t="shared" si="21"/>
        <v/>
      </c>
      <c r="D114" s="9"/>
      <c r="E114" s="9" t="str">
        <f t="shared" si="22"/>
        <v>CHANATITH TAWANMAI</v>
      </c>
      <c r="F114" s="9"/>
      <c r="G114" s="3"/>
      <c r="H114" s="3"/>
      <c r="I114" s="36"/>
      <c r="J114" s="3"/>
      <c r="K114" s="37" t="s">
        <v>224</v>
      </c>
      <c r="L114" s="3"/>
      <c r="M114" s="8"/>
      <c r="N114" s="3"/>
      <c r="O114" s="36"/>
      <c r="P114" s="3"/>
      <c r="Q114" s="37" t="s">
        <v>224</v>
      </c>
      <c r="R114" s="3"/>
    </row>
    <row r="115" spans="1:18">
      <c r="A115" s="14"/>
      <c r="B115" s="9"/>
      <c r="C115" s="10" t="str">
        <f t="shared" si="21"/>
        <v/>
      </c>
      <c r="D115" s="9"/>
      <c r="E115" s="9" t="str">
        <f t="shared" si="22"/>
        <v/>
      </c>
      <c r="F115" s="9"/>
      <c r="G115" s="3"/>
      <c r="H115" s="3"/>
      <c r="I115" s="36"/>
      <c r="J115" s="3"/>
      <c r="K115" s="37"/>
      <c r="L115" s="3"/>
      <c r="M115" s="8"/>
      <c r="N115" s="3"/>
      <c r="O115" s="36"/>
      <c r="P115" s="3"/>
      <c r="Q115" s="37"/>
      <c r="R115" s="3"/>
    </row>
    <row r="116" spans="1:18">
      <c r="A116" s="14"/>
      <c r="B116" s="9"/>
      <c r="C116" s="10" t="str">
        <f t="shared" si="21"/>
        <v>MODELER</v>
      </c>
      <c r="D116" s="9"/>
      <c r="E116" s="9" t="str">
        <f t="shared" si="22"/>
        <v>JIRAWAT PANGCHOMPOO</v>
      </c>
      <c r="F116" s="9"/>
      <c r="G116" s="3"/>
      <c r="H116" s="3"/>
      <c r="I116" s="36" t="s">
        <v>225</v>
      </c>
      <c r="J116" s="3"/>
      <c r="K116" s="37" t="s">
        <v>226</v>
      </c>
      <c r="L116" s="3"/>
      <c r="M116" s="8"/>
      <c r="N116" s="3"/>
      <c r="O116" s="36" t="s">
        <v>225</v>
      </c>
      <c r="P116" s="3"/>
      <c r="Q116" s="37" t="s">
        <v>226</v>
      </c>
      <c r="R116" s="3"/>
    </row>
    <row r="117" spans="1:18">
      <c r="A117" s="14"/>
      <c r="B117" s="9"/>
      <c r="C117" s="10" t="str">
        <f t="shared" si="21"/>
        <v/>
      </c>
      <c r="D117" s="9"/>
      <c r="E117" s="9" t="str">
        <f t="shared" si="22"/>
        <v>TEERAWAT PHO-OB</v>
      </c>
      <c r="F117" s="9"/>
      <c r="G117" s="3"/>
      <c r="H117" s="3"/>
      <c r="I117" s="8"/>
      <c r="J117" s="3"/>
      <c r="K117" s="37" t="s">
        <v>227</v>
      </c>
      <c r="L117" s="3"/>
      <c r="M117" s="8"/>
      <c r="N117" s="3"/>
      <c r="O117" s="8"/>
      <c r="P117" s="3"/>
      <c r="Q117" s="37" t="s">
        <v>227</v>
      </c>
      <c r="R117" s="3"/>
    </row>
    <row r="118" spans="1:18">
      <c r="A118" s="14"/>
      <c r="B118" s="9"/>
      <c r="C118" s="10" t="str">
        <f t="shared" si="21"/>
        <v/>
      </c>
      <c r="D118" s="9"/>
      <c r="E118" s="9" t="str">
        <f t="shared" si="22"/>
        <v>SUPACHOCK NUAMTHONG</v>
      </c>
      <c r="F118" s="9"/>
      <c r="G118" s="3"/>
      <c r="H118" s="3"/>
      <c r="I118" s="8"/>
      <c r="J118" s="3"/>
      <c r="K118" s="37" t="s">
        <v>228</v>
      </c>
      <c r="L118" s="3"/>
      <c r="M118" s="8"/>
      <c r="N118" s="3"/>
      <c r="O118" s="8"/>
      <c r="P118" s="3"/>
      <c r="Q118" s="37" t="s">
        <v>228</v>
      </c>
      <c r="R118" s="3"/>
    </row>
    <row r="119" spans="1:18">
      <c r="A119" s="14"/>
      <c r="B119" s="9"/>
      <c r="C119" s="10" t="str">
        <f t="shared" si="21"/>
        <v/>
      </c>
      <c r="D119" s="9"/>
      <c r="E119" s="9" t="str">
        <f t="shared" si="22"/>
        <v>VIPHADA KARNJANAWARIT</v>
      </c>
      <c r="F119" s="9"/>
      <c r="G119" s="3"/>
      <c r="H119" s="3"/>
      <c r="I119" s="8"/>
      <c r="J119" s="3"/>
      <c r="K119" s="37" t="s">
        <v>229</v>
      </c>
      <c r="L119" s="3"/>
      <c r="M119" s="8"/>
      <c r="N119" s="3"/>
      <c r="O119" s="8"/>
      <c r="P119" s="3"/>
      <c r="Q119" s="37" t="s">
        <v>229</v>
      </c>
      <c r="R119" s="3"/>
    </row>
    <row r="120" spans="1:18">
      <c r="A120" s="14"/>
      <c r="B120" s="9"/>
      <c r="C120" s="10" t="str">
        <f t="shared" si="21"/>
        <v/>
      </c>
      <c r="D120" s="9"/>
      <c r="E120" s="9" t="str">
        <f t="shared" si="22"/>
        <v>TEERAKA KONGPAISAND</v>
      </c>
      <c r="F120" s="9"/>
      <c r="G120" s="3"/>
      <c r="H120" s="3"/>
      <c r="I120" s="8"/>
      <c r="J120" s="3"/>
      <c r="K120" s="37" t="s">
        <v>230</v>
      </c>
      <c r="L120" s="3"/>
      <c r="M120" s="8"/>
      <c r="N120" s="3"/>
      <c r="O120" s="8"/>
      <c r="P120" s="3"/>
      <c r="Q120" s="37" t="s">
        <v>230</v>
      </c>
      <c r="R120" s="3"/>
    </row>
    <row r="121" spans="1:18">
      <c r="A121" s="14"/>
      <c r="B121" s="9"/>
      <c r="C121" s="10" t="str">
        <f t="shared" si="21"/>
        <v/>
      </c>
      <c r="D121" s="9"/>
      <c r="E121" s="9" t="str">
        <f t="shared" si="22"/>
        <v>NATCHA NUNTANAJAROENKUL</v>
      </c>
      <c r="F121" s="9"/>
      <c r="G121" s="3"/>
      <c r="H121" s="3"/>
      <c r="I121" s="8"/>
      <c r="J121" s="3"/>
      <c r="K121" s="37" t="s">
        <v>231</v>
      </c>
      <c r="L121" s="3"/>
      <c r="M121" s="8"/>
      <c r="N121" s="3"/>
      <c r="O121" s="8"/>
      <c r="P121" s="3"/>
      <c r="Q121" s="37" t="s">
        <v>231</v>
      </c>
      <c r="R121" s="3"/>
    </row>
    <row r="122" spans="1:18">
      <c r="A122" s="14"/>
      <c r="B122" s="9"/>
      <c r="C122" s="10" t="str">
        <f t="shared" si="21"/>
        <v/>
      </c>
      <c r="D122" s="9"/>
      <c r="E122" s="9" t="str">
        <f t="shared" si="22"/>
        <v>PANUWAT VIVATTANAWONGSIRI</v>
      </c>
      <c r="F122" s="9"/>
      <c r="G122" s="3"/>
      <c r="H122" s="3"/>
      <c r="I122" s="8"/>
      <c r="J122" s="3"/>
      <c r="K122" s="37" t="s">
        <v>232</v>
      </c>
      <c r="L122" s="3"/>
      <c r="M122" s="8"/>
      <c r="N122" s="3"/>
      <c r="O122" s="8"/>
      <c r="P122" s="3"/>
      <c r="Q122" s="37" t="s">
        <v>232</v>
      </c>
      <c r="R122" s="3"/>
    </row>
    <row r="123" spans="1:18">
      <c r="A123" s="14"/>
      <c r="B123" s="9"/>
      <c r="C123" s="10" t="str">
        <f t="shared" si="21"/>
        <v/>
      </c>
      <c r="D123" s="9"/>
      <c r="E123" s="9" t="str">
        <f t="shared" si="22"/>
        <v>KOTCHAWAN PRADITUKRIT</v>
      </c>
      <c r="F123" s="9"/>
      <c r="G123" s="3"/>
      <c r="H123" s="3"/>
      <c r="I123" s="8"/>
      <c r="J123" s="3"/>
      <c r="K123" s="37" t="s">
        <v>233</v>
      </c>
      <c r="L123" s="3"/>
      <c r="M123" s="8"/>
      <c r="N123" s="3"/>
      <c r="O123" s="8"/>
      <c r="P123" s="3"/>
      <c r="Q123" s="37" t="s">
        <v>233</v>
      </c>
      <c r="R123" s="3"/>
    </row>
    <row r="124" spans="1:18">
      <c r="A124" s="14"/>
      <c r="B124" s="9"/>
      <c r="C124" s="10" t="str">
        <f t="shared" si="21"/>
        <v/>
      </c>
      <c r="D124" s="9"/>
      <c r="E124" s="9" t="str">
        <f t="shared" si="22"/>
        <v>SUPAPAK SUKWAN</v>
      </c>
      <c r="F124" s="9"/>
      <c r="G124" s="3"/>
      <c r="H124" s="3"/>
      <c r="I124" s="8"/>
      <c r="J124" s="3"/>
      <c r="K124" s="37" t="s">
        <v>234</v>
      </c>
      <c r="L124" s="3"/>
      <c r="M124" s="8"/>
      <c r="N124" s="3"/>
      <c r="O124" s="8"/>
      <c r="P124" s="3"/>
      <c r="Q124" s="37" t="s">
        <v>234</v>
      </c>
      <c r="R124" s="3"/>
    </row>
    <row r="125" spans="1:18">
      <c r="A125" s="14"/>
      <c r="B125" s="9"/>
      <c r="C125" s="10" t="str">
        <f t="shared" si="21"/>
        <v/>
      </c>
      <c r="D125" s="9"/>
      <c r="E125" s="9" t="str">
        <f t="shared" si="22"/>
        <v>ANURAK WASAENDEE</v>
      </c>
      <c r="F125" s="9"/>
      <c r="G125" s="3"/>
      <c r="H125" s="3"/>
      <c r="I125" s="8"/>
      <c r="J125" s="3"/>
      <c r="K125" s="37" t="s">
        <v>235</v>
      </c>
      <c r="L125" s="3"/>
      <c r="M125" s="8"/>
      <c r="N125" s="3"/>
      <c r="O125" s="8"/>
      <c r="P125" s="3"/>
      <c r="Q125" s="37" t="s">
        <v>235</v>
      </c>
      <c r="R125" s="3"/>
    </row>
    <row r="126" spans="1:18">
      <c r="A126" s="14"/>
      <c r="B126" s="9"/>
      <c r="C126" s="10" t="str">
        <f t="shared" si="21"/>
        <v/>
      </c>
      <c r="D126" s="9"/>
      <c r="E126" s="9" t="str">
        <f t="shared" si="22"/>
        <v>JAKKRIT THANAPHATTHANAKUL</v>
      </c>
      <c r="F126" s="9"/>
      <c r="G126" s="3"/>
      <c r="H126" s="3"/>
      <c r="I126" s="8"/>
      <c r="J126" s="3"/>
      <c r="K126" s="37" t="s">
        <v>236</v>
      </c>
      <c r="L126" s="3"/>
      <c r="M126" s="8"/>
      <c r="N126" s="3"/>
      <c r="O126" s="8"/>
      <c r="P126" s="3"/>
      <c r="Q126" s="37" t="s">
        <v>236</v>
      </c>
      <c r="R126" s="3"/>
    </row>
    <row r="127" spans="1:18">
      <c r="A127" s="14"/>
      <c r="B127" s="9"/>
      <c r="C127" s="10"/>
      <c r="D127" s="9"/>
      <c r="E127" s="9" t="str">
        <f t="shared" si="22"/>
        <v>TANAWAT YORIYA</v>
      </c>
      <c r="F127" s="9"/>
      <c r="G127" s="3"/>
      <c r="H127" s="3"/>
      <c r="I127" s="8"/>
      <c r="J127" s="3"/>
      <c r="K127" s="31" t="s">
        <v>237</v>
      </c>
      <c r="L127" s="3"/>
      <c r="M127" s="8"/>
      <c r="N127" s="3"/>
      <c r="O127" s="8"/>
      <c r="P127" s="3"/>
      <c r="Q127" s="31" t="s">
        <v>237</v>
      </c>
      <c r="R127" s="3"/>
    </row>
    <row r="128" spans="1:18">
      <c r="A128" s="14"/>
      <c r="B128" s="9"/>
      <c r="C128" s="10"/>
      <c r="D128" s="9"/>
      <c r="E128" s="9" t="str">
        <f t="shared" si="22"/>
        <v>WITSANUKORN CHALIAOTHAM</v>
      </c>
      <c r="F128" s="9"/>
      <c r="G128" s="3"/>
      <c r="H128" s="3"/>
      <c r="I128" s="8"/>
      <c r="J128" s="3"/>
      <c r="K128" s="31" t="s">
        <v>238</v>
      </c>
      <c r="L128" s="3"/>
      <c r="M128" s="8"/>
      <c r="N128" s="3"/>
      <c r="O128" s="8"/>
      <c r="P128" s="3"/>
      <c r="Q128" s="31" t="s">
        <v>238</v>
      </c>
      <c r="R128" s="3"/>
    </row>
    <row r="129" spans="1:18">
      <c r="A129" s="14"/>
      <c r="B129" s="9"/>
      <c r="C129" s="10"/>
      <c r="D129" s="9"/>
      <c r="E129" s="9" t="str">
        <f t="shared" si="22"/>
        <v>CHANBHASAKORN MINGSOMPAN</v>
      </c>
      <c r="F129" s="9"/>
      <c r="G129" s="3"/>
      <c r="H129" s="3"/>
      <c r="I129" s="8"/>
      <c r="J129" s="3"/>
      <c r="K129" s="31" t="s">
        <v>239</v>
      </c>
      <c r="L129" s="3"/>
      <c r="M129" s="8"/>
      <c r="N129" s="3"/>
      <c r="O129" s="8"/>
      <c r="P129" s="3"/>
      <c r="Q129" s="31" t="s">
        <v>239</v>
      </c>
      <c r="R129" s="3"/>
    </row>
    <row r="130" spans="1:18">
      <c r="A130" s="14"/>
      <c r="B130" s="9"/>
      <c r="C130" s="10"/>
      <c r="D130" s="9"/>
      <c r="E130" s="9"/>
      <c r="F130" s="9"/>
      <c r="G130" s="3"/>
      <c r="H130" s="3"/>
      <c r="I130" s="8"/>
      <c r="J130" s="3"/>
      <c r="K130" s="31"/>
      <c r="L130" s="3"/>
      <c r="M130" s="8"/>
      <c r="N130" s="8"/>
      <c r="O130" s="8"/>
      <c r="P130" s="3"/>
      <c r="Q130" s="3"/>
      <c r="R130" s="3"/>
    </row>
    <row r="131" spans="1:18">
      <c r="A131" s="14"/>
      <c r="B131" s="11"/>
      <c r="C131" s="12"/>
      <c r="D131" s="11"/>
      <c r="E131" s="11"/>
      <c r="F131" s="11"/>
      <c r="G131" s="3"/>
      <c r="H131" s="3"/>
      <c r="I131" s="8"/>
      <c r="J131" s="3"/>
      <c r="K131" s="31"/>
      <c r="L131" s="3"/>
      <c r="M131" s="8"/>
      <c r="N131" s="8"/>
      <c r="O131" s="8"/>
      <c r="P131" s="3"/>
      <c r="Q131" s="3"/>
      <c r="R131" s="3"/>
    </row>
    <row r="132" spans="1:18">
      <c r="A132" s="14"/>
      <c r="B132" s="9"/>
      <c r="C132" s="10"/>
      <c r="D132" s="9"/>
      <c r="E132" s="9"/>
      <c r="F132" s="9"/>
      <c r="G132" s="3"/>
      <c r="H132" s="3"/>
      <c r="I132" s="8"/>
      <c r="J132" s="3"/>
      <c r="K132" s="31"/>
      <c r="L132" s="3"/>
      <c r="M132" s="8"/>
      <c r="N132" s="8"/>
      <c r="O132" s="8"/>
      <c r="P132" s="3"/>
      <c r="Q132" s="3"/>
      <c r="R132" s="3"/>
    </row>
    <row r="133" spans="1:18">
      <c r="A133" s="14"/>
      <c r="B133" s="150" t="str">
        <f t="shared" ref="B133:B134" si="23">UPPER(H133)</f>
        <v xml:space="preserve">ASSET </v>
      </c>
      <c r="C133" s="141"/>
      <c r="D133" s="141"/>
      <c r="E133" s="141"/>
      <c r="F133" s="141"/>
      <c r="G133" s="28"/>
      <c r="H133" s="167" t="s">
        <v>208</v>
      </c>
      <c r="I133" s="141"/>
      <c r="J133" s="141"/>
      <c r="K133" s="141"/>
      <c r="L133" s="141"/>
      <c r="M133" s="8"/>
      <c r="N133" s="149" t="s">
        <v>818</v>
      </c>
      <c r="O133" s="141"/>
      <c r="P133" s="141"/>
      <c r="Q133" s="141"/>
      <c r="R133" s="141"/>
    </row>
    <row r="134" spans="1:18">
      <c r="A134" s="14"/>
      <c r="B134" s="146" t="str">
        <f t="shared" si="23"/>
        <v>THE MONK STUDIOS</v>
      </c>
      <c r="C134" s="141"/>
      <c r="D134" s="141"/>
      <c r="E134" s="141"/>
      <c r="F134" s="141"/>
      <c r="G134" s="3"/>
      <c r="H134" s="149" t="s">
        <v>202</v>
      </c>
      <c r="I134" s="141"/>
      <c r="J134" s="141"/>
      <c r="K134" s="141"/>
      <c r="L134" s="141"/>
      <c r="M134" s="8"/>
      <c r="N134" s="149" t="s">
        <v>202</v>
      </c>
      <c r="O134" s="141"/>
      <c r="P134" s="141"/>
      <c r="Q134" s="141"/>
      <c r="R134" s="141"/>
    </row>
    <row r="135" spans="1:18">
      <c r="A135" s="14"/>
      <c r="B135" s="38"/>
      <c r="C135" s="38"/>
      <c r="D135" s="38"/>
      <c r="E135" s="38"/>
      <c r="F135" s="38"/>
      <c r="G135" s="3"/>
      <c r="H135" s="5"/>
      <c r="I135" s="5"/>
      <c r="J135" s="5"/>
      <c r="K135" s="5"/>
      <c r="L135" s="5"/>
      <c r="M135" s="3"/>
      <c r="N135" s="5"/>
      <c r="O135" s="5"/>
      <c r="P135" s="5"/>
      <c r="Q135" s="5"/>
      <c r="R135" s="5"/>
    </row>
    <row r="136" spans="1:18">
      <c r="A136" s="14"/>
      <c r="B136" s="9"/>
      <c r="C136" s="10" t="str">
        <f t="shared" ref="C136:C149" si="24">UPPER(I136)</f>
        <v>TEXTURE SUPERVISOR</v>
      </c>
      <c r="D136" s="9"/>
      <c r="E136" s="9" t="str">
        <f t="shared" ref="E136:E151" si="25">UPPER(K136)</f>
        <v>REWAT SIKHEMNGAM</v>
      </c>
      <c r="F136" s="9"/>
      <c r="G136" s="3"/>
      <c r="H136" s="3"/>
      <c r="I136" s="36" t="s">
        <v>240</v>
      </c>
      <c r="J136" s="3"/>
      <c r="K136" s="22" t="s">
        <v>241</v>
      </c>
      <c r="L136" s="3"/>
      <c r="M136" s="8"/>
      <c r="N136" s="3"/>
      <c r="O136" s="36" t="s">
        <v>240</v>
      </c>
      <c r="P136" s="3"/>
      <c r="Q136" s="22" t="s">
        <v>241</v>
      </c>
      <c r="R136" s="3"/>
    </row>
    <row r="137" spans="1:18">
      <c r="A137" s="14"/>
      <c r="B137" s="9"/>
      <c r="C137" s="10" t="str">
        <f t="shared" si="24"/>
        <v/>
      </c>
      <c r="D137" s="9"/>
      <c r="E137" s="9" t="str">
        <f t="shared" si="25"/>
        <v/>
      </c>
      <c r="F137" s="9"/>
      <c r="G137" s="3"/>
      <c r="H137" s="3"/>
      <c r="I137" s="36"/>
      <c r="J137" s="3"/>
      <c r="K137" s="22"/>
      <c r="L137" s="3"/>
      <c r="M137" s="8"/>
      <c r="N137" s="3"/>
      <c r="O137" s="36"/>
      <c r="P137" s="3"/>
      <c r="Q137" s="22"/>
      <c r="R137" s="3"/>
    </row>
    <row r="138" spans="1:18">
      <c r="A138" s="14"/>
      <c r="B138" s="9"/>
      <c r="C138" s="10" t="str">
        <f t="shared" si="24"/>
        <v>TEXTURE LEAD</v>
      </c>
      <c r="D138" s="9"/>
      <c r="E138" s="9" t="str">
        <f t="shared" si="25"/>
        <v>DUANGRUETHAI WONGPHAKHAM</v>
      </c>
      <c r="F138" s="9"/>
      <c r="G138" s="3"/>
      <c r="H138" s="3"/>
      <c r="I138" s="36" t="s">
        <v>242</v>
      </c>
      <c r="J138" s="3"/>
      <c r="K138" s="22" t="s">
        <v>243</v>
      </c>
      <c r="L138" s="3"/>
      <c r="M138" s="8"/>
      <c r="N138" s="3"/>
      <c r="O138" s="36" t="s">
        <v>242</v>
      </c>
      <c r="P138" s="3"/>
      <c r="Q138" s="22" t="s">
        <v>243</v>
      </c>
      <c r="R138" s="3"/>
    </row>
    <row r="139" spans="1:18">
      <c r="A139" s="14"/>
      <c r="B139" s="9"/>
      <c r="C139" s="10" t="str">
        <f t="shared" si="24"/>
        <v/>
      </c>
      <c r="D139" s="9"/>
      <c r="E139" s="9" t="str">
        <f t="shared" si="25"/>
        <v/>
      </c>
      <c r="F139" s="9"/>
      <c r="G139" s="3"/>
      <c r="H139" s="3"/>
      <c r="I139" s="36"/>
      <c r="J139" s="3"/>
      <c r="K139" s="22"/>
      <c r="L139" s="3"/>
      <c r="M139" s="8"/>
      <c r="N139" s="3"/>
      <c r="O139" s="36"/>
      <c r="P139" s="3"/>
      <c r="Q139" s="22"/>
      <c r="R139" s="3"/>
    </row>
    <row r="140" spans="1:18">
      <c r="A140" s="14"/>
      <c r="B140" s="9"/>
      <c r="C140" s="10" t="str">
        <f t="shared" si="24"/>
        <v>TEXTURE ARTIST</v>
      </c>
      <c r="D140" s="9"/>
      <c r="E140" s="9" t="str">
        <f t="shared" si="25"/>
        <v>SURANG PASAMLEE</v>
      </c>
      <c r="F140" s="9"/>
      <c r="G140" s="3"/>
      <c r="H140" s="3"/>
      <c r="I140" s="36" t="s">
        <v>244</v>
      </c>
      <c r="J140" s="3"/>
      <c r="K140" s="22" t="s">
        <v>245</v>
      </c>
      <c r="L140" s="3"/>
      <c r="M140" s="8"/>
      <c r="N140" s="3"/>
      <c r="O140" s="36" t="s">
        <v>244</v>
      </c>
      <c r="P140" s="3"/>
      <c r="Q140" s="22" t="s">
        <v>245</v>
      </c>
      <c r="R140" s="3"/>
    </row>
    <row r="141" spans="1:18">
      <c r="A141" s="14"/>
      <c r="B141" s="9"/>
      <c r="C141" s="10" t="str">
        <f t="shared" si="24"/>
        <v/>
      </c>
      <c r="D141" s="9"/>
      <c r="E141" s="9" t="str">
        <f t="shared" si="25"/>
        <v>RUJIKAN PHENPAIJIT</v>
      </c>
      <c r="F141" s="9"/>
      <c r="G141" s="3"/>
      <c r="H141" s="3"/>
      <c r="I141" s="8"/>
      <c r="J141" s="3"/>
      <c r="K141" s="22" t="s">
        <v>246</v>
      </c>
      <c r="L141" s="3"/>
      <c r="M141" s="8"/>
      <c r="N141" s="3"/>
      <c r="O141" s="8"/>
      <c r="P141" s="3"/>
      <c r="Q141" s="22" t="s">
        <v>246</v>
      </c>
      <c r="R141" s="3"/>
    </row>
    <row r="142" spans="1:18">
      <c r="A142" s="14"/>
      <c r="B142" s="9"/>
      <c r="C142" s="10" t="str">
        <f t="shared" si="24"/>
        <v/>
      </c>
      <c r="D142" s="9"/>
      <c r="E142" s="9" t="str">
        <f t="shared" si="25"/>
        <v>POONNAWAT SANTIYOTHIN</v>
      </c>
      <c r="F142" s="9"/>
      <c r="G142" s="3"/>
      <c r="H142" s="3"/>
      <c r="I142" s="8"/>
      <c r="J142" s="3"/>
      <c r="K142" s="22" t="s">
        <v>247</v>
      </c>
      <c r="L142" s="3"/>
      <c r="M142" s="8"/>
      <c r="N142" s="3"/>
      <c r="O142" s="8"/>
      <c r="P142" s="3"/>
      <c r="Q142" s="22" t="s">
        <v>247</v>
      </c>
      <c r="R142" s="3"/>
    </row>
    <row r="143" spans="1:18">
      <c r="A143" s="14"/>
      <c r="B143" s="9"/>
      <c r="C143" s="10" t="str">
        <f t="shared" si="24"/>
        <v/>
      </c>
      <c r="D143" s="9"/>
      <c r="E143" s="9" t="str">
        <f t="shared" si="25"/>
        <v>NUTCHAYA PUENGPREEDA</v>
      </c>
      <c r="F143" s="9"/>
      <c r="G143" s="3"/>
      <c r="H143" s="3"/>
      <c r="I143" s="8"/>
      <c r="J143" s="3"/>
      <c r="K143" s="22" t="s">
        <v>248</v>
      </c>
      <c r="L143" s="3"/>
      <c r="M143" s="8"/>
      <c r="N143" s="3"/>
      <c r="O143" s="8"/>
      <c r="P143" s="3"/>
      <c r="Q143" s="22" t="s">
        <v>248</v>
      </c>
      <c r="R143" s="3"/>
    </row>
    <row r="144" spans="1:18">
      <c r="A144" s="14"/>
      <c r="B144" s="9"/>
      <c r="C144" s="10" t="str">
        <f t="shared" si="24"/>
        <v/>
      </c>
      <c r="D144" s="9"/>
      <c r="E144" s="9" t="str">
        <f t="shared" si="25"/>
        <v>KANLAYANEE SUWANNABUT</v>
      </c>
      <c r="F144" s="9"/>
      <c r="G144" s="3"/>
      <c r="H144" s="3"/>
      <c r="I144" s="8"/>
      <c r="J144" s="3"/>
      <c r="K144" s="22" t="s">
        <v>249</v>
      </c>
      <c r="L144" s="3"/>
      <c r="M144" s="8"/>
      <c r="N144" s="3"/>
      <c r="O144" s="8"/>
      <c r="P144" s="3"/>
      <c r="Q144" s="22" t="s">
        <v>249</v>
      </c>
      <c r="R144" s="3"/>
    </row>
    <row r="145" spans="1:18">
      <c r="A145" s="14"/>
      <c r="B145" s="9"/>
      <c r="C145" s="10" t="str">
        <f t="shared" si="24"/>
        <v/>
      </c>
      <c r="D145" s="9"/>
      <c r="E145" s="9" t="str">
        <f t="shared" si="25"/>
        <v>THANAWAT SAWATCHITANG</v>
      </c>
      <c r="F145" s="9"/>
      <c r="G145" s="3"/>
      <c r="H145" s="3"/>
      <c r="I145" s="8"/>
      <c r="J145" s="3"/>
      <c r="K145" s="22" t="s">
        <v>250</v>
      </c>
      <c r="L145" s="3"/>
      <c r="M145" s="8"/>
      <c r="N145" s="3"/>
      <c r="O145" s="8"/>
      <c r="P145" s="3"/>
      <c r="Q145" s="22" t="s">
        <v>250</v>
      </c>
      <c r="R145" s="3"/>
    </row>
    <row r="146" spans="1:18">
      <c r="A146" s="14"/>
      <c r="B146" s="9"/>
      <c r="C146" s="10" t="str">
        <f t="shared" si="24"/>
        <v/>
      </c>
      <c r="D146" s="9"/>
      <c r="E146" s="9" t="str">
        <f t="shared" si="25"/>
        <v>NATYADA WANGKAHAT</v>
      </c>
      <c r="F146" s="9"/>
      <c r="G146" s="3"/>
      <c r="H146" s="3"/>
      <c r="I146" s="8"/>
      <c r="J146" s="3"/>
      <c r="K146" s="22" t="s">
        <v>251</v>
      </c>
      <c r="L146" s="3"/>
      <c r="M146" s="8"/>
      <c r="N146" s="3"/>
      <c r="O146" s="8"/>
      <c r="P146" s="3"/>
      <c r="Q146" s="22" t="s">
        <v>251</v>
      </c>
      <c r="R146" s="3"/>
    </row>
    <row r="147" spans="1:18">
      <c r="A147" s="14"/>
      <c r="B147" s="9"/>
      <c r="C147" s="10" t="str">
        <f t="shared" si="24"/>
        <v/>
      </c>
      <c r="D147" s="9"/>
      <c r="E147" s="9" t="str">
        <f t="shared" si="25"/>
        <v>KWANLARB POTJANASUNTORN</v>
      </c>
      <c r="F147" s="9"/>
      <c r="G147" s="3"/>
      <c r="H147" s="3"/>
      <c r="I147" s="8"/>
      <c r="J147" s="3"/>
      <c r="K147" s="22" t="s">
        <v>252</v>
      </c>
      <c r="L147" s="3"/>
      <c r="M147" s="8"/>
      <c r="N147" s="3"/>
      <c r="O147" s="8"/>
      <c r="P147" s="3"/>
      <c r="Q147" s="22" t="s">
        <v>252</v>
      </c>
      <c r="R147" s="3"/>
    </row>
    <row r="148" spans="1:18">
      <c r="A148" s="14"/>
      <c r="B148" s="9"/>
      <c r="C148" s="10" t="str">
        <f t="shared" si="24"/>
        <v/>
      </c>
      <c r="D148" s="9"/>
      <c r="E148" s="9" t="str">
        <f t="shared" si="25"/>
        <v>KLAORAVEE PANPENG</v>
      </c>
      <c r="F148" s="9"/>
      <c r="G148" s="3"/>
      <c r="H148" s="3"/>
      <c r="I148" s="8"/>
      <c r="J148" s="3"/>
      <c r="K148" s="22" t="s">
        <v>253</v>
      </c>
      <c r="L148" s="3"/>
      <c r="M148" s="8"/>
      <c r="N148" s="3"/>
      <c r="O148" s="8"/>
      <c r="P148" s="3"/>
      <c r="Q148" s="22" t="s">
        <v>253</v>
      </c>
      <c r="R148" s="3"/>
    </row>
    <row r="149" spans="1:18">
      <c r="A149" s="14"/>
      <c r="B149" s="9"/>
      <c r="C149" s="10" t="str">
        <f t="shared" si="24"/>
        <v/>
      </c>
      <c r="D149" s="9"/>
      <c r="E149" s="9" t="str">
        <f t="shared" si="25"/>
        <v>NATPAPON TITICHOATRATTNA</v>
      </c>
      <c r="F149" s="9"/>
      <c r="G149" s="3"/>
      <c r="H149" s="3"/>
      <c r="I149" s="8"/>
      <c r="J149" s="3"/>
      <c r="K149" s="22" t="s">
        <v>254</v>
      </c>
      <c r="L149" s="3"/>
      <c r="M149" s="8"/>
      <c r="N149" s="3"/>
      <c r="O149" s="8"/>
      <c r="P149" s="3"/>
      <c r="Q149" s="22" t="s">
        <v>254</v>
      </c>
      <c r="R149" s="3"/>
    </row>
    <row r="150" spans="1:18">
      <c r="A150" s="14"/>
      <c r="B150" s="9"/>
      <c r="C150" s="10"/>
      <c r="D150" s="9"/>
      <c r="E150" s="9" t="str">
        <f t="shared" si="25"/>
        <v>SARUTA SANTIPRAP</v>
      </c>
      <c r="F150" s="9"/>
      <c r="G150" s="3"/>
      <c r="H150" s="3"/>
      <c r="I150" s="8"/>
      <c r="J150" s="3"/>
      <c r="K150" s="22" t="s">
        <v>611</v>
      </c>
      <c r="L150" s="3"/>
      <c r="M150" s="8"/>
      <c r="N150" s="3"/>
      <c r="O150" s="8"/>
      <c r="P150" s="3"/>
      <c r="Q150" s="22" t="s">
        <v>611</v>
      </c>
      <c r="R150" s="3"/>
    </row>
    <row r="151" spans="1:18">
      <c r="A151" s="14"/>
      <c r="B151" s="9"/>
      <c r="C151" s="10"/>
      <c r="D151" s="9"/>
      <c r="E151" s="9" t="str">
        <f t="shared" si="25"/>
        <v>PHATTARANAN CHAROENKIAT</v>
      </c>
      <c r="F151" s="9"/>
      <c r="G151" s="3"/>
      <c r="H151" s="3"/>
      <c r="I151" s="8"/>
      <c r="J151" s="3"/>
      <c r="K151" s="22" t="s">
        <v>612</v>
      </c>
      <c r="L151" s="3"/>
      <c r="M151" s="8"/>
      <c r="N151" s="3"/>
      <c r="O151" s="8"/>
      <c r="P151" s="3"/>
      <c r="Q151" s="22" t="s">
        <v>612</v>
      </c>
      <c r="R151" s="3"/>
    </row>
    <row r="152" spans="1:18">
      <c r="A152" s="14"/>
      <c r="B152" s="9"/>
      <c r="C152" s="10"/>
      <c r="D152" s="9"/>
      <c r="E152" s="9"/>
      <c r="F152" s="9"/>
      <c r="G152" s="3"/>
      <c r="H152" s="3"/>
      <c r="I152" s="8"/>
      <c r="J152" s="3"/>
      <c r="K152" s="22"/>
      <c r="L152" s="3"/>
      <c r="M152" s="8"/>
      <c r="N152" s="8"/>
      <c r="O152" s="8"/>
      <c r="P152" s="3"/>
      <c r="Q152" s="3"/>
      <c r="R152" s="3"/>
    </row>
    <row r="153" spans="1:18">
      <c r="A153" s="14"/>
      <c r="B153" s="11"/>
      <c r="C153" s="12"/>
      <c r="D153" s="11"/>
      <c r="E153" s="11"/>
      <c r="F153" s="11"/>
      <c r="G153" s="3"/>
      <c r="H153" s="3"/>
      <c r="I153" s="8"/>
      <c r="J153" s="3"/>
      <c r="K153" s="22"/>
      <c r="L153" s="3"/>
      <c r="M153" s="8"/>
      <c r="N153" s="8"/>
      <c r="O153" s="8"/>
      <c r="P153" s="3"/>
      <c r="Q153" s="3"/>
      <c r="R153" s="3"/>
    </row>
    <row r="154" spans="1:18">
      <c r="A154" s="14"/>
      <c r="B154" s="9"/>
      <c r="C154" s="10"/>
      <c r="D154" s="9"/>
      <c r="E154" s="9"/>
      <c r="F154" s="9"/>
      <c r="G154" s="3"/>
      <c r="H154" s="3"/>
      <c r="I154" s="8"/>
      <c r="J154" s="3"/>
      <c r="K154" s="22"/>
      <c r="L154" s="3"/>
      <c r="M154" s="8"/>
      <c r="N154" s="8"/>
      <c r="O154" s="8"/>
      <c r="P154" s="3"/>
      <c r="Q154" s="3"/>
      <c r="R154" s="3"/>
    </row>
    <row r="155" spans="1:18">
      <c r="A155" s="14"/>
      <c r="B155" s="150" t="str">
        <f t="shared" ref="B155:B156" si="26">UPPER(H155)</f>
        <v xml:space="preserve">ASSET </v>
      </c>
      <c r="C155" s="141"/>
      <c r="D155" s="141"/>
      <c r="E155" s="141"/>
      <c r="F155" s="141"/>
      <c r="G155" s="28"/>
      <c r="H155" s="167" t="s">
        <v>208</v>
      </c>
      <c r="I155" s="141"/>
      <c r="J155" s="141"/>
      <c r="K155" s="141"/>
      <c r="L155" s="141"/>
      <c r="M155" s="8"/>
      <c r="N155" s="149" t="s">
        <v>818</v>
      </c>
      <c r="O155" s="141"/>
      <c r="P155" s="141"/>
      <c r="Q155" s="141"/>
      <c r="R155" s="141"/>
    </row>
    <row r="156" spans="1:18">
      <c r="A156" s="14"/>
      <c r="B156" s="146" t="str">
        <f t="shared" si="26"/>
        <v>THE MONK STUDIOS</v>
      </c>
      <c r="C156" s="141"/>
      <c r="D156" s="141"/>
      <c r="E156" s="141"/>
      <c r="F156" s="141"/>
      <c r="G156" s="3"/>
      <c r="H156" s="149" t="s">
        <v>202</v>
      </c>
      <c r="I156" s="141"/>
      <c r="J156" s="141"/>
      <c r="K156" s="141"/>
      <c r="L156" s="141"/>
      <c r="M156" s="8"/>
      <c r="N156" s="149" t="s">
        <v>202</v>
      </c>
      <c r="O156" s="141"/>
      <c r="P156" s="141"/>
      <c r="Q156" s="141"/>
      <c r="R156" s="141"/>
    </row>
    <row r="157" spans="1:18">
      <c r="A157" s="14"/>
      <c r="B157" s="9"/>
      <c r="C157" s="10"/>
      <c r="D157" s="9"/>
      <c r="E157" s="9"/>
      <c r="F157" s="9"/>
      <c r="G157" s="3"/>
      <c r="H157" s="3"/>
      <c r="I157" s="36"/>
      <c r="J157" s="3"/>
      <c r="K157" s="22"/>
      <c r="L157" s="3"/>
      <c r="M157" s="8"/>
      <c r="N157" s="3"/>
      <c r="O157" s="36"/>
      <c r="P157" s="3"/>
      <c r="Q157" s="22"/>
      <c r="R157" s="3"/>
    </row>
    <row r="158" spans="1:18">
      <c r="A158" s="14"/>
      <c r="B158" s="9"/>
      <c r="C158" s="10" t="str">
        <f t="shared" ref="C158:C170" si="27">UPPER(I158)</f>
        <v>RIG SUPERVISOR</v>
      </c>
      <c r="D158" s="9"/>
      <c r="E158" s="9" t="str">
        <f t="shared" ref="E158:E172" si="28">UPPER(K158)</f>
        <v>SORAWIT LIMKERTPOL</v>
      </c>
      <c r="F158" s="9"/>
      <c r="G158" s="3"/>
      <c r="H158" s="3"/>
      <c r="I158" s="36" t="s">
        <v>255</v>
      </c>
      <c r="J158" s="3"/>
      <c r="K158" s="31" t="s">
        <v>256</v>
      </c>
      <c r="L158" s="3"/>
      <c r="M158" s="8"/>
      <c r="N158" s="3"/>
      <c r="O158" s="36" t="s">
        <v>255</v>
      </c>
      <c r="P158" s="3"/>
      <c r="Q158" s="31" t="s">
        <v>256</v>
      </c>
      <c r="R158" s="3"/>
    </row>
    <row r="159" spans="1:18">
      <c r="A159" s="14"/>
      <c r="B159" s="9"/>
      <c r="C159" s="10" t="str">
        <f t="shared" si="27"/>
        <v/>
      </c>
      <c r="D159" s="9"/>
      <c r="E159" s="9" t="str">
        <f t="shared" si="28"/>
        <v/>
      </c>
      <c r="F159" s="9"/>
      <c r="G159" s="3"/>
      <c r="H159" s="3"/>
      <c r="I159" s="36"/>
      <c r="J159" s="3"/>
      <c r="K159" s="31"/>
      <c r="L159" s="3"/>
      <c r="M159" s="8"/>
      <c r="N159" s="3"/>
      <c r="O159" s="36"/>
      <c r="P159" s="3"/>
      <c r="Q159" s="31"/>
      <c r="R159" s="3"/>
    </row>
    <row r="160" spans="1:18">
      <c r="A160" s="14"/>
      <c r="B160" s="9"/>
      <c r="C160" s="10" t="str">
        <f t="shared" si="27"/>
        <v>RIG LEAD</v>
      </c>
      <c r="D160" s="9"/>
      <c r="E160" s="9" t="str">
        <f t="shared" si="28"/>
        <v>RATHTY PONGWORAPINIT</v>
      </c>
      <c r="F160" s="9"/>
      <c r="G160" s="3"/>
      <c r="H160" s="3"/>
      <c r="I160" s="36" t="s">
        <v>257</v>
      </c>
      <c r="J160" s="3"/>
      <c r="K160" s="31" t="s">
        <v>258</v>
      </c>
      <c r="L160" s="3"/>
      <c r="M160" s="8"/>
      <c r="N160" s="3"/>
      <c r="O160" s="36" t="s">
        <v>257</v>
      </c>
      <c r="P160" s="3"/>
      <c r="Q160" s="31" t="s">
        <v>258</v>
      </c>
      <c r="R160" s="3"/>
    </row>
    <row r="161" spans="1:18">
      <c r="A161" s="14"/>
      <c r="B161" s="9"/>
      <c r="C161" s="10" t="str">
        <f t="shared" si="27"/>
        <v/>
      </c>
      <c r="D161" s="9"/>
      <c r="E161" s="9" t="str">
        <f t="shared" si="28"/>
        <v>CHONNIKAN SONSAMRIT</v>
      </c>
      <c r="F161" s="9"/>
      <c r="G161" s="3"/>
      <c r="H161" s="3"/>
      <c r="I161" s="36"/>
      <c r="J161" s="3"/>
      <c r="K161" s="31" t="s">
        <v>259</v>
      </c>
      <c r="L161" s="3"/>
      <c r="M161" s="8"/>
      <c r="N161" s="3"/>
      <c r="O161" s="36"/>
      <c r="P161" s="3"/>
      <c r="Q161" s="31" t="s">
        <v>259</v>
      </c>
      <c r="R161" s="3"/>
    </row>
    <row r="162" spans="1:18">
      <c r="A162" s="14"/>
      <c r="B162" s="9"/>
      <c r="C162" s="10" t="str">
        <f t="shared" si="27"/>
        <v/>
      </c>
      <c r="D162" s="9"/>
      <c r="E162" s="9" t="str">
        <f t="shared" si="28"/>
        <v/>
      </c>
      <c r="F162" s="9"/>
      <c r="G162" s="3"/>
      <c r="H162" s="3"/>
      <c r="I162" s="36"/>
      <c r="J162" s="3"/>
      <c r="K162" s="31"/>
      <c r="L162" s="3"/>
      <c r="M162" s="8"/>
      <c r="N162" s="3"/>
      <c r="O162" s="36"/>
      <c r="P162" s="3"/>
      <c r="Q162" s="31"/>
      <c r="R162" s="3"/>
    </row>
    <row r="163" spans="1:18">
      <c r="A163" s="14"/>
      <c r="B163" s="9"/>
      <c r="C163" s="10" t="str">
        <f t="shared" si="27"/>
        <v>RIG ARTIST</v>
      </c>
      <c r="D163" s="9"/>
      <c r="E163" s="9" t="str">
        <f t="shared" si="28"/>
        <v>ALI RAZA</v>
      </c>
      <c r="F163" s="9"/>
      <c r="G163" s="3"/>
      <c r="H163" s="3"/>
      <c r="I163" s="36" t="s">
        <v>260</v>
      </c>
      <c r="J163" s="3"/>
      <c r="K163" s="31" t="s">
        <v>261</v>
      </c>
      <c r="L163" s="3"/>
      <c r="M163" s="8"/>
      <c r="N163" s="3"/>
      <c r="O163" s="36" t="s">
        <v>260</v>
      </c>
      <c r="P163" s="3"/>
      <c r="Q163" s="31" t="s">
        <v>261</v>
      </c>
      <c r="R163" s="3"/>
    </row>
    <row r="164" spans="1:18">
      <c r="A164" s="14"/>
      <c r="B164" s="9"/>
      <c r="C164" s="10" t="str">
        <f t="shared" si="27"/>
        <v/>
      </c>
      <c r="D164" s="9"/>
      <c r="E164" s="9" t="str">
        <f t="shared" si="28"/>
        <v>BHUMINAT CHATURAMETHANONT</v>
      </c>
      <c r="F164" s="9"/>
      <c r="G164" s="3"/>
      <c r="H164" s="3"/>
      <c r="I164" s="8"/>
      <c r="J164" s="3"/>
      <c r="K164" s="31" t="s">
        <v>262</v>
      </c>
      <c r="L164" s="3"/>
      <c r="M164" s="8"/>
      <c r="N164" s="3"/>
      <c r="O164" s="8"/>
      <c r="P164" s="3"/>
      <c r="Q164" s="31" t="s">
        <v>262</v>
      </c>
      <c r="R164" s="3"/>
    </row>
    <row r="165" spans="1:18">
      <c r="A165" s="14"/>
      <c r="B165" s="9"/>
      <c r="C165" s="10" t="str">
        <f t="shared" si="27"/>
        <v/>
      </c>
      <c r="D165" s="9"/>
      <c r="E165" s="9" t="str">
        <f t="shared" si="28"/>
        <v>KRITTAPAD DEJJEENMUANG</v>
      </c>
      <c r="F165" s="9"/>
      <c r="G165" s="3"/>
      <c r="H165" s="3"/>
      <c r="I165" s="8"/>
      <c r="J165" s="3"/>
      <c r="K165" s="31" t="s">
        <v>263</v>
      </c>
      <c r="L165" s="3"/>
      <c r="M165" s="8"/>
      <c r="N165" s="3"/>
      <c r="O165" s="8"/>
      <c r="P165" s="3"/>
      <c r="Q165" s="31" t="s">
        <v>263</v>
      </c>
      <c r="R165" s="3"/>
    </row>
    <row r="166" spans="1:18">
      <c r="A166" s="14"/>
      <c r="B166" s="9"/>
      <c r="C166" s="10" t="str">
        <f t="shared" si="27"/>
        <v/>
      </c>
      <c r="D166" s="9"/>
      <c r="E166" s="9" t="str">
        <f t="shared" si="28"/>
        <v>ANAWIN SARNMOUNG</v>
      </c>
      <c r="F166" s="9"/>
      <c r="G166" s="3"/>
      <c r="H166" s="3"/>
      <c r="I166" s="8"/>
      <c r="J166" s="3"/>
      <c r="K166" s="31" t="s">
        <v>264</v>
      </c>
      <c r="L166" s="3"/>
      <c r="M166" s="8"/>
      <c r="N166" s="3"/>
      <c r="O166" s="8"/>
      <c r="P166" s="3"/>
      <c r="Q166" s="31" t="s">
        <v>264</v>
      </c>
      <c r="R166" s="3"/>
    </row>
    <row r="167" spans="1:18">
      <c r="A167" s="14"/>
      <c r="B167" s="9"/>
      <c r="C167" s="10" t="str">
        <f t="shared" si="27"/>
        <v/>
      </c>
      <c r="D167" s="9"/>
      <c r="E167" s="9" t="str">
        <f t="shared" si="28"/>
        <v>CHANYA KANICHAPONG</v>
      </c>
      <c r="F167" s="9"/>
      <c r="G167" s="3"/>
      <c r="H167" s="3"/>
      <c r="I167" s="8"/>
      <c r="J167" s="3"/>
      <c r="K167" s="31" t="s">
        <v>265</v>
      </c>
      <c r="L167" s="3"/>
      <c r="M167" s="8"/>
      <c r="N167" s="3"/>
      <c r="O167" s="8"/>
      <c r="P167" s="3"/>
      <c r="Q167" s="31" t="s">
        <v>265</v>
      </c>
      <c r="R167" s="3"/>
    </row>
    <row r="168" spans="1:18">
      <c r="A168" s="14"/>
      <c r="B168" s="9"/>
      <c r="C168" s="10" t="str">
        <f t="shared" si="27"/>
        <v/>
      </c>
      <c r="D168" s="9"/>
      <c r="E168" s="9" t="str">
        <f t="shared" si="28"/>
        <v>JIRAYUT JAIKLA</v>
      </c>
      <c r="F168" s="9"/>
      <c r="G168" s="3"/>
      <c r="H168" s="3"/>
      <c r="I168" s="8"/>
      <c r="J168" s="3"/>
      <c r="K168" s="31" t="s">
        <v>266</v>
      </c>
      <c r="L168" s="3"/>
      <c r="M168" s="8"/>
      <c r="N168" s="3"/>
      <c r="O168" s="8"/>
      <c r="P168" s="3"/>
      <c r="Q168" s="31" t="s">
        <v>266</v>
      </c>
      <c r="R168" s="3"/>
    </row>
    <row r="169" spans="1:18">
      <c r="A169" s="14"/>
      <c r="B169" s="9"/>
      <c r="C169" s="10" t="str">
        <f t="shared" si="27"/>
        <v/>
      </c>
      <c r="D169" s="9"/>
      <c r="E169" s="9" t="str">
        <f t="shared" si="28"/>
        <v>NANTAPAK PRUANGKARN</v>
      </c>
      <c r="F169" s="9"/>
      <c r="G169" s="3"/>
      <c r="H169" s="3"/>
      <c r="I169" s="8"/>
      <c r="J169" s="3"/>
      <c r="K169" s="31" t="s">
        <v>267</v>
      </c>
      <c r="L169" s="3"/>
      <c r="M169" s="8"/>
      <c r="N169" s="3"/>
      <c r="O169" s="8"/>
      <c r="P169" s="3"/>
      <c r="Q169" s="31" t="s">
        <v>267</v>
      </c>
      <c r="R169" s="3"/>
    </row>
    <row r="170" spans="1:18">
      <c r="A170" s="14"/>
      <c r="B170" s="9"/>
      <c r="C170" s="10" t="str">
        <f t="shared" si="27"/>
        <v/>
      </c>
      <c r="D170" s="9"/>
      <c r="E170" s="9" t="str">
        <f t="shared" si="28"/>
        <v>PANCHANOK CHOMCHUEN</v>
      </c>
      <c r="F170" s="9"/>
      <c r="G170" s="3"/>
      <c r="H170" s="3"/>
      <c r="I170" s="8"/>
      <c r="J170" s="3"/>
      <c r="K170" s="31" t="s">
        <v>268</v>
      </c>
      <c r="L170" s="3"/>
      <c r="M170" s="8"/>
      <c r="N170" s="3"/>
      <c r="O170" s="8"/>
      <c r="P170" s="3"/>
      <c r="Q170" s="31" t="s">
        <v>268</v>
      </c>
      <c r="R170" s="3"/>
    </row>
    <row r="171" spans="1:18">
      <c r="A171" s="14"/>
      <c r="B171" s="9"/>
      <c r="C171" s="10"/>
      <c r="D171" s="9"/>
      <c r="E171" s="9" t="str">
        <f t="shared" si="28"/>
        <v>TAWEEWAT TAWEEPASAS</v>
      </c>
      <c r="F171" s="9"/>
      <c r="G171" s="3"/>
      <c r="H171" s="3"/>
      <c r="I171" s="8"/>
      <c r="J171" s="3"/>
      <c r="K171" s="31" t="s">
        <v>269</v>
      </c>
      <c r="L171" s="3"/>
      <c r="M171" s="8"/>
      <c r="N171" s="3"/>
      <c r="O171" s="8"/>
      <c r="P171" s="3"/>
      <c r="Q171" s="31" t="s">
        <v>269</v>
      </c>
      <c r="R171" s="3"/>
    </row>
    <row r="172" spans="1:18">
      <c r="A172" s="14"/>
      <c r="B172" s="9"/>
      <c r="C172" s="10"/>
      <c r="D172" s="9"/>
      <c r="E172" s="9" t="str">
        <f t="shared" si="28"/>
        <v/>
      </c>
      <c r="F172" s="9"/>
      <c r="G172" s="3"/>
      <c r="H172" s="3"/>
      <c r="I172" s="8"/>
      <c r="J172" s="3"/>
      <c r="K172" s="31"/>
      <c r="L172" s="3"/>
      <c r="M172" s="8"/>
      <c r="N172" s="8"/>
      <c r="O172" s="8"/>
      <c r="P172" s="3"/>
      <c r="Q172" s="3"/>
      <c r="R172" s="3"/>
    </row>
    <row r="173" spans="1:18">
      <c r="A173" s="14"/>
      <c r="B173" s="11"/>
      <c r="C173" s="12"/>
      <c r="D173" s="11"/>
      <c r="E173" s="11"/>
      <c r="F173" s="11"/>
      <c r="G173" s="3"/>
      <c r="H173" s="3"/>
      <c r="I173" s="36"/>
      <c r="J173" s="3"/>
      <c r="K173" s="31"/>
      <c r="L173" s="3"/>
      <c r="M173" s="8"/>
      <c r="N173" s="8"/>
      <c r="O173" s="8"/>
      <c r="P173" s="3"/>
      <c r="Q173" s="3"/>
      <c r="R173" s="3"/>
    </row>
    <row r="174" spans="1:18">
      <c r="A174" s="14"/>
      <c r="B174" s="9"/>
      <c r="C174" s="10"/>
      <c r="D174" s="9"/>
      <c r="E174" s="9"/>
      <c r="F174" s="9"/>
      <c r="G174" s="3"/>
      <c r="H174" s="3"/>
      <c r="I174" s="36"/>
      <c r="J174" s="3"/>
      <c r="K174" s="31"/>
      <c r="L174" s="3"/>
      <c r="M174" s="8"/>
      <c r="N174" s="8"/>
      <c r="O174" s="8"/>
      <c r="P174" s="3"/>
      <c r="Q174" s="3"/>
      <c r="R174" s="3"/>
    </row>
    <row r="175" spans="1:18">
      <c r="A175" s="14"/>
      <c r="B175" s="150" t="str">
        <f t="shared" ref="B175:B176" si="29">UPPER(H175)</f>
        <v xml:space="preserve">ASSET </v>
      </c>
      <c r="C175" s="141"/>
      <c r="D175" s="141"/>
      <c r="E175" s="141"/>
      <c r="F175" s="141"/>
      <c r="G175" s="28"/>
      <c r="H175" s="167" t="s">
        <v>208</v>
      </c>
      <c r="I175" s="141"/>
      <c r="J175" s="141"/>
      <c r="K175" s="141"/>
      <c r="L175" s="141"/>
      <c r="M175" s="8"/>
      <c r="N175" s="149" t="s">
        <v>818</v>
      </c>
      <c r="O175" s="141"/>
      <c r="P175" s="141"/>
      <c r="Q175" s="141"/>
      <c r="R175" s="141"/>
    </row>
    <row r="176" spans="1:18">
      <c r="A176" s="14"/>
      <c r="B176" s="146" t="str">
        <f t="shared" si="29"/>
        <v>THE MONK STUDIOS</v>
      </c>
      <c r="C176" s="141"/>
      <c r="D176" s="141"/>
      <c r="E176" s="141"/>
      <c r="F176" s="141"/>
      <c r="G176" s="3"/>
      <c r="H176" s="149" t="s">
        <v>202</v>
      </c>
      <c r="I176" s="141"/>
      <c r="J176" s="141"/>
      <c r="K176" s="141"/>
      <c r="L176" s="141"/>
      <c r="M176" s="8"/>
      <c r="N176" s="149" t="s">
        <v>202</v>
      </c>
      <c r="O176" s="141"/>
      <c r="P176" s="141"/>
      <c r="Q176" s="141"/>
      <c r="R176" s="141"/>
    </row>
    <row r="177" spans="1:18">
      <c r="A177" s="14"/>
      <c r="B177" s="9"/>
      <c r="C177" s="10"/>
      <c r="D177" s="9"/>
      <c r="E177" s="9"/>
      <c r="F177" s="9"/>
      <c r="G177" s="3"/>
      <c r="H177" s="3"/>
      <c r="I177" s="36"/>
      <c r="J177" s="3"/>
      <c r="K177" s="31"/>
      <c r="L177" s="3"/>
      <c r="M177" s="8"/>
      <c r="N177" s="3"/>
      <c r="O177" s="36"/>
      <c r="P177" s="3"/>
      <c r="Q177" s="31"/>
      <c r="R177" s="3"/>
    </row>
    <row r="178" spans="1:18">
      <c r="A178" s="14"/>
      <c r="B178" s="9"/>
      <c r="C178" s="10" t="str">
        <f>UPPER(I178)</f>
        <v>GROOMING SUPERVISOR</v>
      </c>
      <c r="D178" s="9"/>
      <c r="E178" s="9" t="str">
        <f>UPPER(K178)</f>
        <v>PHURINUT TANGCHAROEN</v>
      </c>
      <c r="F178" s="9"/>
      <c r="G178" s="3"/>
      <c r="H178" s="3"/>
      <c r="I178" s="36" t="s">
        <v>270</v>
      </c>
      <c r="J178" s="3"/>
      <c r="K178" s="31" t="s">
        <v>271</v>
      </c>
      <c r="L178" s="3"/>
      <c r="M178" s="8"/>
      <c r="N178" s="3"/>
      <c r="O178" s="36" t="s">
        <v>270</v>
      </c>
      <c r="P178" s="3"/>
      <c r="Q178" s="31" t="s">
        <v>271</v>
      </c>
      <c r="R178" s="3"/>
    </row>
    <row r="179" spans="1:18">
      <c r="A179" s="14"/>
      <c r="B179" s="9"/>
      <c r="C179" s="10"/>
      <c r="D179" s="9"/>
      <c r="E179" s="9"/>
      <c r="F179" s="9"/>
      <c r="G179" s="3"/>
      <c r="H179" s="3"/>
      <c r="I179" s="36"/>
      <c r="J179" s="3"/>
      <c r="K179" s="31"/>
      <c r="L179" s="3"/>
      <c r="M179" s="8"/>
      <c r="N179" s="3"/>
      <c r="O179" s="36"/>
      <c r="P179" s="3"/>
      <c r="Q179" s="31"/>
      <c r="R179" s="3"/>
    </row>
    <row r="180" spans="1:18">
      <c r="A180" s="14"/>
      <c r="B180" s="9"/>
      <c r="C180" s="10" t="str">
        <f t="shared" ref="C180:C183" si="30">UPPER(I180)</f>
        <v>GROOMING ARTIST</v>
      </c>
      <c r="D180" s="9"/>
      <c r="E180" s="9" t="str">
        <f t="shared" ref="E180:E184" si="31">UPPER(K180)</f>
        <v>BUDSARAPORN WAICHUENCHORM</v>
      </c>
      <c r="F180" s="9"/>
      <c r="G180" s="3"/>
      <c r="H180" s="3"/>
      <c r="I180" s="36" t="s">
        <v>272</v>
      </c>
      <c r="J180" s="3"/>
      <c r="K180" s="31" t="s">
        <v>273</v>
      </c>
      <c r="L180" s="3"/>
      <c r="M180" s="8"/>
      <c r="N180" s="3"/>
      <c r="O180" s="36" t="s">
        <v>272</v>
      </c>
      <c r="P180" s="3"/>
      <c r="Q180" s="31" t="s">
        <v>273</v>
      </c>
      <c r="R180" s="3"/>
    </row>
    <row r="181" spans="1:18">
      <c r="A181" s="14"/>
      <c r="B181" s="9"/>
      <c r="C181" s="10" t="str">
        <f t="shared" si="30"/>
        <v/>
      </c>
      <c r="D181" s="9"/>
      <c r="E181" s="9" t="str">
        <f t="shared" si="31"/>
        <v>PRAEWPAN SAEPUNG</v>
      </c>
      <c r="F181" s="9"/>
      <c r="G181" s="3"/>
      <c r="H181" s="3"/>
      <c r="I181" s="8"/>
      <c r="J181" s="3"/>
      <c r="K181" s="39" t="s">
        <v>274</v>
      </c>
      <c r="L181" s="3"/>
      <c r="M181" s="8"/>
      <c r="N181" s="3"/>
      <c r="O181" s="8"/>
      <c r="P181" s="3"/>
      <c r="Q181" s="39" t="s">
        <v>274</v>
      </c>
      <c r="R181" s="3"/>
    </row>
    <row r="182" spans="1:18">
      <c r="A182" s="14"/>
      <c r="B182" s="9"/>
      <c r="C182" s="10" t="str">
        <f t="shared" si="30"/>
        <v/>
      </c>
      <c r="D182" s="9"/>
      <c r="E182" s="9" t="str">
        <f t="shared" si="31"/>
        <v>VANLIPHA KAEWKHAO</v>
      </c>
      <c r="F182" s="9"/>
      <c r="G182" s="3"/>
      <c r="H182" s="3"/>
      <c r="I182" s="8"/>
      <c r="J182" s="3"/>
      <c r="K182" s="31" t="s">
        <v>275</v>
      </c>
      <c r="L182" s="3"/>
      <c r="M182" s="8"/>
      <c r="N182" s="3"/>
      <c r="O182" s="8"/>
      <c r="P182" s="3"/>
      <c r="Q182" s="31" t="s">
        <v>275</v>
      </c>
      <c r="R182" s="3"/>
    </row>
    <row r="183" spans="1:18">
      <c r="A183" s="14"/>
      <c r="B183" s="9"/>
      <c r="C183" s="10" t="str">
        <f t="shared" si="30"/>
        <v/>
      </c>
      <c r="D183" s="9"/>
      <c r="E183" s="9" t="str">
        <f t="shared" si="31"/>
        <v>PATIPARN KAWINCHAN</v>
      </c>
      <c r="F183" s="9"/>
      <c r="G183" s="3"/>
      <c r="H183" s="3"/>
      <c r="I183" s="8"/>
      <c r="J183" s="3"/>
      <c r="K183" s="31" t="s">
        <v>276</v>
      </c>
      <c r="L183" s="3"/>
      <c r="M183" s="8"/>
      <c r="N183" s="3"/>
      <c r="O183" s="8"/>
      <c r="P183" s="3"/>
      <c r="Q183" s="31" t="s">
        <v>276</v>
      </c>
      <c r="R183" s="3"/>
    </row>
    <row r="184" spans="1:18">
      <c r="A184" s="14"/>
      <c r="B184" s="9"/>
      <c r="C184" s="10"/>
      <c r="D184" s="9"/>
      <c r="E184" s="9" t="str">
        <f t="shared" si="31"/>
        <v>YOTIN TONGBANTURNG</v>
      </c>
      <c r="F184" s="9"/>
      <c r="G184" s="3"/>
      <c r="H184" s="3"/>
      <c r="I184" s="8"/>
      <c r="J184" s="3"/>
      <c r="K184" s="31" t="s">
        <v>277</v>
      </c>
      <c r="L184" s="3"/>
      <c r="M184" s="8"/>
      <c r="N184" s="3"/>
      <c r="O184" s="8"/>
      <c r="P184" s="3"/>
      <c r="Q184" s="31" t="s">
        <v>277</v>
      </c>
      <c r="R184" s="3"/>
    </row>
    <row r="185" spans="1:18">
      <c r="A185" s="14"/>
      <c r="B185" s="9"/>
      <c r="C185" s="10"/>
      <c r="D185" s="9"/>
      <c r="E185" s="9"/>
      <c r="F185" s="9"/>
      <c r="G185" s="3"/>
      <c r="H185" s="3"/>
      <c r="I185" s="8"/>
      <c r="J185" s="3"/>
      <c r="K185" s="31"/>
      <c r="L185" s="3"/>
      <c r="M185" s="8"/>
      <c r="N185" s="8"/>
      <c r="O185" s="8"/>
      <c r="P185" s="3"/>
      <c r="Q185" s="3"/>
      <c r="R185" s="3"/>
    </row>
    <row r="186" spans="1:18">
      <c r="A186" s="14"/>
      <c r="B186" s="11"/>
      <c r="C186" s="12"/>
      <c r="D186" s="11"/>
      <c r="E186" s="11"/>
      <c r="F186" s="11"/>
      <c r="G186" s="3"/>
      <c r="H186" s="3"/>
      <c r="I186" s="8"/>
      <c r="J186" s="3"/>
      <c r="K186" s="31"/>
      <c r="L186" s="3"/>
      <c r="M186" s="8"/>
      <c r="N186" s="8"/>
      <c r="O186" s="8"/>
      <c r="P186" s="3"/>
      <c r="Q186" s="3"/>
      <c r="R186" s="3"/>
    </row>
    <row r="187" spans="1:18">
      <c r="A187" s="14"/>
      <c r="B187" s="9"/>
      <c r="C187" s="10"/>
      <c r="D187" s="9"/>
      <c r="E187" s="9"/>
      <c r="F187" s="9"/>
      <c r="G187" s="3"/>
      <c r="H187" s="3"/>
      <c r="I187" s="8"/>
      <c r="J187" s="3"/>
      <c r="K187" s="31"/>
      <c r="L187" s="3"/>
      <c r="M187" s="8"/>
      <c r="N187" s="149" t="s">
        <v>829</v>
      </c>
      <c r="O187" s="141"/>
      <c r="P187" s="141"/>
      <c r="Q187" s="141"/>
      <c r="R187" s="141"/>
    </row>
    <row r="188" spans="1:18">
      <c r="A188" s="14"/>
      <c r="B188" s="150" t="str">
        <f>UPPER(H188)</f>
        <v>LAYOUT</v>
      </c>
      <c r="C188" s="141"/>
      <c r="D188" s="141"/>
      <c r="E188" s="141"/>
      <c r="F188" s="141"/>
      <c r="G188" s="28"/>
      <c r="H188" s="167" t="s">
        <v>278</v>
      </c>
      <c r="I188" s="141"/>
      <c r="J188" s="141"/>
      <c r="K188" s="141"/>
      <c r="L188" s="141"/>
      <c r="M188" s="29"/>
      <c r="N188" s="8"/>
      <c r="O188" s="21" t="s">
        <v>830</v>
      </c>
      <c r="P188" s="3"/>
      <c r="Q188" s="3" t="s">
        <v>831</v>
      </c>
      <c r="R188" s="3"/>
    </row>
    <row r="189" spans="1:18">
      <c r="A189" s="14"/>
      <c r="B189" s="9"/>
      <c r="C189" s="10" t="str">
        <f>UPPER(I189)</f>
        <v>LAYOUT DIRECTOR</v>
      </c>
      <c r="D189" s="9"/>
      <c r="E189" s="9" t="str">
        <f>UPPER(K189)</f>
        <v>KYUNGMIN KIM</v>
      </c>
      <c r="F189" s="9"/>
      <c r="G189" s="3"/>
      <c r="H189" s="3"/>
      <c r="I189" s="8" t="s">
        <v>279</v>
      </c>
      <c r="J189" s="3"/>
      <c r="K189" s="3" t="s">
        <v>280</v>
      </c>
      <c r="L189" s="3"/>
      <c r="M189" s="8"/>
      <c r="N189" s="8"/>
      <c r="O189" s="8"/>
      <c r="P189" s="3"/>
      <c r="Q189" s="3"/>
      <c r="R189" s="3"/>
    </row>
    <row r="190" spans="1:18">
      <c r="A190" s="14"/>
      <c r="B190" s="9"/>
      <c r="C190" s="10"/>
      <c r="D190" s="9"/>
      <c r="E190" s="9"/>
      <c r="F190" s="9"/>
      <c r="G190" s="3"/>
      <c r="H190" s="3"/>
      <c r="I190" s="8"/>
      <c r="J190" s="3"/>
      <c r="K190" s="31"/>
      <c r="L190" s="3"/>
      <c r="M190" s="8"/>
      <c r="N190" s="8"/>
      <c r="O190" s="8"/>
      <c r="P190" s="3"/>
      <c r="Q190" s="3"/>
      <c r="R190" s="3"/>
    </row>
    <row r="191" spans="1:18">
      <c r="A191" s="14"/>
      <c r="B191" s="9"/>
      <c r="C191" s="10"/>
      <c r="D191" s="9"/>
      <c r="E191" s="9"/>
      <c r="F191" s="9"/>
      <c r="G191" s="3"/>
      <c r="H191" s="3"/>
      <c r="I191" s="8"/>
      <c r="J191" s="3"/>
      <c r="K191" s="31"/>
      <c r="L191" s="3"/>
      <c r="M191" s="8"/>
      <c r="N191" s="8"/>
      <c r="O191" s="8"/>
      <c r="P191" s="3"/>
      <c r="Q191" s="3"/>
      <c r="R191" s="3"/>
    </row>
    <row r="192" spans="1:18">
      <c r="A192" s="14"/>
      <c r="B192" s="146" t="str">
        <f>UPPER(H192)</f>
        <v>THE MONK STUDIOS</v>
      </c>
      <c r="C192" s="141"/>
      <c r="D192" s="141"/>
      <c r="E192" s="141"/>
      <c r="F192" s="141"/>
      <c r="G192" s="3"/>
      <c r="H192" s="149" t="s">
        <v>202</v>
      </c>
      <c r="I192" s="141"/>
      <c r="J192" s="141"/>
      <c r="K192" s="141"/>
      <c r="L192" s="141"/>
      <c r="M192" s="8"/>
      <c r="N192" s="149" t="s">
        <v>202</v>
      </c>
      <c r="O192" s="141"/>
      <c r="P192" s="141"/>
      <c r="Q192" s="141"/>
      <c r="R192" s="141"/>
    </row>
    <row r="193" spans="1:18">
      <c r="A193" s="14"/>
      <c r="B193" s="9"/>
      <c r="C193" s="10" t="str">
        <f>UPPER(I193)</f>
        <v>LAYOUT SUPERVISOR</v>
      </c>
      <c r="D193" s="9"/>
      <c r="E193" s="9" t="str">
        <f>UPPER(K193)</f>
        <v>NITAT WIMANJUNT</v>
      </c>
      <c r="F193" s="9"/>
      <c r="G193" s="3"/>
      <c r="H193" s="3"/>
      <c r="I193" s="36" t="s">
        <v>281</v>
      </c>
      <c r="J193" s="3"/>
      <c r="K193" s="31" t="s">
        <v>701</v>
      </c>
      <c r="L193" s="3"/>
      <c r="M193" s="8"/>
      <c r="N193" s="3"/>
      <c r="O193" s="36" t="s">
        <v>281</v>
      </c>
      <c r="P193" s="3"/>
      <c r="Q193" s="31" t="s">
        <v>282</v>
      </c>
      <c r="R193" s="3"/>
    </row>
    <row r="194" spans="1:18">
      <c r="A194" s="14"/>
      <c r="B194" s="9"/>
      <c r="C194" s="10"/>
      <c r="D194" s="9"/>
      <c r="E194" s="9"/>
      <c r="F194" s="9"/>
      <c r="G194" s="3"/>
      <c r="H194" s="3"/>
      <c r="I194" s="36"/>
      <c r="J194" s="3"/>
      <c r="K194" s="31"/>
      <c r="L194" s="3"/>
      <c r="M194" s="8"/>
      <c r="N194" s="3"/>
      <c r="O194" s="36"/>
      <c r="P194" s="3"/>
      <c r="Q194" s="31"/>
      <c r="R194" s="3"/>
    </row>
    <row r="195" spans="1:18">
      <c r="A195" s="14"/>
      <c r="B195" s="9"/>
      <c r="C195" s="10" t="str">
        <f t="shared" ref="C195:C200" si="32">UPPER(I195)</f>
        <v>LAYOUT ARTIST</v>
      </c>
      <c r="D195" s="9"/>
      <c r="E195" s="9" t="str">
        <f t="shared" ref="E195:E201" si="33">UPPER(K195)</f>
        <v>PIYAPHON SRIPHONGNGAM</v>
      </c>
      <c r="F195" s="9"/>
      <c r="G195" s="3"/>
      <c r="H195" s="3"/>
      <c r="I195" s="36" t="s">
        <v>283</v>
      </c>
      <c r="J195" s="3"/>
      <c r="K195" s="31" t="s">
        <v>702</v>
      </c>
      <c r="L195" s="3"/>
      <c r="M195" s="8"/>
      <c r="N195" s="3"/>
      <c r="O195" s="36" t="s">
        <v>283</v>
      </c>
      <c r="P195" s="3"/>
      <c r="Q195" s="31" t="s">
        <v>702</v>
      </c>
      <c r="R195" s="3"/>
    </row>
    <row r="196" spans="1:18">
      <c r="A196" s="14"/>
      <c r="B196" s="9"/>
      <c r="C196" s="10" t="str">
        <f t="shared" si="32"/>
        <v/>
      </c>
      <c r="D196" s="9"/>
      <c r="E196" s="9" t="str">
        <f t="shared" si="33"/>
        <v>PANYA NATEKOBKUA</v>
      </c>
      <c r="F196" s="9"/>
      <c r="G196" s="3"/>
      <c r="H196" s="3"/>
      <c r="I196" s="8"/>
      <c r="J196" s="3"/>
      <c r="K196" s="31" t="s">
        <v>703</v>
      </c>
      <c r="L196" s="3"/>
      <c r="M196" s="8"/>
      <c r="N196" s="3"/>
      <c r="O196" s="8"/>
      <c r="P196" s="3"/>
      <c r="Q196" s="31" t="s">
        <v>703</v>
      </c>
      <c r="R196" s="3"/>
    </row>
    <row r="197" spans="1:18">
      <c r="A197" s="14"/>
      <c r="B197" s="9"/>
      <c r="C197" s="10" t="str">
        <f t="shared" si="32"/>
        <v/>
      </c>
      <c r="D197" s="9"/>
      <c r="E197" s="9" t="str">
        <f t="shared" si="33"/>
        <v>CHONLATHORN PHUSRI</v>
      </c>
      <c r="F197" s="9"/>
      <c r="G197" s="3"/>
      <c r="H197" s="3"/>
      <c r="I197" s="8"/>
      <c r="J197" s="3"/>
      <c r="K197" s="31" t="s">
        <v>704</v>
      </c>
      <c r="L197" s="3"/>
      <c r="M197" s="8"/>
      <c r="N197" s="3"/>
      <c r="O197" s="8"/>
      <c r="P197" s="3"/>
      <c r="Q197" s="31" t="s">
        <v>704</v>
      </c>
      <c r="R197" s="3"/>
    </row>
    <row r="198" spans="1:18">
      <c r="A198" s="14"/>
      <c r="B198" s="9"/>
      <c r="C198" s="10" t="str">
        <f t="shared" si="32"/>
        <v/>
      </c>
      <c r="D198" s="9"/>
      <c r="E198" s="9" t="str">
        <f t="shared" si="33"/>
        <v>NOPPARAT WANGSIN</v>
      </c>
      <c r="F198" s="9"/>
      <c r="G198" s="3"/>
      <c r="H198" s="3"/>
      <c r="I198" s="8"/>
      <c r="J198" s="3"/>
      <c r="K198" s="31" t="s">
        <v>705</v>
      </c>
      <c r="L198" s="3"/>
      <c r="M198" s="8"/>
      <c r="N198" s="3"/>
      <c r="O198" s="8"/>
      <c r="P198" s="3"/>
      <c r="Q198" s="31" t="s">
        <v>705</v>
      </c>
      <c r="R198" s="3"/>
    </row>
    <row r="199" spans="1:18">
      <c r="A199" s="14"/>
      <c r="B199" s="9"/>
      <c r="C199" s="10" t="str">
        <f t="shared" si="32"/>
        <v/>
      </c>
      <c r="D199" s="9"/>
      <c r="E199" s="9" t="str">
        <f t="shared" si="33"/>
        <v>KANYANEE DUANGNAPA</v>
      </c>
      <c r="F199" s="9"/>
      <c r="G199" s="3"/>
      <c r="H199" s="3"/>
      <c r="I199" s="8"/>
      <c r="J199" s="3"/>
      <c r="K199" s="31" t="s">
        <v>706</v>
      </c>
      <c r="L199" s="3"/>
      <c r="M199" s="8"/>
      <c r="N199" s="3"/>
      <c r="O199" s="8"/>
      <c r="P199" s="3"/>
      <c r="Q199" s="31" t="s">
        <v>706</v>
      </c>
      <c r="R199" s="3"/>
    </row>
    <row r="200" spans="1:18">
      <c r="A200" s="14"/>
      <c r="B200" s="9"/>
      <c r="C200" s="10" t="str">
        <f t="shared" si="32"/>
        <v/>
      </c>
      <c r="D200" s="9"/>
      <c r="E200" s="9" t="str">
        <f t="shared" si="33"/>
        <v>PHIRAPHON PAKAPHONGPHAN</v>
      </c>
      <c r="F200" s="9"/>
      <c r="G200" s="3"/>
      <c r="H200" s="3"/>
      <c r="I200" s="8"/>
      <c r="J200" s="3"/>
      <c r="K200" s="31" t="s">
        <v>707</v>
      </c>
      <c r="L200" s="3"/>
      <c r="M200" s="8"/>
      <c r="N200" s="3"/>
      <c r="O200" s="8"/>
      <c r="P200" s="3"/>
      <c r="Q200" s="31" t="s">
        <v>707</v>
      </c>
      <c r="R200" s="3"/>
    </row>
    <row r="201" spans="1:18">
      <c r="A201" s="14"/>
      <c r="B201" s="9"/>
      <c r="C201" s="10"/>
      <c r="D201" s="9"/>
      <c r="E201" s="9" t="str">
        <f t="shared" si="33"/>
        <v>PASSAKORN BENJAPISUT</v>
      </c>
      <c r="F201" s="9"/>
      <c r="G201" s="3"/>
      <c r="H201" s="3"/>
      <c r="I201" s="8"/>
      <c r="J201" s="3"/>
      <c r="K201" s="31" t="s">
        <v>708</v>
      </c>
      <c r="L201" s="3"/>
      <c r="M201" s="8"/>
      <c r="N201" s="8"/>
      <c r="O201" s="8"/>
      <c r="P201" s="3"/>
      <c r="Q201" s="31" t="s">
        <v>708</v>
      </c>
      <c r="R201" s="3"/>
    </row>
    <row r="202" spans="1:18">
      <c r="A202" s="14"/>
      <c r="B202" s="9"/>
      <c r="C202" s="10"/>
      <c r="D202" s="9"/>
      <c r="E202" s="9"/>
      <c r="F202" s="9"/>
      <c r="G202" s="3"/>
      <c r="H202" s="3"/>
      <c r="I202" s="8"/>
      <c r="J202" s="3"/>
      <c r="K202" s="31"/>
      <c r="L202" s="3"/>
      <c r="M202" s="8"/>
      <c r="N202" s="8"/>
      <c r="O202" s="8"/>
      <c r="P202" s="3"/>
      <c r="Q202" s="3"/>
      <c r="R202" s="3"/>
    </row>
    <row r="203" spans="1:18">
      <c r="A203" s="14"/>
      <c r="B203" s="11"/>
      <c r="C203" s="12" t="str">
        <f>UPPER(I203)</f>
        <v/>
      </c>
      <c r="D203" s="11"/>
      <c r="E203" s="11" t="str">
        <f>UPPER(K203)</f>
        <v/>
      </c>
      <c r="F203" s="11"/>
      <c r="G203" s="3"/>
      <c r="H203" s="3"/>
      <c r="I203" s="8"/>
      <c r="J203" s="3"/>
      <c r="K203" s="13"/>
      <c r="L203" s="3"/>
      <c r="M203" s="8"/>
      <c r="N203" s="8"/>
      <c r="O203" s="8"/>
      <c r="P203" s="3"/>
      <c r="Q203" s="3"/>
      <c r="R203" s="3"/>
    </row>
    <row r="204" spans="1:18">
      <c r="A204" s="14"/>
      <c r="B204" s="6"/>
      <c r="C204" s="6"/>
      <c r="D204" s="6"/>
      <c r="E204" s="6"/>
      <c r="F204" s="6"/>
      <c r="G204" s="3"/>
      <c r="H204" s="7"/>
      <c r="I204" s="8"/>
      <c r="J204" s="7"/>
      <c r="K204" s="13"/>
      <c r="L204" s="7"/>
      <c r="M204" s="8"/>
      <c r="N204" s="8"/>
      <c r="O204" s="8"/>
      <c r="P204" s="3"/>
      <c r="Q204" s="3"/>
      <c r="R204" s="3"/>
    </row>
    <row r="205" spans="1:18">
      <c r="A205" s="14"/>
      <c r="B205" s="150" t="str">
        <f>UPPER(H205)</f>
        <v>ANIMATION</v>
      </c>
      <c r="C205" s="141"/>
      <c r="D205" s="141"/>
      <c r="E205" s="141"/>
      <c r="F205" s="141"/>
      <c r="G205" s="28"/>
      <c r="H205" s="167" t="s">
        <v>290</v>
      </c>
      <c r="I205" s="141"/>
      <c r="J205" s="141"/>
      <c r="K205" s="141"/>
      <c r="L205" s="141"/>
      <c r="M205" s="29"/>
      <c r="N205" s="149" t="s">
        <v>832</v>
      </c>
      <c r="O205" s="141"/>
      <c r="P205" s="141"/>
      <c r="Q205" s="141"/>
      <c r="R205" s="141"/>
    </row>
    <row r="206" spans="1:18">
      <c r="A206" s="14"/>
      <c r="B206" s="9"/>
      <c r="C206" s="10" t="str">
        <f>UPPER(I206)</f>
        <v>ANIMATION DIRECTOR</v>
      </c>
      <c r="D206" s="9"/>
      <c r="E206" s="9" t="str">
        <f>UPPER(K206)</f>
        <v>MINCHEOL CHOI</v>
      </c>
      <c r="F206" s="9"/>
      <c r="G206" s="3"/>
      <c r="H206" s="3"/>
      <c r="I206" s="8" t="s">
        <v>291</v>
      </c>
      <c r="J206" s="3"/>
      <c r="K206" s="3" t="s">
        <v>613</v>
      </c>
      <c r="L206" s="3"/>
      <c r="M206" s="8"/>
      <c r="N206" s="3"/>
      <c r="O206" s="8" t="s">
        <v>833</v>
      </c>
      <c r="P206" s="3"/>
      <c r="Q206" s="3" t="s">
        <v>954</v>
      </c>
      <c r="R206" s="3"/>
    </row>
    <row r="207" spans="1:18">
      <c r="A207" s="14"/>
      <c r="B207" s="9"/>
      <c r="C207" s="10"/>
      <c r="D207" s="9"/>
      <c r="E207" s="9"/>
      <c r="F207" s="9"/>
      <c r="G207" s="3"/>
      <c r="H207" s="3"/>
      <c r="I207" s="8"/>
      <c r="J207" s="3"/>
      <c r="K207" s="3"/>
      <c r="L207" s="3"/>
      <c r="M207" s="8"/>
      <c r="N207" s="8"/>
      <c r="O207" s="8"/>
      <c r="P207" s="3"/>
      <c r="Q207" s="3"/>
      <c r="R207" s="3"/>
    </row>
    <row r="208" spans="1:18">
      <c r="A208" s="14"/>
      <c r="B208" s="9"/>
      <c r="C208" s="10" t="str">
        <f>UPPER(I208)</f>
        <v>ANIMATION SUPERVISOR</v>
      </c>
      <c r="D208" s="9"/>
      <c r="E208" s="9" t="str">
        <f t="shared" ref="E208:E217" si="34">UPPER(K208)</f>
        <v>EUGENE KIM</v>
      </c>
      <c r="F208" s="9"/>
      <c r="G208" s="3"/>
      <c r="H208" s="3"/>
      <c r="I208" s="8" t="s">
        <v>293</v>
      </c>
      <c r="J208" s="3"/>
      <c r="K208" s="13" t="s">
        <v>294</v>
      </c>
      <c r="L208" s="3"/>
      <c r="M208" s="8"/>
      <c r="N208" s="8"/>
      <c r="O208" s="8" t="s">
        <v>835</v>
      </c>
      <c r="P208" s="3"/>
      <c r="Q208" s="3" t="s">
        <v>836</v>
      </c>
      <c r="R208" s="3"/>
    </row>
    <row r="209" spans="1:18">
      <c r="A209" s="14"/>
      <c r="B209" s="9"/>
      <c r="C209" s="10"/>
      <c r="D209" s="9"/>
      <c r="E209" s="9" t="str">
        <f t="shared" si="34"/>
        <v>BORAM NOH</v>
      </c>
      <c r="F209" s="9"/>
      <c r="G209" s="3"/>
      <c r="H209" s="3"/>
      <c r="I209" s="8"/>
      <c r="J209" s="3"/>
      <c r="K209" s="13" t="s">
        <v>295</v>
      </c>
      <c r="L209" s="3"/>
      <c r="M209" s="8"/>
      <c r="N209" s="8"/>
      <c r="O209" s="8"/>
      <c r="P209" s="3"/>
      <c r="Q209" s="3" t="s">
        <v>837</v>
      </c>
      <c r="R209" s="3"/>
    </row>
    <row r="210" spans="1:18">
      <c r="A210" s="14"/>
      <c r="B210" s="9"/>
      <c r="C210" s="10" t="str">
        <f t="shared" ref="C210:C217" si="35">UPPER(I210)</f>
        <v/>
      </c>
      <c r="D210" s="9"/>
      <c r="E210" s="9" t="str">
        <f t="shared" si="34"/>
        <v/>
      </c>
      <c r="F210" s="9"/>
      <c r="G210" s="3"/>
      <c r="H210" s="3"/>
      <c r="I210" s="8"/>
      <c r="J210" s="3"/>
      <c r="K210" s="3"/>
      <c r="L210" s="3"/>
      <c r="M210" s="8"/>
      <c r="N210" s="8"/>
      <c r="O210" s="8"/>
      <c r="P210" s="3"/>
      <c r="Q210" s="3"/>
      <c r="R210" s="3"/>
    </row>
    <row r="211" spans="1:18">
      <c r="A211" s="14"/>
      <c r="B211" s="9"/>
      <c r="C211" s="10" t="str">
        <f t="shared" si="35"/>
        <v>ANIMATOR</v>
      </c>
      <c r="D211" s="9"/>
      <c r="E211" s="9" t="str">
        <f t="shared" si="34"/>
        <v>KYOUNGSIK BAE</v>
      </c>
      <c r="F211" s="9"/>
      <c r="G211" s="3"/>
      <c r="H211" s="3"/>
      <c r="I211" s="8" t="s">
        <v>296</v>
      </c>
      <c r="J211" s="3"/>
      <c r="K211" s="13" t="s">
        <v>297</v>
      </c>
      <c r="L211" s="3"/>
      <c r="M211" s="8"/>
      <c r="N211" s="8"/>
      <c r="O211" s="8" t="s">
        <v>838</v>
      </c>
      <c r="P211" s="3"/>
      <c r="Q211" s="3" t="s">
        <v>839</v>
      </c>
      <c r="R211" s="3"/>
    </row>
    <row r="212" spans="1:18">
      <c r="A212" s="14"/>
      <c r="B212" s="9"/>
      <c r="C212" s="10" t="str">
        <f t="shared" si="35"/>
        <v/>
      </c>
      <c r="D212" s="9"/>
      <c r="E212" s="9" t="str">
        <f t="shared" si="34"/>
        <v>HYEONSOOK KO</v>
      </c>
      <c r="F212" s="9"/>
      <c r="G212" s="3"/>
      <c r="H212" s="3"/>
      <c r="I212" s="8"/>
      <c r="J212" s="3"/>
      <c r="K212" s="2" t="s">
        <v>298</v>
      </c>
      <c r="L212" s="3"/>
      <c r="M212" s="8"/>
      <c r="N212" s="8"/>
      <c r="O212" s="8"/>
      <c r="P212" s="3"/>
      <c r="Q212" s="3" t="s">
        <v>840</v>
      </c>
      <c r="R212" s="3"/>
    </row>
    <row r="213" spans="1:18">
      <c r="A213" s="14"/>
      <c r="B213" s="9"/>
      <c r="C213" s="10" t="str">
        <f t="shared" si="35"/>
        <v/>
      </c>
      <c r="D213" s="9"/>
      <c r="E213" s="9" t="str">
        <f t="shared" si="34"/>
        <v>JIHYE KIM</v>
      </c>
      <c r="F213" s="9"/>
      <c r="G213" s="3"/>
      <c r="H213" s="3"/>
      <c r="I213" s="8"/>
      <c r="J213" s="3"/>
      <c r="K213" s="2" t="s">
        <v>299</v>
      </c>
      <c r="L213" s="3"/>
      <c r="M213" s="8"/>
      <c r="N213" s="8"/>
      <c r="O213" s="3"/>
      <c r="P213" s="3"/>
      <c r="Q213" s="3" t="s">
        <v>841</v>
      </c>
      <c r="R213" s="3"/>
    </row>
    <row r="214" spans="1:18">
      <c r="A214" s="14"/>
      <c r="B214" s="9"/>
      <c r="C214" s="10" t="str">
        <f t="shared" si="35"/>
        <v/>
      </c>
      <c r="D214" s="9"/>
      <c r="E214" s="9" t="str">
        <f t="shared" si="34"/>
        <v>DOYOUNG KIM</v>
      </c>
      <c r="F214" s="9"/>
      <c r="G214" s="3"/>
      <c r="H214" s="3"/>
      <c r="I214" s="8"/>
      <c r="J214" s="3"/>
      <c r="K214" s="2" t="s">
        <v>300</v>
      </c>
      <c r="L214" s="3"/>
      <c r="M214" s="8"/>
      <c r="N214" s="8"/>
      <c r="O214" s="3"/>
      <c r="P214" s="3"/>
      <c r="Q214" s="3" t="s">
        <v>842</v>
      </c>
      <c r="R214" s="3"/>
    </row>
    <row r="215" spans="1:18">
      <c r="A215" s="14"/>
      <c r="B215" s="9"/>
      <c r="C215" s="10" t="str">
        <f t="shared" si="35"/>
        <v/>
      </c>
      <c r="D215" s="9"/>
      <c r="E215" s="9" t="str">
        <f t="shared" si="34"/>
        <v>YUNHEE KIM</v>
      </c>
      <c r="F215" s="9"/>
      <c r="G215" s="3"/>
      <c r="H215" s="3"/>
      <c r="I215" s="8"/>
      <c r="J215" s="3"/>
      <c r="K215" s="2" t="s">
        <v>301</v>
      </c>
      <c r="L215" s="3"/>
      <c r="M215" s="8"/>
      <c r="N215" s="8"/>
      <c r="O215" s="21"/>
      <c r="P215" s="3"/>
      <c r="Q215" s="3" t="s">
        <v>843</v>
      </c>
      <c r="R215" s="3"/>
    </row>
    <row r="216" spans="1:18">
      <c r="A216" s="14"/>
      <c r="B216" s="9"/>
      <c r="C216" s="10" t="str">
        <f t="shared" si="35"/>
        <v/>
      </c>
      <c r="D216" s="9"/>
      <c r="E216" s="9" t="str">
        <f t="shared" si="34"/>
        <v>SUNGJUN HONG</v>
      </c>
      <c r="F216" s="9"/>
      <c r="G216" s="3"/>
      <c r="H216" s="3"/>
      <c r="I216" s="8"/>
      <c r="J216" s="3"/>
      <c r="K216" s="2" t="s">
        <v>652</v>
      </c>
      <c r="L216" s="3"/>
      <c r="M216" s="8"/>
      <c r="N216" s="8"/>
      <c r="O216" s="21"/>
      <c r="P216" s="3"/>
      <c r="Q216" s="3" t="s">
        <v>959</v>
      </c>
      <c r="R216" s="3"/>
    </row>
    <row r="217" spans="1:18">
      <c r="A217" s="14"/>
      <c r="B217" s="9"/>
      <c r="C217" s="10" t="str">
        <f t="shared" si="35"/>
        <v/>
      </c>
      <c r="D217" s="9"/>
      <c r="E217" s="9" t="str">
        <f t="shared" si="34"/>
        <v>JINHO PARK</v>
      </c>
      <c r="F217" s="9"/>
      <c r="G217" s="3"/>
      <c r="H217" s="3"/>
      <c r="I217" s="8"/>
      <c r="J217" s="3"/>
      <c r="K217" s="2" t="s">
        <v>302</v>
      </c>
      <c r="L217" s="3"/>
      <c r="M217" s="8"/>
      <c r="N217" s="8"/>
      <c r="O217" s="8"/>
      <c r="P217" s="3"/>
      <c r="Q217" s="3" t="s">
        <v>844</v>
      </c>
      <c r="R217" s="3"/>
    </row>
    <row r="218" spans="1:18">
      <c r="A218" s="14"/>
      <c r="B218" s="9"/>
      <c r="C218" s="10"/>
      <c r="D218" s="9"/>
      <c r="E218" s="9"/>
      <c r="F218" s="9"/>
      <c r="G218" s="3"/>
      <c r="H218" s="3"/>
      <c r="I218" s="8"/>
      <c r="J218" s="3"/>
      <c r="K218" s="13"/>
      <c r="L218" s="3"/>
      <c r="M218" s="8"/>
      <c r="N218" s="8"/>
      <c r="O218" s="8"/>
      <c r="P218" s="3"/>
      <c r="Q218" s="3"/>
      <c r="R218" s="3"/>
    </row>
    <row r="219" spans="1:18">
      <c r="A219" s="14"/>
      <c r="B219" s="11"/>
      <c r="C219" s="12"/>
      <c r="D219" s="11"/>
      <c r="E219" s="11"/>
      <c r="F219" s="11"/>
      <c r="G219" s="3"/>
      <c r="H219" s="3"/>
      <c r="I219" s="8"/>
      <c r="J219" s="3"/>
      <c r="K219" s="13"/>
      <c r="L219" s="3"/>
      <c r="M219" s="8"/>
      <c r="N219" s="8"/>
      <c r="O219" s="8"/>
      <c r="P219" s="3"/>
      <c r="Q219" s="3"/>
      <c r="R219" s="3"/>
    </row>
    <row r="220" spans="1:18">
      <c r="A220" s="14"/>
      <c r="B220" s="6"/>
      <c r="C220" s="6"/>
      <c r="D220" s="6"/>
      <c r="E220" s="6"/>
      <c r="F220" s="6"/>
      <c r="G220" s="3"/>
      <c r="H220" s="7"/>
      <c r="I220" s="8"/>
      <c r="J220" s="7"/>
      <c r="K220" s="13"/>
      <c r="L220" s="7"/>
      <c r="M220" s="8"/>
      <c r="N220" s="8"/>
      <c r="O220" s="8"/>
      <c r="P220" s="3"/>
      <c r="Q220" s="3"/>
      <c r="R220" s="3"/>
    </row>
    <row r="221" spans="1:18">
      <c r="A221" s="14"/>
      <c r="B221" s="150" t="str">
        <f t="shared" ref="B221:B222" si="36">UPPER(H221)</f>
        <v>ANIMATION</v>
      </c>
      <c r="C221" s="141"/>
      <c r="D221" s="141"/>
      <c r="E221" s="141"/>
      <c r="F221" s="141"/>
      <c r="G221" s="28"/>
      <c r="H221" s="167" t="s">
        <v>290</v>
      </c>
      <c r="I221" s="141"/>
      <c r="J221" s="141"/>
      <c r="K221" s="141"/>
      <c r="L221" s="141"/>
      <c r="M221" s="29"/>
      <c r="N221" s="149" t="s">
        <v>832</v>
      </c>
      <c r="O221" s="141"/>
      <c r="P221" s="141"/>
      <c r="Q221" s="141"/>
      <c r="R221" s="141"/>
    </row>
    <row r="222" spans="1:18">
      <c r="A222" s="14"/>
      <c r="B222" s="146" t="str">
        <f t="shared" si="36"/>
        <v>THE MONK STUDIOS</v>
      </c>
      <c r="C222" s="141"/>
      <c r="D222" s="141"/>
      <c r="E222" s="141"/>
      <c r="F222" s="141"/>
      <c r="G222" s="3"/>
      <c r="H222" s="149" t="s">
        <v>202</v>
      </c>
      <c r="I222" s="141"/>
      <c r="J222" s="141"/>
      <c r="K222" s="141"/>
      <c r="L222" s="141"/>
      <c r="M222" s="8"/>
      <c r="N222" s="149" t="s">
        <v>202</v>
      </c>
      <c r="O222" s="141"/>
      <c r="P222" s="141"/>
      <c r="Q222" s="141"/>
      <c r="R222" s="141"/>
    </row>
    <row r="223" spans="1:18">
      <c r="A223" s="14"/>
      <c r="B223" s="9"/>
      <c r="C223" s="10" t="str">
        <f t="shared" ref="C223:C229" si="37">UPPER(I223)</f>
        <v>ANIMATION DIRECTOR</v>
      </c>
      <c r="D223" s="9"/>
      <c r="E223" s="9" t="str">
        <f t="shared" ref="E223:E241" si="38">UPPER(K223)</f>
        <v>SUPAPORN KLONGPHAJONKIT</v>
      </c>
      <c r="F223" s="9"/>
      <c r="G223" s="3"/>
      <c r="H223" s="3"/>
      <c r="I223" s="36" t="s">
        <v>291</v>
      </c>
      <c r="J223" s="3"/>
      <c r="K223" s="31" t="s">
        <v>303</v>
      </c>
      <c r="L223" s="3"/>
      <c r="M223" s="8"/>
      <c r="N223" s="3"/>
      <c r="O223" s="36" t="s">
        <v>291</v>
      </c>
      <c r="P223" s="3"/>
      <c r="Q223" s="31" t="s">
        <v>303</v>
      </c>
      <c r="R223" s="3"/>
    </row>
    <row r="224" spans="1:18">
      <c r="A224" s="14"/>
      <c r="B224" s="9"/>
      <c r="C224" s="10" t="str">
        <f t="shared" si="37"/>
        <v/>
      </c>
      <c r="D224" s="9"/>
      <c r="E224" s="9" t="str">
        <f t="shared" si="38"/>
        <v/>
      </c>
      <c r="F224" s="9"/>
      <c r="G224" s="3"/>
      <c r="H224" s="3"/>
      <c r="I224" s="36"/>
      <c r="J224" s="3"/>
      <c r="K224" s="31"/>
      <c r="L224" s="3"/>
      <c r="M224" s="8"/>
      <c r="N224" s="3"/>
      <c r="O224" s="36"/>
      <c r="P224" s="3"/>
      <c r="Q224" s="31"/>
      <c r="R224" s="3"/>
    </row>
    <row r="225" spans="1:18">
      <c r="A225" s="14"/>
      <c r="B225" s="9"/>
      <c r="C225" s="10" t="str">
        <f t="shared" si="37"/>
        <v>ANIMATION SUPERVISOR</v>
      </c>
      <c r="D225" s="9"/>
      <c r="E225" s="9" t="str">
        <f t="shared" si="38"/>
        <v>CHAIYAPAK PANAVIBOONPON</v>
      </c>
      <c r="F225" s="9"/>
      <c r="G225" s="3"/>
      <c r="H225" s="3"/>
      <c r="I225" s="36" t="s">
        <v>293</v>
      </c>
      <c r="J225" s="3"/>
      <c r="K225" s="31" t="s">
        <v>629</v>
      </c>
      <c r="L225" s="3"/>
      <c r="M225" s="8"/>
      <c r="N225" s="3"/>
      <c r="O225" s="36" t="s">
        <v>293</v>
      </c>
      <c r="P225" s="3"/>
      <c r="Q225" s="31" t="s">
        <v>629</v>
      </c>
      <c r="R225" s="3"/>
    </row>
    <row r="226" spans="1:18">
      <c r="A226" s="14"/>
      <c r="B226" s="9"/>
      <c r="C226" s="10" t="str">
        <f t="shared" si="37"/>
        <v/>
      </c>
      <c r="D226" s="9"/>
      <c r="E226" s="9" t="str">
        <f t="shared" si="38"/>
        <v/>
      </c>
      <c r="F226" s="9"/>
      <c r="G226" s="3"/>
      <c r="H226" s="3"/>
      <c r="I226" s="36"/>
      <c r="J226" s="3"/>
      <c r="K226" s="31"/>
      <c r="L226" s="3"/>
      <c r="M226" s="8"/>
      <c r="N226" s="3"/>
      <c r="O226" s="36"/>
      <c r="P226" s="3"/>
      <c r="Q226" s="31"/>
      <c r="R226" s="3"/>
    </row>
    <row r="227" spans="1:18">
      <c r="A227" s="14"/>
      <c r="B227" s="9"/>
      <c r="C227" s="10" t="str">
        <f t="shared" si="37"/>
        <v>ANIMATOR</v>
      </c>
      <c r="D227" s="9"/>
      <c r="E227" s="9" t="str">
        <f t="shared" si="38"/>
        <v>KHWANCHANOK LAEPET</v>
      </c>
      <c r="F227" s="9"/>
      <c r="G227" s="3"/>
      <c r="H227" s="3"/>
      <c r="I227" s="36" t="s">
        <v>296</v>
      </c>
      <c r="J227" s="3"/>
      <c r="K227" s="31" t="s">
        <v>309</v>
      </c>
      <c r="L227" s="3"/>
      <c r="M227" s="8"/>
      <c r="N227" s="3"/>
      <c r="O227" s="36" t="s">
        <v>296</v>
      </c>
      <c r="P227" s="3"/>
      <c r="Q227" s="31" t="s">
        <v>309</v>
      </c>
      <c r="R227" s="3"/>
    </row>
    <row r="228" spans="1:18">
      <c r="A228" s="14"/>
      <c r="B228" s="9"/>
      <c r="C228" s="10" t="str">
        <f t="shared" si="37"/>
        <v/>
      </c>
      <c r="D228" s="9"/>
      <c r="E228" s="9" t="str">
        <f t="shared" si="38"/>
        <v>PATTARAWUT JARUPRAMOTE</v>
      </c>
      <c r="F228" s="9"/>
      <c r="G228" s="3"/>
      <c r="H228" s="3"/>
      <c r="I228" s="36"/>
      <c r="J228" s="3"/>
      <c r="K228" s="31" t="s">
        <v>317</v>
      </c>
      <c r="L228" s="3"/>
      <c r="M228" s="8"/>
      <c r="N228" s="3"/>
      <c r="O228" s="36"/>
      <c r="P228" s="3"/>
      <c r="Q228" s="31" t="s">
        <v>317</v>
      </c>
      <c r="R228" s="3"/>
    </row>
    <row r="229" spans="1:18">
      <c r="A229" s="14"/>
      <c r="B229" s="9"/>
      <c r="C229" s="10" t="str">
        <f t="shared" si="37"/>
        <v/>
      </c>
      <c r="D229" s="9"/>
      <c r="E229" s="9" t="str">
        <f t="shared" si="38"/>
        <v>PETCH SORNSIRI</v>
      </c>
      <c r="F229" s="9"/>
      <c r="G229" s="3"/>
      <c r="H229" s="3"/>
      <c r="I229" s="8"/>
      <c r="J229" s="3"/>
      <c r="K229" s="31" t="s">
        <v>318</v>
      </c>
      <c r="L229" s="3"/>
      <c r="M229" s="8"/>
      <c r="N229" s="3"/>
      <c r="O229" s="8"/>
      <c r="P229" s="3"/>
      <c r="Q229" s="31" t="s">
        <v>318</v>
      </c>
      <c r="R229" s="3"/>
    </row>
    <row r="230" spans="1:18">
      <c r="A230" s="14"/>
      <c r="B230" s="9"/>
      <c r="C230" s="10"/>
      <c r="D230" s="9"/>
      <c r="E230" s="9" t="str">
        <f t="shared" si="38"/>
        <v>SARUT PONGSRI</v>
      </c>
      <c r="F230" s="9"/>
      <c r="G230" s="3"/>
      <c r="H230" s="3"/>
      <c r="I230" s="8"/>
      <c r="J230" s="3"/>
      <c r="K230" s="31" t="s">
        <v>321</v>
      </c>
      <c r="L230" s="3"/>
      <c r="M230" s="8"/>
      <c r="N230" s="3"/>
      <c r="O230" s="8"/>
      <c r="P230" s="3"/>
      <c r="Q230" s="31" t="s">
        <v>321</v>
      </c>
      <c r="R230" s="3"/>
    </row>
    <row r="231" spans="1:18">
      <c r="A231" s="14"/>
      <c r="B231" s="9"/>
      <c r="C231" s="10"/>
      <c r="D231" s="9"/>
      <c r="E231" s="9" t="str">
        <f t="shared" si="38"/>
        <v>LIM YEW CHIN</v>
      </c>
      <c r="F231" s="9"/>
      <c r="G231" s="3"/>
      <c r="H231" s="3"/>
      <c r="I231" s="8"/>
      <c r="J231" s="3"/>
      <c r="K231" s="31" t="s">
        <v>709</v>
      </c>
      <c r="L231" s="3"/>
      <c r="M231" s="8"/>
      <c r="N231" s="3"/>
      <c r="O231" s="8"/>
      <c r="P231" s="3"/>
      <c r="Q231" s="31" t="s">
        <v>709</v>
      </c>
      <c r="R231" s="3"/>
    </row>
    <row r="232" spans="1:18">
      <c r="A232" s="14"/>
      <c r="B232" s="9"/>
      <c r="C232" s="10"/>
      <c r="D232" s="9"/>
      <c r="E232" s="9" t="str">
        <f t="shared" si="38"/>
        <v>LEE MEI CHIN</v>
      </c>
      <c r="F232" s="9"/>
      <c r="G232" s="3"/>
      <c r="H232" s="3"/>
      <c r="I232" s="8"/>
      <c r="J232" s="3"/>
      <c r="K232" s="31" t="s">
        <v>710</v>
      </c>
      <c r="L232" s="3"/>
      <c r="M232" s="8"/>
      <c r="N232" s="3"/>
      <c r="O232" s="8"/>
      <c r="P232" s="3"/>
      <c r="Q232" s="31" t="s">
        <v>710</v>
      </c>
      <c r="R232" s="3"/>
    </row>
    <row r="233" spans="1:18">
      <c r="A233" s="14"/>
      <c r="B233" s="9"/>
      <c r="C233" s="10"/>
      <c r="D233" s="9"/>
      <c r="E233" s="9" t="str">
        <f t="shared" si="38"/>
        <v>LOO YEN LIN</v>
      </c>
      <c r="F233" s="9"/>
      <c r="G233" s="3"/>
      <c r="H233" s="3"/>
      <c r="I233" s="8"/>
      <c r="J233" s="3"/>
      <c r="K233" s="31" t="s">
        <v>711</v>
      </c>
      <c r="L233" s="3"/>
      <c r="M233" s="8"/>
      <c r="N233" s="3"/>
      <c r="O233" s="8"/>
      <c r="P233" s="3"/>
      <c r="Q233" s="31" t="s">
        <v>711</v>
      </c>
      <c r="R233" s="3"/>
    </row>
    <row r="234" spans="1:18">
      <c r="A234" s="14"/>
      <c r="B234" s="9"/>
      <c r="C234" s="10"/>
      <c r="D234" s="9"/>
      <c r="E234" s="9" t="str">
        <f t="shared" si="38"/>
        <v>CHRISTOPHER HU EDWARD</v>
      </c>
      <c r="F234" s="9"/>
      <c r="G234" s="3"/>
      <c r="H234" s="3"/>
      <c r="I234" s="8"/>
      <c r="J234" s="3"/>
      <c r="K234" s="31" t="s">
        <v>712</v>
      </c>
      <c r="L234" s="3"/>
      <c r="M234" s="8"/>
      <c r="N234" s="3"/>
      <c r="O234" s="8"/>
      <c r="P234" s="3"/>
      <c r="Q234" s="31" t="s">
        <v>712</v>
      </c>
      <c r="R234" s="3"/>
    </row>
    <row r="235" spans="1:18">
      <c r="A235" s="14"/>
      <c r="B235" s="9"/>
      <c r="C235" s="10"/>
      <c r="D235" s="9"/>
      <c r="E235" s="9" t="str">
        <f t="shared" si="38"/>
        <v>ZARNI NUGRAHA SAPUTRA</v>
      </c>
      <c r="F235" s="9"/>
      <c r="G235" s="3"/>
      <c r="H235" s="3"/>
      <c r="I235" s="8"/>
      <c r="J235" s="3"/>
      <c r="K235" s="31" t="s">
        <v>713</v>
      </c>
      <c r="L235" s="3"/>
      <c r="M235" s="8"/>
      <c r="N235" s="3"/>
      <c r="O235" s="8"/>
      <c r="P235" s="3"/>
      <c r="Q235" s="31" t="s">
        <v>713</v>
      </c>
      <c r="R235" s="3"/>
    </row>
    <row r="236" spans="1:18">
      <c r="A236" s="14"/>
      <c r="B236" s="9"/>
      <c r="C236" s="10"/>
      <c r="D236" s="9"/>
      <c r="E236" s="9" t="str">
        <f t="shared" si="38"/>
        <v>NILESH SHAKYA</v>
      </c>
      <c r="F236" s="9"/>
      <c r="G236" s="3"/>
      <c r="H236" s="3"/>
      <c r="I236" s="8"/>
      <c r="J236" s="3"/>
      <c r="K236" s="31" t="s">
        <v>714</v>
      </c>
      <c r="L236" s="3"/>
      <c r="M236" s="8"/>
      <c r="N236" s="3"/>
      <c r="O236" s="8"/>
      <c r="P236" s="3"/>
      <c r="Q236" s="31" t="s">
        <v>714</v>
      </c>
      <c r="R236" s="3"/>
    </row>
    <row r="237" spans="1:18">
      <c r="A237" s="14"/>
      <c r="B237" s="9"/>
      <c r="C237" s="10"/>
      <c r="D237" s="9"/>
      <c r="E237" s="9" t="str">
        <f t="shared" si="38"/>
        <v>ANGIE CHONG WOON CHING</v>
      </c>
      <c r="F237" s="9"/>
      <c r="G237" s="3"/>
      <c r="H237" s="3"/>
      <c r="I237" s="8"/>
      <c r="J237" s="3"/>
      <c r="K237" s="31" t="s">
        <v>715</v>
      </c>
      <c r="L237" s="3"/>
      <c r="M237" s="8"/>
      <c r="N237" s="3"/>
      <c r="O237" s="8"/>
      <c r="P237" s="3"/>
      <c r="Q237" s="31" t="s">
        <v>715</v>
      </c>
      <c r="R237" s="3"/>
    </row>
    <row r="238" spans="1:18">
      <c r="A238" s="14"/>
      <c r="B238" s="9"/>
      <c r="C238" s="10"/>
      <c r="D238" s="9"/>
      <c r="E238" s="9" t="str">
        <f t="shared" si="38"/>
        <v>ONG SEOW YING</v>
      </c>
      <c r="F238" s="9"/>
      <c r="G238" s="3"/>
      <c r="H238" s="3"/>
      <c r="I238" s="8"/>
      <c r="J238" s="3"/>
      <c r="K238" s="31" t="s">
        <v>716</v>
      </c>
      <c r="L238" s="3"/>
      <c r="M238" s="8"/>
      <c r="N238" s="3"/>
      <c r="O238" s="8"/>
      <c r="P238" s="3"/>
      <c r="Q238" s="31" t="s">
        <v>716</v>
      </c>
      <c r="R238" s="3"/>
    </row>
    <row r="239" spans="1:18">
      <c r="A239" s="14"/>
      <c r="B239" s="9"/>
      <c r="C239" s="10"/>
      <c r="D239" s="9"/>
      <c r="E239" s="9" t="str">
        <f t="shared" si="38"/>
        <v>JEAYNA LOW PEI CHEE</v>
      </c>
      <c r="F239" s="9"/>
      <c r="G239" s="3"/>
      <c r="H239" s="3"/>
      <c r="I239" s="8"/>
      <c r="J239" s="3"/>
      <c r="K239" s="31" t="s">
        <v>717</v>
      </c>
      <c r="L239" s="3"/>
      <c r="M239" s="8"/>
      <c r="N239" s="3"/>
      <c r="O239" s="8"/>
      <c r="P239" s="3"/>
      <c r="Q239" s="31" t="s">
        <v>717</v>
      </c>
      <c r="R239" s="3"/>
    </row>
    <row r="240" spans="1:18">
      <c r="A240" s="14"/>
      <c r="B240" s="9"/>
      <c r="C240" s="10"/>
      <c r="D240" s="9"/>
      <c r="E240" s="9" t="str">
        <f t="shared" si="38"/>
        <v>JOHN MATHEW</v>
      </c>
      <c r="F240" s="9"/>
      <c r="G240" s="3"/>
      <c r="H240" s="3"/>
      <c r="I240" s="8"/>
      <c r="J240" s="3"/>
      <c r="K240" s="31" t="s">
        <v>718</v>
      </c>
      <c r="L240" s="3"/>
      <c r="M240" s="8"/>
      <c r="N240" s="3"/>
      <c r="O240" s="8"/>
      <c r="P240" s="3"/>
      <c r="Q240" s="31" t="s">
        <v>718</v>
      </c>
      <c r="R240" s="3"/>
    </row>
    <row r="241" spans="1:18">
      <c r="A241" s="14"/>
      <c r="B241" s="9"/>
      <c r="C241" s="10"/>
      <c r="D241" s="9"/>
      <c r="E241" s="9" t="str">
        <f t="shared" si="38"/>
        <v>YEONG CHUN FAI</v>
      </c>
      <c r="F241" s="9"/>
      <c r="G241" s="3"/>
      <c r="H241" s="3"/>
      <c r="I241" s="8"/>
      <c r="J241" s="3"/>
      <c r="K241" s="31" t="s">
        <v>719</v>
      </c>
      <c r="L241" s="3"/>
      <c r="M241" s="8"/>
      <c r="N241" s="3"/>
      <c r="O241" s="8"/>
      <c r="P241" s="3"/>
      <c r="Q241" s="31" t="s">
        <v>719</v>
      </c>
      <c r="R241" s="3"/>
    </row>
    <row r="242" spans="1:18">
      <c r="A242" s="14"/>
      <c r="B242" s="9"/>
      <c r="C242" s="10"/>
      <c r="D242" s="9"/>
      <c r="E242" s="9"/>
      <c r="F242" s="9"/>
      <c r="G242" s="3"/>
      <c r="H242" s="3"/>
      <c r="I242" s="8"/>
      <c r="J242" s="3"/>
      <c r="K242" s="13"/>
      <c r="L242" s="3"/>
      <c r="M242" s="8"/>
      <c r="N242" s="8"/>
      <c r="O242" s="8"/>
      <c r="P242" s="3"/>
      <c r="Q242" s="3"/>
      <c r="R242" s="3"/>
    </row>
    <row r="243" spans="1:18">
      <c r="A243" s="14"/>
      <c r="B243" s="26"/>
      <c r="C243" s="26"/>
      <c r="D243" s="26"/>
      <c r="E243" s="26"/>
      <c r="F243" s="26"/>
      <c r="G243" s="3"/>
      <c r="H243" s="5"/>
      <c r="I243" s="5"/>
      <c r="J243" s="5"/>
      <c r="K243" s="5"/>
      <c r="L243" s="5"/>
      <c r="M243" s="8"/>
      <c r="N243" s="8"/>
      <c r="O243" s="8"/>
      <c r="P243" s="3"/>
      <c r="Q243" s="3"/>
      <c r="R243" s="3"/>
    </row>
    <row r="244" spans="1:18">
      <c r="A244" s="14"/>
      <c r="B244" s="6"/>
      <c r="C244" s="6"/>
      <c r="D244" s="6"/>
      <c r="E244" s="6"/>
      <c r="F244" s="6"/>
      <c r="G244" s="3"/>
      <c r="H244" s="5"/>
      <c r="I244" s="5"/>
      <c r="J244" s="5"/>
      <c r="K244" s="5"/>
      <c r="L244" s="5"/>
      <c r="M244" s="8"/>
      <c r="N244" s="8"/>
      <c r="O244" s="8"/>
      <c r="P244" s="3"/>
      <c r="Q244" s="3"/>
      <c r="R244" s="3"/>
    </row>
    <row r="245" spans="1:18">
      <c r="A245" s="14"/>
      <c r="B245" s="150" t="str">
        <f t="shared" ref="B245:B246" si="39">UPPER(H245)</f>
        <v>ANIMATION</v>
      </c>
      <c r="C245" s="141"/>
      <c r="D245" s="141"/>
      <c r="E245" s="141"/>
      <c r="F245" s="141"/>
      <c r="G245" s="28"/>
      <c r="H245" s="167" t="s">
        <v>290</v>
      </c>
      <c r="I245" s="141"/>
      <c r="J245" s="141"/>
      <c r="K245" s="141"/>
      <c r="L245" s="141"/>
      <c r="M245" s="8"/>
      <c r="N245" s="149" t="s">
        <v>832</v>
      </c>
      <c r="O245" s="141"/>
      <c r="P245" s="141"/>
      <c r="Q245" s="141"/>
      <c r="R245" s="141"/>
    </row>
    <row r="246" spans="1:18">
      <c r="A246" s="14"/>
      <c r="B246" s="146" t="str">
        <f t="shared" si="39"/>
        <v>THE MONK STUDIOS</v>
      </c>
      <c r="C246" s="141"/>
      <c r="D246" s="141"/>
      <c r="E246" s="141"/>
      <c r="F246" s="141"/>
      <c r="G246" s="3"/>
      <c r="H246" s="149" t="s">
        <v>202</v>
      </c>
      <c r="I246" s="141"/>
      <c r="J246" s="141"/>
      <c r="K246" s="141"/>
      <c r="L246" s="141"/>
      <c r="M246" s="8"/>
      <c r="N246" s="149" t="s">
        <v>202</v>
      </c>
      <c r="O246" s="141"/>
      <c r="P246" s="141"/>
      <c r="Q246" s="141"/>
      <c r="R246" s="141"/>
    </row>
    <row r="247" spans="1:18">
      <c r="A247" s="14"/>
      <c r="B247" s="9"/>
      <c r="C247" s="10"/>
      <c r="D247" s="9"/>
      <c r="E247" s="9"/>
      <c r="F247" s="9"/>
      <c r="G247" s="3"/>
      <c r="H247" s="3"/>
      <c r="I247" s="36"/>
      <c r="J247" s="3"/>
      <c r="K247" s="31"/>
      <c r="L247" s="3"/>
      <c r="M247" s="8"/>
      <c r="N247" s="3"/>
      <c r="O247" s="36"/>
      <c r="P247" s="3"/>
      <c r="Q247" s="31"/>
      <c r="R247" s="3"/>
    </row>
    <row r="248" spans="1:18">
      <c r="A248" s="14"/>
      <c r="B248" s="9"/>
      <c r="C248" s="10" t="str">
        <f>UPPER(I248)</f>
        <v>ANIMATOR</v>
      </c>
      <c r="D248" s="9"/>
      <c r="E248" s="9" t="str">
        <f t="shared" ref="E248:E254" si="40">UPPER(K248)</f>
        <v>TSVETELINA GEORGIEVA NETOVSKA</v>
      </c>
      <c r="F248" s="9"/>
      <c r="G248" s="3"/>
      <c r="H248" s="3"/>
      <c r="I248" s="36" t="s">
        <v>296</v>
      </c>
      <c r="J248" s="3"/>
      <c r="K248" s="31" t="s">
        <v>720</v>
      </c>
      <c r="L248" s="3"/>
      <c r="M248" s="8"/>
      <c r="N248" s="3"/>
      <c r="O248" s="36" t="s">
        <v>296</v>
      </c>
      <c r="P248" s="3"/>
      <c r="Q248" s="31" t="s">
        <v>720</v>
      </c>
      <c r="R248" s="3"/>
    </row>
    <row r="249" spans="1:18">
      <c r="A249" s="14"/>
      <c r="B249" s="9"/>
      <c r="C249" s="10"/>
      <c r="D249" s="9"/>
      <c r="E249" s="9" t="str">
        <f t="shared" si="40"/>
        <v>ANDREW CHEN KEL JON</v>
      </c>
      <c r="F249" s="9"/>
      <c r="G249" s="3"/>
      <c r="H249" s="3"/>
      <c r="I249" s="8"/>
      <c r="J249" s="3"/>
      <c r="K249" s="31" t="s">
        <v>721</v>
      </c>
      <c r="L249" s="3"/>
      <c r="M249" s="8"/>
      <c r="N249" s="3"/>
      <c r="O249" s="8"/>
      <c r="P249" s="3"/>
      <c r="Q249" s="31" t="s">
        <v>721</v>
      </c>
      <c r="R249" s="3"/>
    </row>
    <row r="250" spans="1:18">
      <c r="A250" s="14"/>
      <c r="B250" s="9"/>
      <c r="C250" s="10" t="str">
        <f t="shared" ref="C250:C251" si="41">UPPER(I250)</f>
        <v/>
      </c>
      <c r="D250" s="9"/>
      <c r="E250" s="9" t="str">
        <f t="shared" si="40"/>
        <v>NOVIYANTI</v>
      </c>
      <c r="F250" s="9"/>
      <c r="G250" s="3"/>
      <c r="H250" s="3"/>
      <c r="I250" s="8"/>
      <c r="J250" s="3"/>
      <c r="K250" s="31" t="s">
        <v>722</v>
      </c>
      <c r="L250" s="3"/>
      <c r="M250" s="8"/>
      <c r="N250" s="3"/>
      <c r="O250" s="8"/>
      <c r="P250" s="3"/>
      <c r="Q250" s="31" t="s">
        <v>722</v>
      </c>
      <c r="R250" s="3"/>
    </row>
    <row r="251" spans="1:18">
      <c r="A251" s="14"/>
      <c r="B251" s="9"/>
      <c r="C251" s="10" t="str">
        <f t="shared" si="41"/>
        <v/>
      </c>
      <c r="D251" s="9"/>
      <c r="E251" s="9" t="str">
        <f t="shared" si="40"/>
        <v>CHARLES CHUA HAN CHAO</v>
      </c>
      <c r="F251" s="9"/>
      <c r="G251" s="3"/>
      <c r="H251" s="3"/>
      <c r="I251" s="8"/>
      <c r="J251" s="3"/>
      <c r="K251" s="31" t="s">
        <v>723</v>
      </c>
      <c r="L251" s="3"/>
      <c r="M251" s="8"/>
      <c r="N251" s="3"/>
      <c r="O251" s="8"/>
      <c r="P251" s="3"/>
      <c r="Q251" s="31" t="s">
        <v>723</v>
      </c>
      <c r="R251" s="3"/>
    </row>
    <row r="252" spans="1:18">
      <c r="A252" s="14"/>
      <c r="B252" s="9"/>
      <c r="C252" s="10"/>
      <c r="D252" s="9"/>
      <c r="E252" s="9" t="str">
        <f t="shared" si="40"/>
        <v>LIM JO VIN</v>
      </c>
      <c r="F252" s="9"/>
      <c r="G252" s="3"/>
      <c r="H252" s="3"/>
      <c r="I252" s="8"/>
      <c r="J252" s="3"/>
      <c r="K252" s="31" t="s">
        <v>724</v>
      </c>
      <c r="L252" s="3"/>
      <c r="M252" s="8"/>
      <c r="N252" s="3"/>
      <c r="O252" s="8"/>
      <c r="P252" s="3"/>
      <c r="Q252" s="31" t="s">
        <v>724</v>
      </c>
      <c r="R252" s="3"/>
    </row>
    <row r="253" spans="1:18">
      <c r="A253" s="14"/>
      <c r="B253" s="9"/>
      <c r="C253" s="10" t="str">
        <f t="shared" ref="C253:C254" si="42">UPPER(I253)</f>
        <v/>
      </c>
      <c r="D253" s="9"/>
      <c r="E253" s="9" t="str">
        <f t="shared" si="40"/>
        <v>SUTIMON CHAISRIARIYAKUL</v>
      </c>
      <c r="F253" s="9"/>
      <c r="G253" s="3"/>
      <c r="H253" s="3"/>
      <c r="I253" s="8"/>
      <c r="J253" s="3"/>
      <c r="K253" s="31" t="s">
        <v>725</v>
      </c>
      <c r="L253" s="3"/>
      <c r="M253" s="8"/>
      <c r="N253" s="3"/>
      <c r="O253" s="8"/>
      <c r="P253" s="3"/>
      <c r="Q253" s="31" t="s">
        <v>725</v>
      </c>
      <c r="R253" s="3"/>
    </row>
    <row r="254" spans="1:18">
      <c r="A254" s="14"/>
      <c r="B254" s="9"/>
      <c r="C254" s="10" t="str">
        <f t="shared" si="42"/>
        <v/>
      </c>
      <c r="D254" s="9"/>
      <c r="E254" s="9" t="str">
        <f t="shared" si="40"/>
        <v>PUNITH GOEL</v>
      </c>
      <c r="F254" s="9"/>
      <c r="G254" s="3"/>
      <c r="H254" s="3"/>
      <c r="I254" s="8"/>
      <c r="J254" s="3"/>
      <c r="K254" s="31" t="s">
        <v>726</v>
      </c>
      <c r="L254" s="3"/>
      <c r="M254" s="8"/>
      <c r="N254" s="3"/>
      <c r="O254" s="8"/>
      <c r="P254" s="3"/>
      <c r="Q254" s="31" t="s">
        <v>726</v>
      </c>
      <c r="R254" s="3"/>
    </row>
    <row r="255" spans="1:18">
      <c r="A255" s="14"/>
      <c r="B255" s="9"/>
      <c r="C255" s="10"/>
      <c r="D255" s="9"/>
      <c r="E255" s="9"/>
      <c r="F255" s="9"/>
      <c r="G255" s="3"/>
      <c r="H255" s="3"/>
      <c r="I255" s="8"/>
      <c r="J255" s="3"/>
      <c r="K255" s="31"/>
      <c r="L255" s="3"/>
      <c r="M255" s="8"/>
      <c r="N255" s="8"/>
      <c r="O255" s="8"/>
      <c r="P255" s="3"/>
      <c r="Q255" s="3"/>
      <c r="R255" s="3"/>
    </row>
    <row r="256" spans="1:18">
      <c r="A256" s="14"/>
      <c r="B256" s="11"/>
      <c r="C256" s="12" t="str">
        <f>UPPER(I256)</f>
        <v/>
      </c>
      <c r="D256" s="11"/>
      <c r="E256" s="11" t="str">
        <f>UPPER(K256)</f>
        <v/>
      </c>
      <c r="F256" s="11"/>
      <c r="G256" s="3"/>
      <c r="H256" s="3"/>
      <c r="I256" s="8"/>
      <c r="J256" s="3"/>
      <c r="K256" s="13"/>
      <c r="L256" s="3"/>
      <c r="M256" s="3"/>
      <c r="N256" s="3"/>
      <c r="O256" s="8"/>
      <c r="P256" s="3"/>
      <c r="Q256" s="3"/>
      <c r="R256" s="3"/>
    </row>
    <row r="257" spans="1:18">
      <c r="A257" s="14"/>
      <c r="B257" s="6"/>
      <c r="C257" s="6"/>
      <c r="D257" s="6"/>
      <c r="E257" s="6"/>
      <c r="F257" s="6"/>
      <c r="G257" s="3"/>
      <c r="H257" s="7"/>
      <c r="I257" s="8"/>
      <c r="J257" s="7"/>
      <c r="K257" s="13"/>
      <c r="L257" s="7"/>
      <c r="M257" s="8"/>
      <c r="N257" s="8"/>
      <c r="O257" s="8"/>
      <c r="P257" s="3"/>
      <c r="Q257" s="3"/>
      <c r="R257" s="3"/>
    </row>
    <row r="258" spans="1:18">
      <c r="A258" s="14"/>
      <c r="B258" s="150" t="str">
        <f>UPPER(H258)</f>
        <v>LIGHTING / VFX / COMPOSITING</v>
      </c>
      <c r="C258" s="141"/>
      <c r="D258" s="141"/>
      <c r="E258" s="141"/>
      <c r="F258" s="141"/>
      <c r="G258" s="28"/>
      <c r="H258" s="167" t="s">
        <v>330</v>
      </c>
      <c r="I258" s="141"/>
      <c r="J258" s="141"/>
      <c r="K258" s="141"/>
      <c r="L258" s="141"/>
      <c r="M258" s="29"/>
      <c r="N258" s="149" t="s">
        <v>845</v>
      </c>
      <c r="O258" s="141"/>
      <c r="P258" s="141"/>
      <c r="Q258" s="141"/>
      <c r="R258" s="141"/>
    </row>
    <row r="259" spans="1:18">
      <c r="A259" s="14"/>
      <c r="B259" s="9"/>
      <c r="C259" s="10" t="str">
        <f t="shared" ref="C259:C268" si="43">UPPER(I259)</f>
        <v>VFX SUPERVISOR</v>
      </c>
      <c r="D259" s="9"/>
      <c r="E259" s="9" t="str">
        <f t="shared" ref="E259:E268" si="44">UPPER(K259)</f>
        <v>HYEONGKI KIM</v>
      </c>
      <c r="F259" s="9"/>
      <c r="G259" s="3"/>
      <c r="H259" s="3"/>
      <c r="I259" s="8" t="s">
        <v>331</v>
      </c>
      <c r="J259" s="3"/>
      <c r="K259" s="13" t="s">
        <v>332</v>
      </c>
      <c r="L259" s="3"/>
      <c r="M259" s="8"/>
      <c r="N259" s="8"/>
      <c r="O259" s="8" t="s">
        <v>846</v>
      </c>
      <c r="P259" s="3"/>
      <c r="Q259" s="3" t="s">
        <v>847</v>
      </c>
      <c r="R259" s="3"/>
    </row>
    <row r="260" spans="1:18">
      <c r="A260" s="14"/>
      <c r="B260" s="9"/>
      <c r="C260" s="10" t="str">
        <f t="shared" si="43"/>
        <v/>
      </c>
      <c r="D260" s="9"/>
      <c r="E260" s="9" t="str">
        <f t="shared" si="44"/>
        <v/>
      </c>
      <c r="F260" s="9"/>
      <c r="G260" s="3"/>
      <c r="H260" s="3"/>
      <c r="I260" s="8"/>
      <c r="J260" s="3"/>
      <c r="K260" s="13"/>
      <c r="L260" s="3"/>
      <c r="M260" s="8"/>
      <c r="N260" s="8"/>
      <c r="O260" s="8"/>
      <c r="P260" s="3"/>
      <c r="Q260" s="3"/>
      <c r="R260" s="3"/>
    </row>
    <row r="261" spans="1:18">
      <c r="A261" s="14"/>
      <c r="B261" s="9"/>
      <c r="C261" s="10" t="str">
        <f t="shared" si="43"/>
        <v>LIGHTING SUPERVISOR</v>
      </c>
      <c r="D261" s="9"/>
      <c r="E261" s="9" t="str">
        <f t="shared" si="44"/>
        <v>TAE-IN LEE</v>
      </c>
      <c r="F261" s="9"/>
      <c r="G261" s="3"/>
      <c r="H261" s="3"/>
      <c r="I261" s="8" t="s">
        <v>333</v>
      </c>
      <c r="J261" s="3"/>
      <c r="K261" s="13" t="s">
        <v>334</v>
      </c>
      <c r="L261" s="3"/>
      <c r="M261" s="8"/>
      <c r="N261" s="8"/>
      <c r="O261" s="8" t="s">
        <v>848</v>
      </c>
      <c r="P261" s="3"/>
      <c r="Q261" s="3" t="s">
        <v>849</v>
      </c>
      <c r="R261" s="3"/>
    </row>
    <row r="262" spans="1:18">
      <c r="A262" s="14"/>
      <c r="B262" s="9"/>
      <c r="C262" s="10" t="str">
        <f t="shared" si="43"/>
        <v>LIGHTING ARTIST</v>
      </c>
      <c r="D262" s="9"/>
      <c r="E262" s="9" t="str">
        <f t="shared" si="44"/>
        <v>BYEONGHYEON HWANG</v>
      </c>
      <c r="F262" s="9"/>
      <c r="G262" s="3"/>
      <c r="H262" s="3"/>
      <c r="I262" s="8" t="s">
        <v>335</v>
      </c>
      <c r="J262" s="3"/>
      <c r="K262" s="13" t="s">
        <v>336</v>
      </c>
      <c r="L262" s="3"/>
      <c r="M262" s="8"/>
      <c r="N262" s="8"/>
      <c r="O262" s="8" t="s">
        <v>850</v>
      </c>
      <c r="P262" s="3"/>
      <c r="Q262" s="3" t="s">
        <v>851</v>
      </c>
      <c r="R262" s="3"/>
    </row>
    <row r="263" spans="1:18">
      <c r="A263" s="14"/>
      <c r="B263" s="9"/>
      <c r="C263" s="10" t="str">
        <f t="shared" si="43"/>
        <v/>
      </c>
      <c r="D263" s="9"/>
      <c r="E263" s="9" t="str">
        <f t="shared" si="44"/>
        <v/>
      </c>
      <c r="F263" s="9"/>
      <c r="G263" s="3"/>
      <c r="H263" s="3"/>
      <c r="I263" s="8"/>
      <c r="J263" s="3"/>
      <c r="K263" s="13"/>
      <c r="L263" s="3"/>
      <c r="M263" s="8"/>
      <c r="N263" s="8"/>
      <c r="O263" s="8"/>
      <c r="P263" s="3"/>
      <c r="Q263" s="3"/>
      <c r="R263" s="3"/>
    </row>
    <row r="264" spans="1:18">
      <c r="A264" s="14"/>
      <c r="B264" s="9"/>
      <c r="C264" s="10" t="str">
        <f t="shared" si="43"/>
        <v>FX SUPERVISOR</v>
      </c>
      <c r="D264" s="9"/>
      <c r="E264" s="9" t="str">
        <f t="shared" si="44"/>
        <v>SEWANG KIM</v>
      </c>
      <c r="F264" s="9"/>
      <c r="G264" s="3"/>
      <c r="H264" s="3"/>
      <c r="I264" s="8" t="s">
        <v>337</v>
      </c>
      <c r="J264" s="3"/>
      <c r="K264" s="13" t="s">
        <v>338</v>
      </c>
      <c r="L264" s="3"/>
      <c r="M264" s="8"/>
      <c r="N264" s="8"/>
      <c r="O264" s="8" t="s">
        <v>852</v>
      </c>
      <c r="P264" s="3"/>
      <c r="Q264" s="3" t="s">
        <v>853</v>
      </c>
      <c r="R264" s="3"/>
    </row>
    <row r="265" spans="1:18">
      <c r="A265" s="14"/>
      <c r="B265" s="9"/>
      <c r="C265" s="10" t="str">
        <f t="shared" si="43"/>
        <v>FX ARTIST</v>
      </c>
      <c r="D265" s="9"/>
      <c r="E265" s="9" t="str">
        <f t="shared" si="44"/>
        <v>SAEBOM OH</v>
      </c>
      <c r="F265" s="9"/>
      <c r="G265" s="3"/>
      <c r="H265" s="3"/>
      <c r="I265" s="8" t="s">
        <v>339</v>
      </c>
      <c r="J265" s="3"/>
      <c r="K265" s="13" t="s">
        <v>340</v>
      </c>
      <c r="L265" s="3"/>
      <c r="M265" s="8"/>
      <c r="N265" s="8"/>
      <c r="O265" s="8" t="s">
        <v>854</v>
      </c>
      <c r="P265" s="3"/>
      <c r="Q265" s="137" t="s">
        <v>855</v>
      </c>
      <c r="R265" s="3"/>
    </row>
    <row r="266" spans="1:18">
      <c r="A266" s="14"/>
      <c r="B266" s="9"/>
      <c r="C266" s="10" t="str">
        <f t="shared" si="43"/>
        <v/>
      </c>
      <c r="D266" s="9"/>
      <c r="E266" s="9" t="str">
        <f t="shared" si="44"/>
        <v/>
      </c>
      <c r="F266" s="9"/>
      <c r="G266" s="3"/>
      <c r="H266" s="3"/>
      <c r="I266" s="8"/>
      <c r="J266" s="3"/>
      <c r="K266" s="13"/>
      <c r="L266" s="3"/>
      <c r="M266" s="8"/>
      <c r="N266" s="8"/>
      <c r="O266" s="8"/>
      <c r="P266" s="3"/>
      <c r="Q266" s="3"/>
      <c r="R266" s="3"/>
    </row>
    <row r="267" spans="1:18">
      <c r="A267" s="14"/>
      <c r="B267" s="9"/>
      <c r="C267" s="10" t="str">
        <f t="shared" si="43"/>
        <v>COMPOSITING SUPERVISOR</v>
      </c>
      <c r="D267" s="9"/>
      <c r="E267" s="40" t="str">
        <f t="shared" si="44"/>
        <v>YOONHEE JUNG</v>
      </c>
      <c r="F267" s="9"/>
      <c r="G267" s="3"/>
      <c r="H267" s="3"/>
      <c r="I267" s="8" t="s">
        <v>341</v>
      </c>
      <c r="J267" s="3"/>
      <c r="K267" s="13" t="s">
        <v>342</v>
      </c>
      <c r="L267" s="3"/>
      <c r="M267" s="3"/>
      <c r="N267" s="3"/>
      <c r="O267" s="8" t="s">
        <v>856</v>
      </c>
      <c r="P267" s="3"/>
      <c r="Q267" s="3" t="s">
        <v>857</v>
      </c>
      <c r="R267" s="3"/>
    </row>
    <row r="268" spans="1:18">
      <c r="A268" s="14"/>
      <c r="B268" s="9"/>
      <c r="C268" s="10" t="str">
        <f t="shared" si="43"/>
        <v>COMPOSITING ARTIST</v>
      </c>
      <c r="D268" s="9"/>
      <c r="E268" s="9" t="str">
        <f t="shared" si="44"/>
        <v>NAMMIN KIM</v>
      </c>
      <c r="F268" s="9"/>
      <c r="G268" s="3"/>
      <c r="H268" s="3"/>
      <c r="I268" s="8" t="s">
        <v>343</v>
      </c>
      <c r="J268" s="3"/>
      <c r="K268" s="13" t="s">
        <v>344</v>
      </c>
      <c r="L268" s="3"/>
      <c r="M268" s="8"/>
      <c r="N268" s="8"/>
      <c r="O268" s="8" t="s">
        <v>858</v>
      </c>
      <c r="P268" s="3"/>
      <c r="Q268" s="3" t="s">
        <v>859</v>
      </c>
      <c r="R268" s="3"/>
    </row>
    <row r="269" spans="1:18">
      <c r="A269" s="14"/>
      <c r="B269" s="9"/>
      <c r="C269" s="10"/>
      <c r="D269" s="9"/>
      <c r="E269" s="9"/>
      <c r="F269" s="9"/>
      <c r="G269" s="3"/>
      <c r="H269" s="3"/>
      <c r="I269" s="8"/>
      <c r="J269" s="3"/>
      <c r="K269" s="13"/>
      <c r="L269" s="3"/>
      <c r="M269" s="8"/>
      <c r="N269" s="8"/>
      <c r="O269" s="8"/>
      <c r="P269" s="3"/>
      <c r="Q269" s="3"/>
      <c r="R269" s="3"/>
    </row>
    <row r="270" spans="1:18">
      <c r="A270" s="14"/>
      <c r="B270" s="26"/>
      <c r="C270" s="26"/>
      <c r="D270" s="26"/>
      <c r="E270" s="26"/>
      <c r="F270" s="26"/>
      <c r="G270" s="3"/>
      <c r="H270" s="5"/>
      <c r="I270" s="5"/>
      <c r="J270" s="5"/>
      <c r="K270" s="5"/>
      <c r="L270" s="5"/>
      <c r="M270" s="8"/>
      <c r="N270" s="8"/>
      <c r="O270" s="8"/>
      <c r="P270" s="3"/>
      <c r="Q270" s="3"/>
      <c r="R270" s="3"/>
    </row>
    <row r="271" spans="1:18">
      <c r="A271" s="14"/>
      <c r="B271" s="6"/>
      <c r="C271" s="6"/>
      <c r="D271" s="6"/>
      <c r="E271" s="6"/>
      <c r="F271" s="6"/>
      <c r="G271" s="3"/>
      <c r="H271" s="5"/>
      <c r="I271" s="5"/>
      <c r="J271" s="5"/>
      <c r="K271" s="5"/>
      <c r="L271" s="5"/>
      <c r="M271" s="8"/>
      <c r="N271" s="8"/>
      <c r="O271" s="8"/>
      <c r="P271" s="3"/>
      <c r="Q271" s="3"/>
      <c r="R271" s="3"/>
    </row>
    <row r="272" spans="1:18">
      <c r="A272" s="14"/>
      <c r="B272" s="150" t="str">
        <f t="shared" ref="B272:B273" si="45">UPPER(H272)</f>
        <v>LIGHTING / VFX / COMPOSITING</v>
      </c>
      <c r="C272" s="141"/>
      <c r="D272" s="141"/>
      <c r="E272" s="141"/>
      <c r="F272" s="141"/>
      <c r="G272" s="28"/>
      <c r="H272" s="167" t="s">
        <v>330</v>
      </c>
      <c r="I272" s="141"/>
      <c r="J272" s="141"/>
      <c r="K272" s="141"/>
      <c r="L272" s="141"/>
      <c r="M272" s="8"/>
      <c r="N272" s="149" t="s">
        <v>845</v>
      </c>
      <c r="O272" s="141"/>
      <c r="P272" s="141"/>
      <c r="Q272" s="141"/>
      <c r="R272" s="141"/>
    </row>
    <row r="273" spans="1:18">
      <c r="A273" s="14"/>
      <c r="B273" s="146" t="str">
        <f t="shared" si="45"/>
        <v>THE MONK STUDIOS</v>
      </c>
      <c r="C273" s="141"/>
      <c r="D273" s="141"/>
      <c r="E273" s="141"/>
      <c r="F273" s="141"/>
      <c r="G273" s="3"/>
      <c r="H273" s="149" t="s">
        <v>202</v>
      </c>
      <c r="I273" s="141"/>
      <c r="J273" s="141"/>
      <c r="K273" s="141"/>
      <c r="L273" s="141"/>
      <c r="M273" s="8"/>
      <c r="N273" s="149" t="s">
        <v>202</v>
      </c>
      <c r="O273" s="141"/>
      <c r="P273" s="141"/>
      <c r="Q273" s="141"/>
      <c r="R273" s="141"/>
    </row>
    <row r="274" spans="1:18">
      <c r="A274" s="14"/>
      <c r="B274" s="9"/>
      <c r="C274" s="10"/>
      <c r="D274" s="9"/>
      <c r="E274" s="9"/>
      <c r="F274" s="9"/>
      <c r="G274" s="3"/>
      <c r="H274" s="3"/>
      <c r="I274" s="36"/>
      <c r="J274" s="3"/>
      <c r="K274" s="22"/>
      <c r="L274" s="3"/>
      <c r="M274" s="8"/>
      <c r="N274" s="3"/>
      <c r="O274" s="36"/>
      <c r="P274" s="3"/>
      <c r="Q274" s="22"/>
      <c r="R274" s="3"/>
    </row>
    <row r="275" spans="1:18">
      <c r="A275" s="14"/>
      <c r="B275" s="9"/>
      <c r="C275" s="10" t="str">
        <f>UPPER(I275)</f>
        <v>CFX SUPERVISOR</v>
      </c>
      <c r="D275" s="9"/>
      <c r="E275" s="41" t="str">
        <f>UPPER(K275)</f>
        <v>KORRAPAT TANGSUTTHIWONG</v>
      </c>
      <c r="F275" s="9"/>
      <c r="G275" s="3"/>
      <c r="H275" s="3"/>
      <c r="I275" s="36" t="s">
        <v>345</v>
      </c>
      <c r="J275" s="3"/>
      <c r="K275" s="22" t="s">
        <v>346</v>
      </c>
      <c r="L275" s="3"/>
      <c r="M275" s="8"/>
      <c r="N275" s="3"/>
      <c r="O275" s="36" t="s">
        <v>345</v>
      </c>
      <c r="P275" s="3"/>
      <c r="Q275" s="22" t="s">
        <v>346</v>
      </c>
      <c r="R275" s="3"/>
    </row>
    <row r="276" spans="1:18">
      <c r="A276" s="14"/>
      <c r="B276" s="9"/>
      <c r="C276" s="10"/>
      <c r="D276" s="9"/>
      <c r="E276" s="9"/>
      <c r="F276" s="9"/>
      <c r="G276" s="3"/>
      <c r="H276" s="3"/>
      <c r="I276" s="36"/>
      <c r="J276" s="3"/>
      <c r="K276" s="22"/>
      <c r="L276" s="3"/>
      <c r="M276" s="8"/>
      <c r="N276" s="3"/>
      <c r="O276" s="36"/>
      <c r="P276" s="3"/>
      <c r="Q276" s="22"/>
      <c r="R276" s="3"/>
    </row>
    <row r="277" spans="1:18">
      <c r="A277" s="14"/>
      <c r="B277" s="9"/>
      <c r="C277" s="10" t="str">
        <f>UPPER(I277)</f>
        <v>CFX ARTIST</v>
      </c>
      <c r="D277" s="9"/>
      <c r="E277" s="9" t="str">
        <f t="shared" ref="E277:E283" si="46">UPPER(K277)</f>
        <v>CHERMAR WITOONWUTTIKUL</v>
      </c>
      <c r="F277" s="9"/>
      <c r="G277" s="3"/>
      <c r="H277" s="3"/>
      <c r="I277" s="36" t="s">
        <v>349</v>
      </c>
      <c r="J277" s="3"/>
      <c r="K277" s="22" t="s">
        <v>350</v>
      </c>
      <c r="L277" s="3"/>
      <c r="M277" s="8"/>
      <c r="N277" s="3"/>
      <c r="O277" s="36" t="s">
        <v>349</v>
      </c>
      <c r="P277" s="3"/>
      <c r="Q277" s="22" t="s">
        <v>350</v>
      </c>
      <c r="R277" s="3"/>
    </row>
    <row r="278" spans="1:18">
      <c r="A278" s="14"/>
      <c r="B278" s="9"/>
      <c r="C278" s="10"/>
      <c r="D278" s="9"/>
      <c r="E278" s="9" t="str">
        <f t="shared" si="46"/>
        <v>KOMSON SEECHAN</v>
      </c>
      <c r="F278" s="9"/>
      <c r="G278" s="3"/>
      <c r="H278" s="3"/>
      <c r="I278" s="36"/>
      <c r="J278" s="3"/>
      <c r="K278" s="22" t="s">
        <v>351</v>
      </c>
      <c r="L278" s="3"/>
      <c r="M278" s="8"/>
      <c r="N278" s="3"/>
      <c r="O278" s="36"/>
      <c r="P278" s="3"/>
      <c r="Q278" s="22" t="s">
        <v>351</v>
      </c>
      <c r="R278" s="3"/>
    </row>
    <row r="279" spans="1:18">
      <c r="A279" s="14"/>
      <c r="B279" s="9"/>
      <c r="C279" s="10" t="str">
        <f t="shared" ref="C279:C283" si="47">UPPER(I279)</f>
        <v/>
      </c>
      <c r="D279" s="9"/>
      <c r="E279" s="9" t="str">
        <f t="shared" si="46"/>
        <v>PREECHAPONG NOPRUMPA</v>
      </c>
      <c r="F279" s="9"/>
      <c r="G279" s="3"/>
      <c r="H279" s="3"/>
      <c r="I279" s="36"/>
      <c r="J279" s="3"/>
      <c r="K279" s="22" t="s">
        <v>352</v>
      </c>
      <c r="L279" s="3"/>
      <c r="M279" s="8"/>
      <c r="N279" s="3"/>
      <c r="O279" s="36"/>
      <c r="P279" s="3"/>
      <c r="Q279" s="22" t="s">
        <v>352</v>
      </c>
      <c r="R279" s="3"/>
    </row>
    <row r="280" spans="1:18">
      <c r="A280" s="14"/>
      <c r="B280" s="9"/>
      <c r="C280" s="10" t="str">
        <f t="shared" si="47"/>
        <v/>
      </c>
      <c r="D280" s="9"/>
      <c r="E280" s="9" t="str">
        <f t="shared" si="46"/>
        <v>SUPPACHAI WONGSALINGKARN</v>
      </c>
      <c r="F280" s="9"/>
      <c r="G280" s="3"/>
      <c r="H280" s="3"/>
      <c r="I280" s="8"/>
      <c r="J280" s="3"/>
      <c r="K280" s="22" t="s">
        <v>353</v>
      </c>
      <c r="L280" s="3"/>
      <c r="M280" s="8"/>
      <c r="N280" s="3"/>
      <c r="O280" s="8"/>
      <c r="P280" s="3"/>
      <c r="Q280" s="22" t="s">
        <v>353</v>
      </c>
      <c r="R280" s="3"/>
    </row>
    <row r="281" spans="1:18">
      <c r="A281" s="14"/>
      <c r="B281" s="9"/>
      <c r="C281" s="10" t="str">
        <f t="shared" si="47"/>
        <v/>
      </c>
      <c r="D281" s="9"/>
      <c r="E281" s="9" t="str">
        <f t="shared" si="46"/>
        <v>THAWATCHAY KAEWPHUY</v>
      </c>
      <c r="F281" s="9"/>
      <c r="G281" s="3"/>
      <c r="H281" s="3"/>
      <c r="I281" s="8"/>
      <c r="J281" s="3"/>
      <c r="K281" s="22" t="s">
        <v>354</v>
      </c>
      <c r="L281" s="3"/>
      <c r="M281" s="8"/>
      <c r="N281" s="3"/>
      <c r="O281" s="8"/>
      <c r="P281" s="3"/>
      <c r="Q281" s="22" t="s">
        <v>354</v>
      </c>
      <c r="R281" s="3"/>
    </row>
    <row r="282" spans="1:18">
      <c r="A282" s="14"/>
      <c r="B282" s="9"/>
      <c r="C282" s="10" t="str">
        <f t="shared" si="47"/>
        <v/>
      </c>
      <c r="D282" s="9"/>
      <c r="E282" s="9" t="str">
        <f t="shared" si="46"/>
        <v>TITTAYANAN WANNUBOL</v>
      </c>
      <c r="F282" s="9"/>
      <c r="G282" s="3"/>
      <c r="H282" s="3"/>
      <c r="I282" s="8"/>
      <c r="J282" s="3"/>
      <c r="K282" s="22" t="s">
        <v>355</v>
      </c>
      <c r="L282" s="3"/>
      <c r="M282" s="8"/>
      <c r="N282" s="3"/>
      <c r="O282" s="8"/>
      <c r="P282" s="3"/>
      <c r="Q282" s="22" t="s">
        <v>355</v>
      </c>
      <c r="R282" s="3"/>
    </row>
    <row r="283" spans="1:18">
      <c r="A283" s="14"/>
      <c r="B283" s="9"/>
      <c r="C283" s="10" t="str">
        <f t="shared" si="47"/>
        <v/>
      </c>
      <c r="D283" s="9"/>
      <c r="E283" s="9" t="str">
        <f t="shared" si="46"/>
        <v>PORNNEEKA THAMWONG</v>
      </c>
      <c r="F283" s="9"/>
      <c r="G283" s="3"/>
      <c r="H283" s="3"/>
      <c r="I283" s="8"/>
      <c r="J283" s="3"/>
      <c r="K283" s="22" t="s">
        <v>356</v>
      </c>
      <c r="L283" s="3"/>
      <c r="M283" s="8"/>
      <c r="N283" s="3"/>
      <c r="O283" s="8"/>
      <c r="P283" s="3"/>
      <c r="Q283" s="22" t="s">
        <v>356</v>
      </c>
      <c r="R283" s="3"/>
    </row>
    <row r="284" spans="1:18">
      <c r="A284" s="14"/>
      <c r="B284" s="9"/>
      <c r="C284" s="10"/>
      <c r="D284" s="9"/>
      <c r="E284" s="9"/>
      <c r="F284" s="9"/>
      <c r="G284" s="3"/>
      <c r="H284" s="3"/>
      <c r="I284" s="8"/>
      <c r="J284" s="3"/>
      <c r="K284" s="31"/>
      <c r="L284" s="3"/>
      <c r="M284" s="8"/>
      <c r="N284" s="8"/>
      <c r="O284" s="8"/>
      <c r="P284" s="3"/>
      <c r="Q284" s="3"/>
      <c r="R284" s="3"/>
    </row>
    <row r="285" spans="1:18">
      <c r="A285" s="14"/>
      <c r="B285" s="11"/>
      <c r="C285" s="12"/>
      <c r="D285" s="11"/>
      <c r="E285" s="11"/>
      <c r="F285" s="11"/>
      <c r="G285" s="3"/>
      <c r="H285" s="3"/>
      <c r="I285" s="36"/>
      <c r="J285" s="3"/>
      <c r="K285" s="31"/>
      <c r="L285" s="3"/>
      <c r="M285" s="8"/>
      <c r="N285" s="8"/>
      <c r="O285" s="8"/>
      <c r="P285" s="3"/>
      <c r="Q285" s="3"/>
      <c r="R285" s="3"/>
    </row>
    <row r="286" spans="1:18">
      <c r="A286" s="14"/>
      <c r="B286" s="17"/>
      <c r="C286" s="17"/>
      <c r="D286" s="17"/>
      <c r="E286" s="17"/>
      <c r="F286" s="17"/>
      <c r="G286" s="28"/>
      <c r="H286" s="18"/>
      <c r="I286" s="18"/>
      <c r="J286" s="18"/>
      <c r="K286" s="18"/>
      <c r="L286" s="18"/>
      <c r="M286" s="8"/>
      <c r="N286" s="8"/>
      <c r="O286" s="8"/>
      <c r="P286" s="3"/>
      <c r="Q286" s="3"/>
      <c r="R286" s="3"/>
    </row>
    <row r="287" spans="1:18">
      <c r="A287" s="14"/>
      <c r="B287" s="150" t="str">
        <f t="shared" ref="B287:B288" si="48">UPPER(H287)</f>
        <v>LIGHTING / VFX / COMPOSITING</v>
      </c>
      <c r="C287" s="141"/>
      <c r="D287" s="141"/>
      <c r="E287" s="141"/>
      <c r="F287" s="141"/>
      <c r="G287" s="28"/>
      <c r="H287" s="167" t="s">
        <v>330</v>
      </c>
      <c r="I287" s="141"/>
      <c r="J287" s="141"/>
      <c r="K287" s="141"/>
      <c r="L287" s="141"/>
      <c r="M287" s="8"/>
      <c r="N287" s="149" t="s">
        <v>845</v>
      </c>
      <c r="O287" s="141"/>
      <c r="P287" s="141"/>
      <c r="Q287" s="141"/>
      <c r="R287" s="141"/>
    </row>
    <row r="288" spans="1:18">
      <c r="A288" s="14"/>
      <c r="B288" s="146" t="str">
        <f t="shared" si="48"/>
        <v>THE MONK STUDIOS</v>
      </c>
      <c r="C288" s="141"/>
      <c r="D288" s="141"/>
      <c r="E288" s="141"/>
      <c r="F288" s="141"/>
      <c r="G288" s="3"/>
      <c r="H288" s="149" t="s">
        <v>202</v>
      </c>
      <c r="I288" s="141"/>
      <c r="J288" s="141"/>
      <c r="K288" s="141"/>
      <c r="L288" s="141"/>
      <c r="M288" s="8"/>
      <c r="N288" s="149" t="s">
        <v>202</v>
      </c>
      <c r="O288" s="141"/>
      <c r="P288" s="141"/>
      <c r="Q288" s="141"/>
      <c r="R288" s="141"/>
    </row>
    <row r="289" spans="1:18">
      <c r="A289" s="14"/>
      <c r="B289" s="9"/>
      <c r="C289" s="10"/>
      <c r="D289" s="9"/>
      <c r="E289" s="9"/>
      <c r="F289" s="9"/>
      <c r="G289" s="3"/>
      <c r="H289" s="3"/>
      <c r="I289" s="36"/>
      <c r="J289" s="3"/>
      <c r="K289" s="31"/>
      <c r="L289" s="3"/>
      <c r="M289" s="8"/>
      <c r="N289" s="3"/>
      <c r="O289" s="36"/>
      <c r="P289" s="3"/>
      <c r="Q289" s="31"/>
      <c r="R289" s="3"/>
    </row>
    <row r="290" spans="1:18">
      <c r="A290" s="14"/>
      <c r="B290" s="9"/>
      <c r="C290" s="10" t="str">
        <f>UPPER(I290)</f>
        <v xml:space="preserve">EFFECT SUPERVISOR </v>
      </c>
      <c r="D290" s="9"/>
      <c r="E290" s="9" t="str">
        <f t="shared" ref="E290:E296" si="49">UPPER(K290)</f>
        <v>THACHAPONG RUANGROJ</v>
      </c>
      <c r="F290" s="9"/>
      <c r="G290" s="3"/>
      <c r="H290" s="3"/>
      <c r="I290" s="36" t="s">
        <v>357</v>
      </c>
      <c r="J290" s="3"/>
      <c r="K290" s="31" t="s">
        <v>358</v>
      </c>
      <c r="L290" s="3"/>
      <c r="M290" s="8"/>
      <c r="N290" s="3"/>
      <c r="O290" s="36" t="s">
        <v>357</v>
      </c>
      <c r="P290" s="3"/>
      <c r="Q290" s="31" t="s">
        <v>358</v>
      </c>
      <c r="R290" s="3"/>
    </row>
    <row r="291" spans="1:18">
      <c r="A291" s="14"/>
      <c r="B291" s="9"/>
      <c r="C291" s="10"/>
      <c r="D291" s="9"/>
      <c r="E291" s="9" t="str">
        <f t="shared" si="49"/>
        <v/>
      </c>
      <c r="F291" s="9"/>
      <c r="G291" s="3"/>
      <c r="H291" s="3"/>
      <c r="I291" s="36"/>
      <c r="J291" s="3"/>
      <c r="K291" s="31"/>
      <c r="L291" s="3"/>
      <c r="M291" s="8"/>
      <c r="N291" s="3"/>
      <c r="O291" s="36"/>
      <c r="P291" s="3"/>
      <c r="Q291" s="31"/>
      <c r="R291" s="3"/>
    </row>
    <row r="292" spans="1:18">
      <c r="A292" s="14"/>
      <c r="B292" s="9"/>
      <c r="C292" s="10" t="str">
        <f>UPPER(I292)</f>
        <v>EFFECTS ARTIST</v>
      </c>
      <c r="D292" s="9"/>
      <c r="E292" s="9" t="str">
        <f t="shared" si="49"/>
        <v>CHAIPAT WINYOOVIJIT</v>
      </c>
      <c r="F292" s="9"/>
      <c r="G292" s="3"/>
      <c r="H292" s="3"/>
      <c r="I292" s="36" t="s">
        <v>361</v>
      </c>
      <c r="J292" s="3"/>
      <c r="K292" s="31" t="s">
        <v>362</v>
      </c>
      <c r="L292" s="3"/>
      <c r="M292" s="8"/>
      <c r="N292" s="3"/>
      <c r="O292" s="36" t="s">
        <v>361</v>
      </c>
      <c r="P292" s="3"/>
      <c r="Q292" s="31" t="s">
        <v>362</v>
      </c>
      <c r="R292" s="3"/>
    </row>
    <row r="293" spans="1:18">
      <c r="A293" s="14"/>
      <c r="B293" s="9"/>
      <c r="C293" s="10"/>
      <c r="D293" s="9"/>
      <c r="E293" s="9" t="str">
        <f t="shared" si="49"/>
        <v>KULAPONG VAIYAMUGAMUYGUL</v>
      </c>
      <c r="F293" s="9"/>
      <c r="G293" s="3"/>
      <c r="H293" s="3"/>
      <c r="I293" s="36"/>
      <c r="J293" s="3"/>
      <c r="K293" s="31" t="s">
        <v>661</v>
      </c>
      <c r="L293" s="3"/>
      <c r="M293" s="8"/>
      <c r="N293" s="3"/>
      <c r="O293" s="36"/>
      <c r="P293" s="3"/>
      <c r="Q293" s="31" t="s">
        <v>661</v>
      </c>
      <c r="R293" s="3"/>
    </row>
    <row r="294" spans="1:18">
      <c r="A294" s="14"/>
      <c r="B294" s="9"/>
      <c r="C294" s="10" t="str">
        <f t="shared" ref="C294:C296" si="50">UPPER(I294)</f>
        <v/>
      </c>
      <c r="D294" s="9"/>
      <c r="E294" s="9" t="str">
        <f t="shared" si="49"/>
        <v>KITTOUCH WITAYAPASITKUL</v>
      </c>
      <c r="F294" s="9"/>
      <c r="G294" s="3"/>
      <c r="H294" s="3"/>
      <c r="I294" s="36"/>
      <c r="J294" s="3"/>
      <c r="K294" s="31" t="s">
        <v>727</v>
      </c>
      <c r="L294" s="3"/>
      <c r="M294" s="8"/>
      <c r="N294" s="3"/>
      <c r="O294" s="36"/>
      <c r="P294" s="3"/>
      <c r="Q294" s="31" t="s">
        <v>727</v>
      </c>
      <c r="R294" s="3"/>
    </row>
    <row r="295" spans="1:18">
      <c r="A295" s="14"/>
      <c r="B295" s="9"/>
      <c r="C295" s="10" t="str">
        <f t="shared" si="50"/>
        <v/>
      </c>
      <c r="D295" s="9"/>
      <c r="E295" s="9" t="str">
        <f t="shared" si="49"/>
        <v>WEERAPHAT SANGRUNG</v>
      </c>
      <c r="F295" s="9"/>
      <c r="G295" s="3"/>
      <c r="H295" s="3"/>
      <c r="I295" s="8"/>
      <c r="J295" s="3"/>
      <c r="K295" s="31" t="s">
        <v>728</v>
      </c>
      <c r="L295" s="3"/>
      <c r="M295" s="8"/>
      <c r="N295" s="3"/>
      <c r="O295" s="8"/>
      <c r="P295" s="3"/>
      <c r="Q295" s="31" t="s">
        <v>728</v>
      </c>
      <c r="R295" s="3"/>
    </row>
    <row r="296" spans="1:18">
      <c r="A296" s="14"/>
      <c r="B296" s="9"/>
      <c r="C296" s="10" t="str">
        <f t="shared" si="50"/>
        <v/>
      </c>
      <c r="D296" s="9"/>
      <c r="E296" s="9" t="str">
        <f t="shared" si="49"/>
        <v/>
      </c>
      <c r="F296" s="9"/>
      <c r="G296" s="3"/>
      <c r="H296" s="3"/>
      <c r="I296" s="8"/>
      <c r="J296" s="3"/>
      <c r="K296" s="31"/>
      <c r="L296" s="3"/>
      <c r="M296" s="8"/>
      <c r="N296" s="8"/>
      <c r="O296" s="8"/>
      <c r="P296" s="3"/>
      <c r="Q296" s="3"/>
      <c r="R296" s="3"/>
    </row>
    <row r="297" spans="1:18">
      <c r="A297" s="14"/>
      <c r="B297" s="11"/>
      <c r="C297" s="12"/>
      <c r="D297" s="11"/>
      <c r="E297" s="11"/>
      <c r="F297" s="11"/>
      <c r="G297" s="3"/>
      <c r="H297" s="3"/>
      <c r="I297" s="8"/>
      <c r="J297" s="3"/>
      <c r="K297" s="13"/>
      <c r="L297" s="3"/>
      <c r="M297" s="8"/>
      <c r="N297" s="8"/>
      <c r="O297" s="8"/>
      <c r="P297" s="3"/>
      <c r="Q297" s="3"/>
      <c r="R297" s="3"/>
    </row>
    <row r="298" spans="1:18">
      <c r="A298" s="14"/>
      <c r="B298" s="9"/>
      <c r="C298" s="10"/>
      <c r="D298" s="9"/>
      <c r="E298" s="9"/>
      <c r="F298" s="9"/>
      <c r="G298" s="3"/>
      <c r="H298" s="3"/>
      <c r="I298" s="8"/>
      <c r="J298" s="3"/>
      <c r="K298" s="13"/>
      <c r="L298" s="3"/>
      <c r="M298" s="8"/>
      <c r="N298" s="8"/>
      <c r="O298" s="8"/>
      <c r="P298" s="3"/>
      <c r="Q298" s="3"/>
      <c r="R298" s="3"/>
    </row>
    <row r="299" spans="1:18">
      <c r="A299" s="14"/>
      <c r="B299" s="150" t="str">
        <f t="shared" ref="B299:B300" si="51">UPPER(H299)</f>
        <v>LIGHTING / VFX / COMPOSITING</v>
      </c>
      <c r="C299" s="141"/>
      <c r="D299" s="141"/>
      <c r="E299" s="141"/>
      <c r="F299" s="141"/>
      <c r="G299" s="28"/>
      <c r="H299" s="167" t="s">
        <v>330</v>
      </c>
      <c r="I299" s="141"/>
      <c r="J299" s="141"/>
      <c r="K299" s="141"/>
      <c r="L299" s="141"/>
      <c r="M299" s="8"/>
      <c r="N299" s="149" t="s">
        <v>845</v>
      </c>
      <c r="O299" s="141"/>
      <c r="P299" s="141"/>
      <c r="Q299" s="141"/>
      <c r="R299" s="141"/>
    </row>
    <row r="300" spans="1:18">
      <c r="A300" s="14"/>
      <c r="B300" s="146" t="str">
        <f t="shared" si="51"/>
        <v>THE MONK STUDIOS</v>
      </c>
      <c r="C300" s="141"/>
      <c r="D300" s="141"/>
      <c r="E300" s="141"/>
      <c r="F300" s="141"/>
      <c r="G300" s="3"/>
      <c r="H300" s="149" t="s">
        <v>202</v>
      </c>
      <c r="I300" s="141"/>
      <c r="J300" s="141"/>
      <c r="K300" s="141"/>
      <c r="L300" s="141"/>
      <c r="M300" s="8"/>
      <c r="N300" s="149" t="s">
        <v>202</v>
      </c>
      <c r="O300" s="141"/>
      <c r="P300" s="141"/>
      <c r="Q300" s="141"/>
      <c r="R300" s="141"/>
    </row>
    <row r="301" spans="1:18">
      <c r="A301" s="14"/>
      <c r="B301" s="9"/>
      <c r="C301" s="10"/>
      <c r="D301" s="9"/>
      <c r="E301" s="9"/>
      <c r="F301" s="9"/>
      <c r="G301" s="3"/>
      <c r="H301" s="3"/>
      <c r="I301" s="36"/>
      <c r="J301" s="3"/>
      <c r="K301" s="31"/>
      <c r="L301" s="3"/>
      <c r="M301" s="8"/>
      <c r="N301" s="3"/>
      <c r="O301" s="36"/>
      <c r="P301" s="3"/>
      <c r="Q301" s="31"/>
      <c r="R301" s="3"/>
    </row>
    <row r="302" spans="1:18">
      <c r="A302" s="14"/>
      <c r="B302" s="9"/>
      <c r="C302" s="10" t="str">
        <f>UPPER(I302)</f>
        <v>LIGHTING SUPERVISOR</v>
      </c>
      <c r="D302" s="9"/>
      <c r="E302" s="9" t="str">
        <f>UPPER(K302)</f>
        <v>TIKUMPORN SRISANG-NGAM</v>
      </c>
      <c r="F302" s="9"/>
      <c r="G302" s="3"/>
      <c r="H302" s="3"/>
      <c r="I302" s="36" t="s">
        <v>371</v>
      </c>
      <c r="J302" s="3"/>
      <c r="K302" s="22" t="s">
        <v>372</v>
      </c>
      <c r="L302" s="3"/>
      <c r="M302" s="8"/>
      <c r="N302" s="3"/>
      <c r="O302" s="36" t="s">
        <v>371</v>
      </c>
      <c r="P302" s="3"/>
      <c r="Q302" s="22" t="s">
        <v>372</v>
      </c>
      <c r="R302" s="3"/>
    </row>
    <row r="303" spans="1:18">
      <c r="A303" s="14"/>
      <c r="B303" s="9"/>
      <c r="C303" s="10"/>
      <c r="D303" s="9"/>
      <c r="E303" s="9"/>
      <c r="F303" s="9"/>
      <c r="G303" s="3"/>
      <c r="H303" s="3"/>
      <c r="I303" s="36"/>
      <c r="J303" s="3"/>
      <c r="K303" s="31"/>
      <c r="L303" s="3"/>
      <c r="M303" s="8"/>
      <c r="N303" s="3"/>
      <c r="O303" s="36"/>
      <c r="P303" s="3"/>
      <c r="Q303" s="31"/>
      <c r="R303" s="3"/>
    </row>
    <row r="304" spans="1:18">
      <c r="A304" s="14"/>
      <c r="B304" s="9"/>
      <c r="C304" s="10" t="str">
        <f>UPPER(I304)</f>
        <v>LEAD LIGHTING ARTIST</v>
      </c>
      <c r="D304" s="9"/>
      <c r="E304" s="9" t="str">
        <f>UPPER(K304)</f>
        <v>CHANIN PHEUNGKLAY</v>
      </c>
      <c r="F304" s="9"/>
      <c r="G304" s="3"/>
      <c r="H304" s="3"/>
      <c r="I304" s="36" t="s">
        <v>373</v>
      </c>
      <c r="J304" s="3"/>
      <c r="K304" s="22" t="s">
        <v>374</v>
      </c>
      <c r="L304" s="3"/>
      <c r="M304" s="8"/>
      <c r="N304" s="3"/>
      <c r="O304" s="36" t="s">
        <v>373</v>
      </c>
      <c r="P304" s="3"/>
      <c r="Q304" s="22" t="s">
        <v>374</v>
      </c>
      <c r="R304" s="3"/>
    </row>
    <row r="305" spans="1:18">
      <c r="A305" s="14"/>
      <c r="B305" s="9"/>
      <c r="C305" s="10"/>
      <c r="D305" s="9"/>
      <c r="E305" s="9"/>
      <c r="F305" s="9"/>
      <c r="G305" s="3"/>
      <c r="H305" s="3"/>
      <c r="I305" s="36"/>
      <c r="J305" s="3"/>
      <c r="K305" s="31"/>
      <c r="L305" s="3"/>
      <c r="M305" s="8"/>
      <c r="N305" s="3"/>
      <c r="O305" s="36"/>
      <c r="P305" s="3"/>
      <c r="Q305" s="31"/>
      <c r="R305" s="3"/>
    </row>
    <row r="306" spans="1:18">
      <c r="A306" s="14"/>
      <c r="B306" s="9"/>
      <c r="C306" s="10" t="str">
        <f t="shared" ref="C306:C317" si="52">UPPER(I306)</f>
        <v>LIGHTING ARTIST</v>
      </c>
      <c r="D306" s="9"/>
      <c r="E306" s="9" t="str">
        <f t="shared" ref="E306:E319" si="53">UPPER(K306)</f>
        <v>TITIKAMON NANRUDON</v>
      </c>
      <c r="F306" s="9"/>
      <c r="G306" s="3"/>
      <c r="H306" s="3"/>
      <c r="I306" s="36" t="s">
        <v>335</v>
      </c>
      <c r="J306" s="3"/>
      <c r="K306" s="31" t="s">
        <v>375</v>
      </c>
      <c r="L306" s="3"/>
      <c r="M306" s="8"/>
      <c r="N306" s="3"/>
      <c r="O306" s="36" t="s">
        <v>335</v>
      </c>
      <c r="P306" s="3"/>
      <c r="Q306" s="31" t="s">
        <v>375</v>
      </c>
      <c r="R306" s="3"/>
    </row>
    <row r="307" spans="1:18">
      <c r="A307" s="14"/>
      <c r="B307" s="9"/>
      <c r="C307" s="10" t="str">
        <f t="shared" si="52"/>
        <v/>
      </c>
      <c r="D307" s="9"/>
      <c r="E307" s="9" t="str">
        <f t="shared" si="53"/>
        <v>PRADTANA KARALOP</v>
      </c>
      <c r="F307" s="9"/>
      <c r="G307" s="3"/>
      <c r="H307" s="3"/>
      <c r="I307" s="8"/>
      <c r="J307" s="3"/>
      <c r="K307" s="31" t="s">
        <v>376</v>
      </c>
      <c r="L307" s="3"/>
      <c r="M307" s="8"/>
      <c r="N307" s="3"/>
      <c r="O307" s="8"/>
      <c r="P307" s="3"/>
      <c r="Q307" s="31" t="s">
        <v>376</v>
      </c>
      <c r="R307" s="3"/>
    </row>
    <row r="308" spans="1:18">
      <c r="A308" s="14"/>
      <c r="B308" s="9"/>
      <c r="C308" s="10" t="str">
        <f t="shared" si="52"/>
        <v/>
      </c>
      <c r="D308" s="9"/>
      <c r="E308" s="9" t="str">
        <f t="shared" si="53"/>
        <v>WORRAPAT YIMSUKPAITOON</v>
      </c>
      <c r="F308" s="9"/>
      <c r="G308" s="3"/>
      <c r="H308" s="3"/>
      <c r="I308" s="8"/>
      <c r="J308" s="3"/>
      <c r="K308" s="31" t="s">
        <v>377</v>
      </c>
      <c r="L308" s="3"/>
      <c r="M308" s="8"/>
      <c r="N308" s="3"/>
      <c r="O308" s="8"/>
      <c r="P308" s="3"/>
      <c r="Q308" s="31" t="s">
        <v>377</v>
      </c>
      <c r="R308" s="3"/>
    </row>
    <row r="309" spans="1:18">
      <c r="A309" s="14"/>
      <c r="B309" s="9"/>
      <c r="C309" s="10" t="str">
        <f t="shared" si="52"/>
        <v/>
      </c>
      <c r="D309" s="9"/>
      <c r="E309" s="9" t="str">
        <f t="shared" si="53"/>
        <v>JIRAWUT KEMGLAD</v>
      </c>
      <c r="F309" s="9"/>
      <c r="G309" s="3"/>
      <c r="H309" s="3"/>
      <c r="I309" s="8"/>
      <c r="J309" s="3"/>
      <c r="K309" s="31" t="s">
        <v>662</v>
      </c>
      <c r="L309" s="3"/>
      <c r="M309" s="8"/>
      <c r="N309" s="3"/>
      <c r="O309" s="8"/>
      <c r="P309" s="3"/>
      <c r="Q309" s="31" t="s">
        <v>662</v>
      </c>
      <c r="R309" s="3"/>
    </row>
    <row r="310" spans="1:18">
      <c r="A310" s="14"/>
      <c r="B310" s="9"/>
      <c r="C310" s="10" t="str">
        <f t="shared" si="52"/>
        <v/>
      </c>
      <c r="D310" s="9"/>
      <c r="E310" s="9" t="str">
        <f t="shared" si="53"/>
        <v>PHANATHON WARATHIP</v>
      </c>
      <c r="F310" s="9"/>
      <c r="G310" s="3"/>
      <c r="H310" s="3"/>
      <c r="I310" s="8"/>
      <c r="J310" s="3"/>
      <c r="K310" s="31" t="s">
        <v>378</v>
      </c>
      <c r="L310" s="3"/>
      <c r="M310" s="8"/>
      <c r="N310" s="3"/>
      <c r="O310" s="8"/>
      <c r="P310" s="3"/>
      <c r="Q310" s="31" t="s">
        <v>378</v>
      </c>
      <c r="R310" s="3"/>
    </row>
    <row r="311" spans="1:18">
      <c r="A311" s="14"/>
      <c r="B311" s="9"/>
      <c r="C311" s="10" t="str">
        <f t="shared" si="52"/>
        <v/>
      </c>
      <c r="D311" s="9"/>
      <c r="E311" s="9" t="str">
        <f t="shared" si="53"/>
        <v>BOONYARAT PONOMCHOENG</v>
      </c>
      <c r="F311" s="9"/>
      <c r="G311" s="3"/>
      <c r="H311" s="3"/>
      <c r="I311" s="8"/>
      <c r="J311" s="3"/>
      <c r="K311" s="31" t="s">
        <v>379</v>
      </c>
      <c r="L311" s="3"/>
      <c r="M311" s="8"/>
      <c r="N311" s="3"/>
      <c r="O311" s="8"/>
      <c r="P311" s="3"/>
      <c r="Q311" s="31" t="s">
        <v>379</v>
      </c>
      <c r="R311" s="3"/>
    </row>
    <row r="312" spans="1:18">
      <c r="A312" s="14"/>
      <c r="B312" s="9"/>
      <c r="C312" s="10" t="str">
        <f t="shared" si="52"/>
        <v/>
      </c>
      <c r="D312" s="9"/>
      <c r="E312" s="9" t="str">
        <f t="shared" si="53"/>
        <v>NUTCHAWEE SREWAI</v>
      </c>
      <c r="F312" s="9"/>
      <c r="G312" s="3"/>
      <c r="H312" s="3"/>
      <c r="I312" s="8"/>
      <c r="J312" s="3"/>
      <c r="K312" s="31" t="s">
        <v>380</v>
      </c>
      <c r="L312" s="3"/>
      <c r="M312" s="8"/>
      <c r="N312" s="3"/>
      <c r="O312" s="8"/>
      <c r="P312" s="3"/>
      <c r="Q312" s="31" t="s">
        <v>380</v>
      </c>
      <c r="R312" s="3"/>
    </row>
    <row r="313" spans="1:18">
      <c r="A313" s="14"/>
      <c r="B313" s="9"/>
      <c r="C313" s="10" t="str">
        <f t="shared" si="52"/>
        <v/>
      </c>
      <c r="D313" s="9"/>
      <c r="E313" s="9" t="str">
        <f t="shared" si="53"/>
        <v>CHANIPORN PORSEELA</v>
      </c>
      <c r="F313" s="9"/>
      <c r="G313" s="3"/>
      <c r="H313" s="3"/>
      <c r="I313" s="8"/>
      <c r="J313" s="3"/>
      <c r="K313" s="31" t="s">
        <v>381</v>
      </c>
      <c r="L313" s="3"/>
      <c r="M313" s="8"/>
      <c r="N313" s="3"/>
      <c r="O313" s="8"/>
      <c r="P313" s="3"/>
      <c r="Q313" s="31" t="s">
        <v>381</v>
      </c>
      <c r="R313" s="3"/>
    </row>
    <row r="314" spans="1:18">
      <c r="A314" s="14"/>
      <c r="B314" s="9"/>
      <c r="C314" s="10" t="str">
        <f t="shared" si="52"/>
        <v/>
      </c>
      <c r="D314" s="9"/>
      <c r="E314" s="9" t="str">
        <f t="shared" si="53"/>
        <v>KITTISAK SOPAKUL</v>
      </c>
      <c r="F314" s="9"/>
      <c r="G314" s="3"/>
      <c r="H314" s="3"/>
      <c r="I314" s="8"/>
      <c r="J314" s="3"/>
      <c r="K314" s="31" t="s">
        <v>382</v>
      </c>
      <c r="L314" s="3"/>
      <c r="M314" s="8"/>
      <c r="N314" s="3"/>
      <c r="O314" s="8"/>
      <c r="P314" s="3"/>
      <c r="Q314" s="31" t="s">
        <v>382</v>
      </c>
      <c r="R314" s="3"/>
    </row>
    <row r="315" spans="1:18">
      <c r="A315" s="14"/>
      <c r="B315" s="9"/>
      <c r="C315" s="10" t="str">
        <f t="shared" si="52"/>
        <v/>
      </c>
      <c r="D315" s="9"/>
      <c r="E315" s="9" t="str">
        <f t="shared" si="53"/>
        <v>KORRAPHAT PONGPAIBOON</v>
      </c>
      <c r="F315" s="9"/>
      <c r="G315" s="3"/>
      <c r="H315" s="3"/>
      <c r="I315" s="8"/>
      <c r="J315" s="3"/>
      <c r="K315" s="31" t="s">
        <v>383</v>
      </c>
      <c r="L315" s="3"/>
      <c r="M315" s="8"/>
      <c r="N315" s="3"/>
      <c r="O315" s="8"/>
      <c r="P315" s="3"/>
      <c r="Q315" s="31" t="s">
        <v>383</v>
      </c>
      <c r="R315" s="3"/>
    </row>
    <row r="316" spans="1:18">
      <c r="A316" s="14"/>
      <c r="B316" s="9"/>
      <c r="C316" s="10" t="str">
        <f t="shared" si="52"/>
        <v/>
      </c>
      <c r="D316" s="9"/>
      <c r="E316" s="9" t="str">
        <f t="shared" si="53"/>
        <v>SUPHATCHA NUAMTHONG</v>
      </c>
      <c r="F316" s="9"/>
      <c r="G316" s="3"/>
      <c r="H316" s="3"/>
      <c r="I316" s="8"/>
      <c r="J316" s="3"/>
      <c r="K316" s="31" t="s">
        <v>384</v>
      </c>
      <c r="L316" s="3"/>
      <c r="M316" s="8"/>
      <c r="N316" s="3"/>
      <c r="O316" s="8"/>
      <c r="P316" s="3"/>
      <c r="Q316" s="31" t="s">
        <v>384</v>
      </c>
      <c r="R316" s="3"/>
    </row>
    <row r="317" spans="1:18">
      <c r="A317" s="14"/>
      <c r="B317" s="9"/>
      <c r="C317" s="10" t="str">
        <f t="shared" si="52"/>
        <v/>
      </c>
      <c r="D317" s="9"/>
      <c r="E317" s="9" t="str">
        <f t="shared" si="53"/>
        <v>CHAIYAVUDH BURANASONGGRAM</v>
      </c>
      <c r="F317" s="9"/>
      <c r="G317" s="3"/>
      <c r="H317" s="3"/>
      <c r="I317" s="8"/>
      <c r="J317" s="3"/>
      <c r="K317" s="31" t="s">
        <v>385</v>
      </c>
      <c r="L317" s="3"/>
      <c r="M317" s="8"/>
      <c r="N317" s="3"/>
      <c r="O317" s="8"/>
      <c r="P317" s="3"/>
      <c r="Q317" s="31" t="s">
        <v>385</v>
      </c>
      <c r="R317" s="3"/>
    </row>
    <row r="318" spans="1:18">
      <c r="A318" s="14"/>
      <c r="B318" s="9"/>
      <c r="C318" s="10"/>
      <c r="D318" s="9"/>
      <c r="E318" s="9" t="str">
        <f t="shared" si="53"/>
        <v>PHUWADON KHAYANYIAM</v>
      </c>
      <c r="F318" s="9"/>
      <c r="G318" s="3"/>
      <c r="H318" s="3"/>
      <c r="I318" s="8"/>
      <c r="J318" s="3"/>
      <c r="K318" s="31" t="s">
        <v>386</v>
      </c>
      <c r="L318" s="3"/>
      <c r="M318" s="8"/>
      <c r="N318" s="3"/>
      <c r="O318" s="8"/>
      <c r="P318" s="3"/>
      <c r="Q318" s="31" t="s">
        <v>386</v>
      </c>
      <c r="R318" s="3"/>
    </row>
    <row r="319" spans="1:18">
      <c r="A319" s="14"/>
      <c r="B319" s="9"/>
      <c r="C319" s="10" t="str">
        <f>UPPER(I319)</f>
        <v/>
      </c>
      <c r="D319" s="9"/>
      <c r="E319" s="9" t="str">
        <f t="shared" si="53"/>
        <v>SIRAPOB KOSITCHAIMONGKHON</v>
      </c>
      <c r="F319" s="9"/>
      <c r="G319" s="3"/>
      <c r="H319" s="3"/>
      <c r="I319" s="8"/>
      <c r="J319" s="3"/>
      <c r="K319" s="31" t="s">
        <v>663</v>
      </c>
      <c r="L319" s="3"/>
      <c r="M319" s="8"/>
      <c r="N319" s="3"/>
      <c r="O319" s="8"/>
      <c r="P319" s="3"/>
      <c r="Q319" s="31" t="s">
        <v>663</v>
      </c>
      <c r="R319" s="3"/>
    </row>
    <row r="320" spans="1:18">
      <c r="A320" s="14"/>
      <c r="B320" s="9"/>
      <c r="C320" s="10"/>
      <c r="D320" s="9"/>
      <c r="E320" s="9"/>
      <c r="F320" s="9"/>
      <c r="G320" s="3"/>
      <c r="H320" s="3"/>
      <c r="I320" s="8"/>
      <c r="J320" s="3"/>
      <c r="K320" s="13"/>
      <c r="L320" s="3"/>
      <c r="M320" s="8"/>
      <c r="N320" s="8"/>
      <c r="O320" s="8"/>
      <c r="P320" s="3"/>
      <c r="Q320" s="3"/>
      <c r="R320" s="3"/>
    </row>
    <row r="321" spans="1:18">
      <c r="A321" s="14"/>
      <c r="B321" s="11"/>
      <c r="C321" s="12"/>
      <c r="D321" s="11"/>
      <c r="E321" s="11"/>
      <c r="F321" s="11"/>
      <c r="G321" s="3"/>
      <c r="H321" s="3"/>
      <c r="I321" s="8"/>
      <c r="J321" s="3"/>
      <c r="K321" s="13"/>
      <c r="L321" s="3"/>
      <c r="M321" s="8"/>
      <c r="N321" s="8"/>
      <c r="O321" s="8"/>
      <c r="P321" s="3"/>
      <c r="Q321" s="3"/>
      <c r="R321" s="3"/>
    </row>
    <row r="322" spans="1:18">
      <c r="A322" s="14"/>
      <c r="B322" s="9"/>
      <c r="C322" s="10"/>
      <c r="D322" s="9"/>
      <c r="E322" s="9"/>
      <c r="F322" s="9"/>
      <c r="G322" s="3"/>
      <c r="H322" s="3"/>
      <c r="I322" s="8"/>
      <c r="J322" s="3"/>
      <c r="K322" s="13"/>
      <c r="L322" s="3"/>
      <c r="M322" s="8"/>
      <c r="N322" s="8"/>
      <c r="O322" s="8"/>
      <c r="P322" s="3"/>
      <c r="Q322" s="3"/>
      <c r="R322" s="3"/>
    </row>
    <row r="323" spans="1:18">
      <c r="A323" s="14"/>
      <c r="B323" s="150" t="str">
        <f t="shared" ref="B323:B324" si="54">UPPER(H323)</f>
        <v>LIGHTING / VFX / COMPOSITING</v>
      </c>
      <c r="C323" s="141"/>
      <c r="D323" s="141"/>
      <c r="E323" s="141"/>
      <c r="F323" s="141"/>
      <c r="G323" s="28"/>
      <c r="H323" s="167" t="s">
        <v>330</v>
      </c>
      <c r="I323" s="141"/>
      <c r="J323" s="141"/>
      <c r="K323" s="141"/>
      <c r="L323" s="141"/>
      <c r="M323" s="8"/>
      <c r="N323" s="149" t="s">
        <v>845</v>
      </c>
      <c r="O323" s="141"/>
      <c r="P323" s="141"/>
      <c r="Q323" s="141"/>
      <c r="R323" s="141"/>
    </row>
    <row r="324" spans="1:18">
      <c r="A324" s="14"/>
      <c r="B324" s="146" t="str">
        <f t="shared" si="54"/>
        <v>THE MONK STUDIOS</v>
      </c>
      <c r="C324" s="141"/>
      <c r="D324" s="141"/>
      <c r="E324" s="141"/>
      <c r="F324" s="141"/>
      <c r="G324" s="3"/>
      <c r="H324" s="149" t="s">
        <v>202</v>
      </c>
      <c r="I324" s="141"/>
      <c r="J324" s="141"/>
      <c r="K324" s="141"/>
      <c r="L324" s="141"/>
      <c r="M324" s="8"/>
      <c r="N324" s="149" t="s">
        <v>202</v>
      </c>
      <c r="O324" s="141"/>
      <c r="P324" s="141"/>
      <c r="Q324" s="141"/>
      <c r="R324" s="141"/>
    </row>
    <row r="325" spans="1:18">
      <c r="A325" s="14"/>
      <c r="B325" s="9"/>
      <c r="C325" s="10"/>
      <c r="D325" s="9"/>
      <c r="E325" s="9"/>
      <c r="F325" s="9"/>
      <c r="G325" s="3"/>
      <c r="H325" s="3"/>
      <c r="I325" s="36"/>
      <c r="J325" s="3"/>
      <c r="K325" s="31"/>
      <c r="L325" s="3"/>
      <c r="M325" s="8"/>
      <c r="N325" s="3"/>
      <c r="O325" s="36"/>
      <c r="P325" s="3"/>
      <c r="Q325" s="31"/>
      <c r="R325" s="3"/>
    </row>
    <row r="326" spans="1:18">
      <c r="A326" s="14"/>
      <c r="B326" s="9"/>
      <c r="C326" s="10" t="str">
        <f>UPPER(I326)</f>
        <v>LIGHTING ARTIST</v>
      </c>
      <c r="D326" s="9"/>
      <c r="E326" s="9" t="str">
        <f t="shared" ref="E326:E331" si="55">UPPER(K326)</f>
        <v>TANAWAN JAMSRI</v>
      </c>
      <c r="F326" s="9"/>
      <c r="G326" s="3"/>
      <c r="H326" s="3"/>
      <c r="I326" s="36" t="s">
        <v>335</v>
      </c>
      <c r="J326" s="3"/>
      <c r="K326" s="31" t="s">
        <v>664</v>
      </c>
      <c r="L326" s="3"/>
      <c r="M326" s="8"/>
      <c r="N326" s="3"/>
      <c r="O326" s="36" t="s">
        <v>335</v>
      </c>
      <c r="P326" s="3"/>
      <c r="Q326" s="31" t="s">
        <v>664</v>
      </c>
      <c r="R326" s="3"/>
    </row>
    <row r="327" spans="1:18">
      <c r="A327" s="14"/>
      <c r="B327" s="9"/>
      <c r="C327" s="10"/>
      <c r="D327" s="9"/>
      <c r="E327" s="9" t="str">
        <f t="shared" si="55"/>
        <v>CHANCHOL JANTARAT</v>
      </c>
      <c r="F327" s="9"/>
      <c r="G327" s="3"/>
      <c r="H327" s="3"/>
      <c r="I327" s="36"/>
      <c r="J327" s="3"/>
      <c r="K327" s="31" t="s">
        <v>665</v>
      </c>
      <c r="L327" s="3"/>
      <c r="M327" s="8"/>
      <c r="N327" s="3"/>
      <c r="O327" s="36"/>
      <c r="P327" s="3"/>
      <c r="Q327" s="31" t="s">
        <v>665</v>
      </c>
      <c r="R327" s="3"/>
    </row>
    <row r="328" spans="1:18">
      <c r="A328" s="14"/>
      <c r="B328" s="9"/>
      <c r="C328" s="10" t="str">
        <f>UPPER(I328)</f>
        <v/>
      </c>
      <c r="D328" s="9"/>
      <c r="E328" s="9" t="str">
        <f t="shared" si="55"/>
        <v>SIRUNDA SUWANNAPRACHA</v>
      </c>
      <c r="F328" s="9"/>
      <c r="G328" s="3"/>
      <c r="H328" s="3"/>
      <c r="I328" s="36"/>
      <c r="J328" s="3"/>
      <c r="K328" s="31" t="s">
        <v>666</v>
      </c>
      <c r="L328" s="3"/>
      <c r="M328" s="8"/>
      <c r="N328" s="3"/>
      <c r="O328" s="36"/>
      <c r="P328" s="3"/>
      <c r="Q328" s="31" t="s">
        <v>666</v>
      </c>
      <c r="R328" s="3"/>
    </row>
    <row r="329" spans="1:18">
      <c r="A329" s="14"/>
      <c r="B329" s="9"/>
      <c r="C329" s="10"/>
      <c r="D329" s="9"/>
      <c r="E329" s="9" t="str">
        <f t="shared" si="55"/>
        <v>NITHIRUT JIRAKANGVANPHAT</v>
      </c>
      <c r="F329" s="9"/>
      <c r="G329" s="3"/>
      <c r="H329" s="3"/>
      <c r="I329" s="36"/>
      <c r="J329" s="3"/>
      <c r="K329" s="31" t="s">
        <v>670</v>
      </c>
      <c r="L329" s="3"/>
      <c r="M329" s="8"/>
      <c r="N329" s="3"/>
      <c r="O329" s="36"/>
      <c r="P329" s="3"/>
      <c r="Q329" s="31" t="s">
        <v>670</v>
      </c>
      <c r="R329" s="3"/>
    </row>
    <row r="330" spans="1:18">
      <c r="A330" s="14"/>
      <c r="B330" s="9"/>
      <c r="C330" s="10" t="str">
        <f t="shared" ref="C330:C331" si="56">UPPER(I330)</f>
        <v/>
      </c>
      <c r="D330" s="9"/>
      <c r="E330" s="9" t="str">
        <f t="shared" si="55"/>
        <v>CHITAWADEE SRIRUK</v>
      </c>
      <c r="F330" s="9"/>
      <c r="G330" s="3"/>
      <c r="H330" s="3"/>
      <c r="I330" s="36"/>
      <c r="J330" s="3"/>
      <c r="K330" s="31" t="s">
        <v>671</v>
      </c>
      <c r="L330" s="3"/>
      <c r="M330" s="8"/>
      <c r="N330" s="3"/>
      <c r="O330" s="36"/>
      <c r="P330" s="3"/>
      <c r="Q330" s="31" t="s">
        <v>671</v>
      </c>
      <c r="R330" s="3"/>
    </row>
    <row r="331" spans="1:18">
      <c r="A331" s="14"/>
      <c r="B331" s="9"/>
      <c r="C331" s="10" t="str">
        <f t="shared" si="56"/>
        <v/>
      </c>
      <c r="D331" s="9"/>
      <c r="E331" s="9" t="str">
        <f t="shared" si="55"/>
        <v>SIRAWAT PUNYARIT</v>
      </c>
      <c r="F331" s="9"/>
      <c r="G331" s="3"/>
      <c r="H331" s="3"/>
      <c r="I331" s="8"/>
      <c r="J331" s="3"/>
      <c r="K331" s="31" t="s">
        <v>672</v>
      </c>
      <c r="L331" s="3"/>
      <c r="M331" s="8"/>
      <c r="N331" s="3"/>
      <c r="O331" s="8"/>
      <c r="P331" s="3"/>
      <c r="Q331" s="31" t="s">
        <v>672</v>
      </c>
      <c r="R331" s="3"/>
    </row>
    <row r="332" spans="1:18">
      <c r="A332" s="14"/>
      <c r="B332" s="9"/>
      <c r="C332" s="10"/>
      <c r="D332" s="9"/>
      <c r="E332" s="9"/>
      <c r="F332" s="9"/>
      <c r="G332" s="3"/>
      <c r="H332" s="3"/>
      <c r="I332" s="8"/>
      <c r="J332" s="3"/>
      <c r="K332" s="13"/>
      <c r="L332" s="3"/>
      <c r="M332" s="8"/>
      <c r="N332" s="8"/>
      <c r="O332" s="8"/>
      <c r="P332" s="3"/>
      <c r="Q332" s="3"/>
      <c r="R332" s="3"/>
    </row>
    <row r="333" spans="1:18">
      <c r="A333" s="14"/>
      <c r="B333" s="11"/>
      <c r="C333" s="12"/>
      <c r="D333" s="11"/>
      <c r="E333" s="11"/>
      <c r="F333" s="11"/>
      <c r="G333" s="3"/>
      <c r="H333" s="3"/>
      <c r="I333" s="8"/>
      <c r="J333" s="3"/>
      <c r="K333" s="13"/>
      <c r="L333" s="3"/>
      <c r="M333" s="8"/>
      <c r="N333" s="8"/>
      <c r="O333" s="8"/>
      <c r="P333" s="3"/>
      <c r="Q333" s="3"/>
      <c r="R333" s="3"/>
    </row>
    <row r="334" spans="1:18">
      <c r="A334" s="14"/>
      <c r="B334" s="6"/>
      <c r="C334" s="6"/>
      <c r="D334" s="6"/>
      <c r="E334" s="6"/>
      <c r="F334" s="6"/>
      <c r="G334" s="3"/>
      <c r="H334" s="5"/>
      <c r="I334" s="5"/>
      <c r="J334" s="5"/>
      <c r="K334" s="5"/>
      <c r="L334" s="5"/>
      <c r="M334" s="8"/>
      <c r="N334" s="5"/>
      <c r="O334" s="5"/>
      <c r="P334" s="5"/>
      <c r="Q334" s="5"/>
      <c r="R334" s="5"/>
    </row>
    <row r="335" spans="1:18">
      <c r="A335" s="14"/>
      <c r="B335" s="150" t="str">
        <f>UPPER(H335)</f>
        <v>PIPELINE &amp; SYSTEM</v>
      </c>
      <c r="C335" s="141"/>
      <c r="D335" s="141"/>
      <c r="E335" s="141"/>
      <c r="F335" s="141"/>
      <c r="G335" s="28"/>
      <c r="H335" s="167" t="s">
        <v>387</v>
      </c>
      <c r="I335" s="141"/>
      <c r="J335" s="141"/>
      <c r="K335" s="141"/>
      <c r="L335" s="141"/>
      <c r="M335" s="29"/>
      <c r="N335" s="149" t="s">
        <v>860</v>
      </c>
      <c r="O335" s="141"/>
      <c r="P335" s="141"/>
      <c r="Q335" s="141"/>
      <c r="R335" s="141"/>
    </row>
    <row r="336" spans="1:18">
      <c r="A336" s="14"/>
      <c r="B336" s="9"/>
      <c r="C336" s="10"/>
      <c r="D336" s="9"/>
      <c r="E336" s="9"/>
      <c r="F336" s="9"/>
      <c r="G336" s="3"/>
      <c r="H336" s="3"/>
      <c r="I336" s="8"/>
      <c r="J336" s="3"/>
      <c r="K336" s="13"/>
      <c r="L336" s="3"/>
      <c r="M336" s="8"/>
      <c r="N336" s="3"/>
      <c r="O336" s="8"/>
      <c r="P336" s="3"/>
      <c r="Q336" s="3"/>
      <c r="R336" s="3"/>
    </row>
    <row r="337" spans="1:18">
      <c r="A337" s="14"/>
      <c r="B337" s="9"/>
      <c r="C337" s="10" t="str">
        <f t="shared" ref="C337:C340" si="57">UPPER(I337)</f>
        <v>PIPELINE SUPERVISOR</v>
      </c>
      <c r="D337" s="9"/>
      <c r="E337" s="9" t="str">
        <f t="shared" ref="E337:E340" si="58">UPPER(K337)</f>
        <v>HYUNKYU PARK</v>
      </c>
      <c r="F337" s="9"/>
      <c r="G337" s="3"/>
      <c r="H337" s="3"/>
      <c r="I337" s="8" t="s">
        <v>388</v>
      </c>
      <c r="J337" s="3"/>
      <c r="K337" s="13" t="s">
        <v>389</v>
      </c>
      <c r="L337" s="3"/>
      <c r="M337" s="8"/>
      <c r="N337" s="3"/>
      <c r="O337" s="8" t="s">
        <v>861</v>
      </c>
      <c r="P337" s="3"/>
      <c r="Q337" s="3" t="s">
        <v>862</v>
      </c>
      <c r="R337" s="3"/>
    </row>
    <row r="338" spans="1:18">
      <c r="A338" s="14"/>
      <c r="B338" s="9"/>
      <c r="C338" s="10" t="str">
        <f t="shared" si="57"/>
        <v/>
      </c>
      <c r="D338" s="9"/>
      <c r="E338" s="9" t="str">
        <f t="shared" si="58"/>
        <v/>
      </c>
      <c r="F338" s="9"/>
      <c r="G338" s="3"/>
      <c r="H338" s="3"/>
      <c r="I338" s="8"/>
      <c r="J338" s="3"/>
      <c r="K338" s="13"/>
      <c r="L338" s="3"/>
      <c r="M338" s="8"/>
      <c r="N338" s="3"/>
      <c r="O338" s="8"/>
      <c r="P338" s="3"/>
      <c r="Q338" s="3"/>
      <c r="R338" s="3"/>
    </row>
    <row r="339" spans="1:18">
      <c r="A339" s="14"/>
      <c r="B339" s="9"/>
      <c r="C339" s="10" t="str">
        <f t="shared" si="57"/>
        <v>SYSTEM MANAGER</v>
      </c>
      <c r="D339" s="9"/>
      <c r="E339" s="9" t="str">
        <f t="shared" si="58"/>
        <v>JIWOONG RYU</v>
      </c>
      <c r="F339" s="9"/>
      <c r="G339" s="3"/>
      <c r="H339" s="3"/>
      <c r="I339" s="8" t="s">
        <v>390</v>
      </c>
      <c r="J339" s="3"/>
      <c r="K339" s="13" t="s">
        <v>391</v>
      </c>
      <c r="L339" s="3"/>
      <c r="M339" s="8"/>
      <c r="N339" s="3"/>
      <c r="O339" s="8" t="s">
        <v>863</v>
      </c>
      <c r="P339" s="3"/>
      <c r="Q339" s="3" t="s">
        <v>864</v>
      </c>
      <c r="R339" s="3"/>
    </row>
    <row r="340" spans="1:18">
      <c r="A340" s="14"/>
      <c r="B340" s="9"/>
      <c r="C340" s="10" t="str">
        <f t="shared" si="57"/>
        <v/>
      </c>
      <c r="D340" s="9"/>
      <c r="E340" s="9" t="str">
        <f t="shared" si="58"/>
        <v/>
      </c>
      <c r="F340" s="9"/>
      <c r="G340" s="3"/>
      <c r="H340" s="3"/>
      <c r="I340" s="8"/>
      <c r="J340" s="3"/>
      <c r="K340" s="13"/>
      <c r="L340" s="3"/>
      <c r="M340" s="8"/>
      <c r="N340" s="8"/>
      <c r="O340" s="21"/>
      <c r="P340" s="3"/>
      <c r="Q340" s="3"/>
      <c r="R340" s="3"/>
    </row>
    <row r="341" spans="1:18">
      <c r="A341" s="14"/>
      <c r="B341" s="150" t="str">
        <f>UPPER(H341)</f>
        <v>MANAGEMENT</v>
      </c>
      <c r="C341" s="141"/>
      <c r="D341" s="141"/>
      <c r="E341" s="141"/>
      <c r="F341" s="141"/>
      <c r="G341" s="28"/>
      <c r="H341" s="167" t="s">
        <v>392</v>
      </c>
      <c r="I341" s="141"/>
      <c r="J341" s="141"/>
      <c r="K341" s="141"/>
      <c r="L341" s="141"/>
      <c r="M341" s="29"/>
      <c r="N341" s="149" t="s">
        <v>865</v>
      </c>
      <c r="O341" s="141"/>
      <c r="P341" s="141"/>
      <c r="Q341" s="141"/>
      <c r="R341" s="141"/>
    </row>
    <row r="342" spans="1:18">
      <c r="A342" s="14"/>
      <c r="B342" s="9"/>
      <c r="C342" s="10"/>
      <c r="D342" s="9"/>
      <c r="E342" s="9"/>
      <c r="F342" s="9"/>
      <c r="G342" s="3"/>
      <c r="H342" s="3"/>
      <c r="I342" s="8"/>
      <c r="J342" s="3"/>
      <c r="K342" s="3"/>
      <c r="L342" s="3"/>
      <c r="M342" s="3"/>
      <c r="N342" s="3"/>
      <c r="O342" s="8"/>
      <c r="P342" s="3"/>
      <c r="Q342" s="3"/>
      <c r="R342" s="3"/>
    </row>
    <row r="343" spans="1:18">
      <c r="A343" s="14"/>
      <c r="B343" s="9"/>
      <c r="C343" s="10" t="str">
        <f>UPPER(I343)</f>
        <v>STUDIO MANAGEMENT</v>
      </c>
      <c r="D343" s="9"/>
      <c r="E343" s="9" t="str">
        <f>UPPER(K343)</f>
        <v>SANGWAN SEOK</v>
      </c>
      <c r="F343" s="9"/>
      <c r="G343" s="3"/>
      <c r="H343" s="3"/>
      <c r="I343" s="8" t="s">
        <v>393</v>
      </c>
      <c r="J343" s="3"/>
      <c r="K343" s="3" t="s">
        <v>394</v>
      </c>
      <c r="L343" s="3"/>
      <c r="M343" s="3"/>
      <c r="N343" s="3"/>
      <c r="O343" s="8" t="s">
        <v>866</v>
      </c>
      <c r="P343" s="3"/>
      <c r="Q343" s="3" t="s">
        <v>867</v>
      </c>
      <c r="R343" s="3"/>
    </row>
    <row r="344" spans="1:18">
      <c r="A344" s="14"/>
      <c r="B344" s="146" t="str">
        <f>UPPER(H344)</f>
        <v/>
      </c>
      <c r="C344" s="141"/>
      <c r="D344" s="141"/>
      <c r="E344" s="141"/>
      <c r="F344" s="141"/>
      <c r="G344" s="3"/>
      <c r="H344" s="3"/>
      <c r="I344" s="8"/>
      <c r="J344" s="3"/>
      <c r="K344" s="3"/>
      <c r="L344" s="3"/>
      <c r="M344" s="3"/>
      <c r="N344" s="3"/>
      <c r="O344" s="8"/>
      <c r="P344" s="3"/>
      <c r="Q344" s="3"/>
      <c r="R344" s="3"/>
    </row>
    <row r="345" spans="1:18">
      <c r="A345" s="14"/>
      <c r="B345" s="9"/>
      <c r="C345" s="10" t="str">
        <f t="shared" ref="C345:C349" si="59">UPPER(I345)</f>
        <v>SUPERVISING PRODUCER</v>
      </c>
      <c r="D345" s="9"/>
      <c r="E345" s="9" t="str">
        <f t="shared" ref="E345:E349" si="60">UPPER(K345)</f>
        <v>JARIN SOHN</v>
      </c>
      <c r="F345" s="9"/>
      <c r="G345" s="3"/>
      <c r="H345" s="3"/>
      <c r="I345" s="8" t="s">
        <v>395</v>
      </c>
      <c r="J345" s="3"/>
      <c r="K345" s="3" t="s">
        <v>396</v>
      </c>
      <c r="L345" s="3"/>
      <c r="M345" s="8"/>
      <c r="N345" s="3"/>
      <c r="O345" s="8" t="s">
        <v>868</v>
      </c>
      <c r="P345" s="3"/>
      <c r="Q345" s="3" t="s">
        <v>869</v>
      </c>
      <c r="R345" s="3"/>
    </row>
    <row r="346" spans="1:18">
      <c r="A346" s="14"/>
      <c r="B346" s="9"/>
      <c r="C346" s="10" t="str">
        <f t="shared" si="59"/>
        <v/>
      </c>
      <c r="D346" s="9"/>
      <c r="E346" s="9" t="str">
        <f t="shared" si="60"/>
        <v/>
      </c>
      <c r="F346" s="9"/>
      <c r="G346" s="3"/>
      <c r="H346" s="3"/>
      <c r="I346" s="8"/>
      <c r="J346" s="3"/>
      <c r="K346" s="3"/>
      <c r="L346" s="3"/>
      <c r="M346" s="8"/>
      <c r="N346" s="3"/>
      <c r="O346" s="8"/>
      <c r="P346" s="3"/>
      <c r="Q346" s="3"/>
      <c r="R346" s="3"/>
    </row>
    <row r="347" spans="1:18">
      <c r="A347" s="14"/>
      <c r="B347" s="6"/>
      <c r="C347" s="10" t="str">
        <f t="shared" si="59"/>
        <v>IP BUSINESS</v>
      </c>
      <c r="D347" s="9"/>
      <c r="E347" s="9" t="str">
        <f t="shared" si="60"/>
        <v>YEOMIN YOON</v>
      </c>
      <c r="F347" s="6"/>
      <c r="G347" s="3"/>
      <c r="H347" s="3"/>
      <c r="I347" s="8" t="s">
        <v>397</v>
      </c>
      <c r="J347" s="3"/>
      <c r="K347" s="3" t="s">
        <v>398</v>
      </c>
      <c r="L347" s="3"/>
      <c r="M347" s="8"/>
      <c r="N347" s="3"/>
      <c r="O347" s="8" t="s">
        <v>870</v>
      </c>
      <c r="P347" s="3"/>
      <c r="Q347" s="3" t="s">
        <v>871</v>
      </c>
      <c r="R347" s="3"/>
    </row>
    <row r="348" spans="1:18">
      <c r="A348" s="14"/>
      <c r="B348" s="9"/>
      <c r="C348" s="10" t="str">
        <f t="shared" si="59"/>
        <v/>
      </c>
      <c r="D348" s="9"/>
      <c r="E348" s="9" t="str">
        <f t="shared" si="60"/>
        <v>SANGWON NAM</v>
      </c>
      <c r="F348" s="9"/>
      <c r="G348" s="3"/>
      <c r="H348" s="3"/>
      <c r="I348" s="8"/>
      <c r="J348" s="3"/>
      <c r="K348" s="3" t="s">
        <v>399</v>
      </c>
      <c r="L348" s="3"/>
      <c r="M348" s="8"/>
      <c r="N348" s="3"/>
      <c r="O348" s="8"/>
      <c r="P348" s="3"/>
      <c r="Q348" s="3" t="s">
        <v>872</v>
      </c>
      <c r="R348" s="3"/>
    </row>
    <row r="349" spans="1:18">
      <c r="A349" s="14"/>
      <c r="B349" s="9"/>
      <c r="C349" s="10" t="str">
        <f t="shared" si="59"/>
        <v/>
      </c>
      <c r="D349" s="9"/>
      <c r="E349" s="9" t="str">
        <f t="shared" si="60"/>
        <v xml:space="preserve">GAHYUN BAIK </v>
      </c>
      <c r="F349" s="9"/>
      <c r="G349" s="3"/>
      <c r="H349" s="3"/>
      <c r="I349" s="8"/>
      <c r="J349" s="3"/>
      <c r="K349" s="3" t="s">
        <v>400</v>
      </c>
      <c r="L349" s="3"/>
      <c r="M349" s="8"/>
      <c r="N349" s="3"/>
      <c r="O349" s="8"/>
      <c r="P349" s="3"/>
      <c r="Q349" s="3" t="s">
        <v>873</v>
      </c>
      <c r="R349" s="3"/>
    </row>
    <row r="350" spans="1:18">
      <c r="A350" s="14"/>
      <c r="B350" s="9"/>
      <c r="C350" s="10"/>
      <c r="D350" s="9"/>
      <c r="E350" s="9"/>
      <c r="F350" s="9"/>
      <c r="G350" s="3"/>
      <c r="H350" s="3"/>
      <c r="I350" s="8"/>
      <c r="J350" s="3"/>
      <c r="K350" s="3" t="s">
        <v>874</v>
      </c>
      <c r="L350" s="3"/>
      <c r="M350" s="8"/>
      <c r="N350" s="3"/>
      <c r="O350" s="8"/>
      <c r="P350" s="3"/>
      <c r="Q350" s="3" t="s">
        <v>875</v>
      </c>
      <c r="R350" s="3"/>
    </row>
    <row r="351" spans="1:18">
      <c r="A351" s="14"/>
      <c r="B351" s="9"/>
      <c r="C351" s="10" t="str">
        <f t="shared" ref="C351:C355" si="61">UPPER(I351)</f>
        <v/>
      </c>
      <c r="D351" s="9"/>
      <c r="E351" s="9" t="str">
        <f t="shared" ref="E351:E355" si="62">UPPER(K351)</f>
        <v/>
      </c>
      <c r="F351" s="9"/>
      <c r="G351" s="3"/>
      <c r="H351" s="3"/>
      <c r="I351" s="8"/>
      <c r="J351" s="3"/>
      <c r="K351" s="3"/>
      <c r="L351" s="3"/>
      <c r="M351" s="8"/>
      <c r="N351" s="3"/>
      <c r="O351" s="8"/>
      <c r="P351" s="3"/>
      <c r="Q351" s="3"/>
      <c r="R351" s="3"/>
    </row>
    <row r="352" spans="1:18">
      <c r="A352" s="14"/>
      <c r="B352" s="9"/>
      <c r="C352" s="10" t="str">
        <f t="shared" si="61"/>
        <v>ACCOUNTING</v>
      </c>
      <c r="D352" s="9"/>
      <c r="E352" s="9" t="str">
        <f t="shared" si="62"/>
        <v>JAEHWAN SHIN</v>
      </c>
      <c r="F352" s="9"/>
      <c r="G352" s="3"/>
      <c r="H352" s="3"/>
      <c r="I352" s="8" t="s">
        <v>401</v>
      </c>
      <c r="J352" s="3"/>
      <c r="K352" s="3" t="s">
        <v>402</v>
      </c>
      <c r="L352" s="3"/>
      <c r="M352" s="8"/>
      <c r="N352" s="3"/>
      <c r="O352" s="8" t="s">
        <v>876</v>
      </c>
      <c r="P352" s="3"/>
      <c r="Q352" s="3" t="s">
        <v>877</v>
      </c>
      <c r="R352" s="3"/>
    </row>
    <row r="353" spans="1:18">
      <c r="A353" s="14"/>
      <c r="B353" s="9"/>
      <c r="C353" s="10" t="str">
        <f t="shared" si="61"/>
        <v/>
      </c>
      <c r="D353" s="9"/>
      <c r="E353" s="9" t="str">
        <f t="shared" si="62"/>
        <v/>
      </c>
      <c r="F353" s="9"/>
      <c r="G353" s="3"/>
      <c r="H353" s="3"/>
      <c r="I353" s="8"/>
      <c r="J353" s="3"/>
      <c r="K353" s="3"/>
      <c r="L353" s="3"/>
      <c r="M353" s="8"/>
      <c r="N353" s="8"/>
      <c r="O353" s="21"/>
      <c r="P353" s="3"/>
      <c r="Q353" s="3"/>
      <c r="R353" s="3"/>
    </row>
    <row r="354" spans="1:18">
      <c r="A354" s="14"/>
      <c r="B354" s="9"/>
      <c r="C354" s="10" t="str">
        <f t="shared" si="61"/>
        <v>HUMAN RESOURCES</v>
      </c>
      <c r="D354" s="9"/>
      <c r="E354" s="9" t="str">
        <f t="shared" si="62"/>
        <v>JIN KIM</v>
      </c>
      <c r="F354" s="9"/>
      <c r="G354" s="3"/>
      <c r="H354" s="3"/>
      <c r="I354" s="8" t="s">
        <v>403</v>
      </c>
      <c r="J354" s="3"/>
      <c r="K354" s="3" t="s">
        <v>404</v>
      </c>
      <c r="L354" s="3"/>
      <c r="M354" s="8"/>
      <c r="N354" s="8"/>
      <c r="O354" s="8" t="s">
        <v>878</v>
      </c>
      <c r="P354" s="3"/>
      <c r="Q354" s="3" t="s">
        <v>879</v>
      </c>
      <c r="R354" s="3"/>
    </row>
    <row r="355" spans="1:18">
      <c r="A355" s="14"/>
      <c r="B355" s="9"/>
      <c r="C355" s="10" t="str">
        <f t="shared" si="61"/>
        <v/>
      </c>
      <c r="D355" s="9"/>
      <c r="E355" s="9" t="str">
        <f t="shared" si="62"/>
        <v/>
      </c>
      <c r="F355" s="9"/>
      <c r="G355" s="3"/>
      <c r="H355" s="3"/>
      <c r="I355" s="8"/>
      <c r="J355" s="3"/>
      <c r="K355" s="3"/>
      <c r="L355" s="3"/>
      <c r="M355" s="8"/>
      <c r="N355" s="3"/>
      <c r="O355" s="8"/>
      <c r="P355" s="3"/>
      <c r="Q355" s="3"/>
      <c r="R355" s="3"/>
    </row>
    <row r="356" spans="1:18">
      <c r="A356" s="14"/>
      <c r="B356" s="11"/>
      <c r="C356" s="12"/>
      <c r="D356" s="11"/>
      <c r="E356" s="11"/>
      <c r="F356" s="11"/>
      <c r="G356" s="3"/>
      <c r="H356" s="3"/>
      <c r="I356" s="8"/>
      <c r="J356" s="3"/>
      <c r="K356" s="13"/>
      <c r="L356" s="3"/>
      <c r="M356" s="3"/>
      <c r="N356" s="3"/>
      <c r="O356" s="8"/>
      <c r="P356" s="3"/>
      <c r="Q356" s="3"/>
      <c r="R356" s="3"/>
    </row>
    <row r="357" spans="1:18">
      <c r="A357" s="14"/>
      <c r="B357" s="42"/>
      <c r="C357" s="10" t="str">
        <f>UPPER(I357)</f>
        <v/>
      </c>
      <c r="D357" s="9"/>
      <c r="E357" s="9" t="str">
        <f>UPPER(K357)</f>
        <v/>
      </c>
      <c r="F357" s="42"/>
      <c r="G357" s="3"/>
      <c r="H357" s="8"/>
      <c r="I357" s="8"/>
      <c r="J357" s="8"/>
      <c r="K357" s="13"/>
      <c r="L357" s="8"/>
      <c r="M357" s="8"/>
      <c r="N357" s="8"/>
      <c r="O357" s="8"/>
      <c r="P357" s="3"/>
      <c r="Q357" s="3"/>
      <c r="R357" s="3"/>
    </row>
    <row r="358" spans="1:18">
      <c r="A358" s="14"/>
      <c r="B358" s="150" t="str">
        <f t="shared" ref="B358:B359" si="63">UPPER(H358)</f>
        <v>ADDITIONAL ARTISTS</v>
      </c>
      <c r="C358" s="141"/>
      <c r="D358" s="141"/>
      <c r="E358" s="141"/>
      <c r="F358" s="141"/>
      <c r="G358" s="28"/>
      <c r="H358" s="167" t="s">
        <v>405</v>
      </c>
      <c r="I358" s="141"/>
      <c r="J358" s="141"/>
      <c r="K358" s="141"/>
      <c r="L358" s="141"/>
      <c r="M358" s="29"/>
      <c r="N358" s="149" t="s">
        <v>880</v>
      </c>
      <c r="O358" s="141"/>
      <c r="P358" s="141"/>
      <c r="Q358" s="141"/>
      <c r="R358" s="141"/>
    </row>
    <row r="359" spans="1:18">
      <c r="A359" s="14"/>
      <c r="B359" s="165" t="str">
        <f t="shared" si="63"/>
        <v>YGGDRAZIL GROUP PUBLIC CO., LTD.</v>
      </c>
      <c r="C359" s="141"/>
      <c r="D359" s="141"/>
      <c r="E359" s="141"/>
      <c r="F359" s="141"/>
      <c r="G359" s="44"/>
      <c r="H359" s="168" t="s">
        <v>406</v>
      </c>
      <c r="I359" s="141"/>
      <c r="J359" s="141"/>
      <c r="K359" s="141"/>
      <c r="L359" s="141"/>
      <c r="M359" s="44"/>
      <c r="N359" s="168" t="s">
        <v>406</v>
      </c>
      <c r="O359" s="141"/>
      <c r="P359" s="141"/>
      <c r="Q359" s="141"/>
      <c r="R359" s="141"/>
    </row>
    <row r="360" spans="1:18">
      <c r="A360" s="14"/>
      <c r="B360" s="9"/>
      <c r="C360" s="10"/>
      <c r="D360" s="9"/>
      <c r="E360" s="9"/>
      <c r="F360" s="9"/>
      <c r="G360" s="3"/>
      <c r="H360" s="13"/>
      <c r="I360" s="8"/>
      <c r="J360" s="3"/>
      <c r="K360" s="3"/>
      <c r="L360" s="3"/>
      <c r="M360" s="8"/>
      <c r="N360" s="13"/>
      <c r="O360" s="8"/>
      <c r="P360" s="3"/>
      <c r="Q360" s="3"/>
      <c r="R360" s="3"/>
    </row>
    <row r="361" spans="1:18">
      <c r="A361" s="14"/>
      <c r="B361" s="9"/>
      <c r="C361" s="10" t="str">
        <f>UPPER(I361)</f>
        <v>ANIMATION DIRECTOR</v>
      </c>
      <c r="D361" s="9"/>
      <c r="E361" s="9" t="str">
        <f>UPPER(K361)</f>
        <v>PAIRATCH LERTKAJORNWONG</v>
      </c>
      <c r="F361" s="9"/>
      <c r="G361" s="3"/>
      <c r="H361" s="13"/>
      <c r="I361" s="8" t="s">
        <v>291</v>
      </c>
      <c r="J361" s="3"/>
      <c r="K361" s="3" t="s">
        <v>407</v>
      </c>
      <c r="L361" s="3"/>
      <c r="M361" s="8"/>
      <c r="N361" s="13"/>
      <c r="O361" s="8" t="s">
        <v>291</v>
      </c>
      <c r="P361" s="3"/>
      <c r="Q361" s="3" t="s">
        <v>407</v>
      </c>
      <c r="R361" s="3"/>
    </row>
    <row r="362" spans="1:18">
      <c r="A362" s="14"/>
      <c r="B362" s="6"/>
      <c r="C362" s="6"/>
      <c r="D362" s="6"/>
      <c r="E362" s="6"/>
      <c r="F362" s="6"/>
      <c r="G362" s="3"/>
      <c r="H362" s="5"/>
      <c r="I362" s="5"/>
      <c r="J362" s="5"/>
      <c r="K362" s="5"/>
      <c r="L362" s="5"/>
      <c r="M362" s="8"/>
      <c r="N362" s="5"/>
      <c r="O362" s="5"/>
      <c r="P362" s="5"/>
      <c r="Q362" s="5"/>
      <c r="R362" s="5"/>
    </row>
    <row r="363" spans="1:18">
      <c r="A363" s="14"/>
      <c r="B363" s="42"/>
      <c r="C363" s="10" t="str">
        <f t="shared" ref="C363:C379" si="64">UPPER(I363)</f>
        <v>ASSET SUPERVISOR</v>
      </c>
      <c r="D363" s="9"/>
      <c r="E363" s="9" t="str">
        <f t="shared" ref="E363:E380" si="65">UPPER(K363)</f>
        <v>PANUWAT BOVORNSIRISARP</v>
      </c>
      <c r="F363" s="42"/>
      <c r="G363" s="3"/>
      <c r="H363" s="8"/>
      <c r="I363" s="8" t="s">
        <v>209</v>
      </c>
      <c r="J363" s="8"/>
      <c r="K363" s="2" t="s">
        <v>408</v>
      </c>
      <c r="L363" s="8"/>
      <c r="M363" s="8"/>
      <c r="N363" s="8"/>
      <c r="O363" s="8" t="s">
        <v>209</v>
      </c>
      <c r="P363" s="8"/>
      <c r="Q363" s="2" t="s">
        <v>408</v>
      </c>
      <c r="R363" s="8"/>
    </row>
    <row r="364" spans="1:18">
      <c r="A364" s="14"/>
      <c r="B364" s="42"/>
      <c r="C364" s="10" t="str">
        <f t="shared" si="64"/>
        <v>LEAD ASSET</v>
      </c>
      <c r="D364" s="9"/>
      <c r="E364" s="9" t="str">
        <f t="shared" si="65"/>
        <v>PRADTANA TARWONG</v>
      </c>
      <c r="F364" s="42"/>
      <c r="G364" s="3"/>
      <c r="H364" s="8"/>
      <c r="I364" s="8" t="s">
        <v>409</v>
      </c>
      <c r="J364" s="8"/>
      <c r="K364" s="2" t="s">
        <v>410</v>
      </c>
      <c r="L364" s="8"/>
      <c r="M364" s="8"/>
      <c r="N364" s="8"/>
      <c r="O364" s="8" t="s">
        <v>409</v>
      </c>
      <c r="P364" s="8"/>
      <c r="Q364" s="2" t="s">
        <v>410</v>
      </c>
      <c r="R364" s="8"/>
    </row>
    <row r="365" spans="1:18">
      <c r="A365" s="14"/>
      <c r="B365" s="42"/>
      <c r="C365" s="10" t="str">
        <f t="shared" si="64"/>
        <v>ASSET ARTIST</v>
      </c>
      <c r="D365" s="9"/>
      <c r="E365" s="9" t="str">
        <f t="shared" si="65"/>
        <v>PUCHIT YOTWICHAI</v>
      </c>
      <c r="F365" s="42"/>
      <c r="G365" s="3"/>
      <c r="H365" s="8"/>
      <c r="I365" s="8" t="s">
        <v>411</v>
      </c>
      <c r="J365" s="8"/>
      <c r="K365" s="2" t="s">
        <v>412</v>
      </c>
      <c r="L365" s="8"/>
      <c r="M365" s="8"/>
      <c r="N365" s="8"/>
      <c r="O365" s="8" t="s">
        <v>411</v>
      </c>
      <c r="P365" s="8"/>
      <c r="Q365" s="2" t="s">
        <v>412</v>
      </c>
      <c r="R365" s="8"/>
    </row>
    <row r="366" spans="1:18">
      <c r="A366" s="14"/>
      <c r="B366" s="42"/>
      <c r="C366" s="10" t="str">
        <f t="shared" si="64"/>
        <v/>
      </c>
      <c r="D366" s="9"/>
      <c r="E366" s="9" t="str">
        <f t="shared" si="65"/>
        <v>RITHIKEAT TEACHO</v>
      </c>
      <c r="F366" s="42"/>
      <c r="G366" s="3"/>
      <c r="H366" s="8"/>
      <c r="I366" s="8"/>
      <c r="J366" s="8"/>
      <c r="K366" s="2" t="s">
        <v>413</v>
      </c>
      <c r="L366" s="8"/>
      <c r="M366" s="8"/>
      <c r="N366" s="8"/>
      <c r="O366" s="8"/>
      <c r="P366" s="8"/>
      <c r="Q366" s="2" t="s">
        <v>413</v>
      </c>
      <c r="R366" s="8"/>
    </row>
    <row r="367" spans="1:18">
      <c r="A367" s="14"/>
      <c r="B367" s="42"/>
      <c r="C367" s="10" t="str">
        <f t="shared" si="64"/>
        <v/>
      </c>
      <c r="D367" s="9"/>
      <c r="E367" s="9" t="str">
        <f t="shared" si="65"/>
        <v>JAKKRIT JAROENSUK</v>
      </c>
      <c r="F367" s="42"/>
      <c r="G367" s="3"/>
      <c r="H367" s="8"/>
      <c r="I367" s="8"/>
      <c r="J367" s="8"/>
      <c r="K367" s="2" t="s">
        <v>414</v>
      </c>
      <c r="L367" s="8"/>
      <c r="M367" s="8"/>
      <c r="N367" s="8"/>
      <c r="O367" s="8"/>
      <c r="P367" s="8"/>
      <c r="Q367" s="2" t="s">
        <v>414</v>
      </c>
      <c r="R367" s="8"/>
    </row>
    <row r="368" spans="1:18">
      <c r="A368" s="14"/>
      <c r="B368" s="42"/>
      <c r="C368" s="10" t="str">
        <f t="shared" si="64"/>
        <v/>
      </c>
      <c r="D368" s="9"/>
      <c r="E368" s="9" t="str">
        <f t="shared" si="65"/>
        <v>NAWAPAS MAINKOON</v>
      </c>
      <c r="F368" s="42"/>
      <c r="G368" s="3"/>
      <c r="H368" s="8"/>
      <c r="I368" s="8"/>
      <c r="J368" s="8"/>
      <c r="K368" s="2" t="s">
        <v>415</v>
      </c>
      <c r="L368" s="8"/>
      <c r="M368" s="8"/>
      <c r="N368" s="8"/>
      <c r="O368" s="8"/>
      <c r="P368" s="8"/>
      <c r="Q368" s="2" t="s">
        <v>415</v>
      </c>
      <c r="R368" s="8"/>
    </row>
    <row r="369" spans="1:18">
      <c r="A369" s="14"/>
      <c r="B369" s="42"/>
      <c r="C369" s="10" t="str">
        <f t="shared" si="64"/>
        <v/>
      </c>
      <c r="D369" s="9"/>
      <c r="E369" s="9" t="str">
        <f t="shared" si="65"/>
        <v>THARIT BANCHANURAT</v>
      </c>
      <c r="F369" s="42"/>
      <c r="G369" s="3"/>
      <c r="H369" s="8"/>
      <c r="I369" s="8"/>
      <c r="J369" s="3"/>
      <c r="K369" s="2" t="s">
        <v>416</v>
      </c>
      <c r="L369" s="8"/>
      <c r="M369" s="8"/>
      <c r="N369" s="8"/>
      <c r="O369" s="8"/>
      <c r="P369" s="3"/>
      <c r="Q369" s="2" t="s">
        <v>416</v>
      </c>
      <c r="R369" s="8"/>
    </row>
    <row r="370" spans="1:18">
      <c r="A370" s="14"/>
      <c r="B370" s="42"/>
      <c r="C370" s="10" t="str">
        <f t="shared" si="64"/>
        <v/>
      </c>
      <c r="D370" s="9"/>
      <c r="E370" s="9" t="str">
        <f t="shared" si="65"/>
        <v>PALINEE ANURATANAPRASIT</v>
      </c>
      <c r="F370" s="42"/>
      <c r="G370" s="3"/>
      <c r="H370" s="8"/>
      <c r="I370" s="8"/>
      <c r="J370" s="3"/>
      <c r="K370" s="2" t="s">
        <v>417</v>
      </c>
      <c r="L370" s="8"/>
      <c r="M370" s="8"/>
      <c r="N370" s="8"/>
      <c r="O370" s="8"/>
      <c r="P370" s="3"/>
      <c r="Q370" s="2" t="s">
        <v>417</v>
      </c>
      <c r="R370" s="8"/>
    </row>
    <row r="371" spans="1:18">
      <c r="A371" s="14"/>
      <c r="B371" s="42"/>
      <c r="C371" s="10" t="str">
        <f t="shared" si="64"/>
        <v/>
      </c>
      <c r="D371" s="9"/>
      <c r="E371" s="9" t="str">
        <f t="shared" si="65"/>
        <v>PHARUNYOO PROMKORN</v>
      </c>
      <c r="F371" s="42"/>
      <c r="G371" s="3"/>
      <c r="H371" s="8"/>
      <c r="I371" s="8"/>
      <c r="J371" s="3"/>
      <c r="K371" s="2" t="s">
        <v>418</v>
      </c>
      <c r="L371" s="8"/>
      <c r="M371" s="8"/>
      <c r="N371" s="8"/>
      <c r="O371" s="8"/>
      <c r="P371" s="3"/>
      <c r="Q371" s="2" t="s">
        <v>418</v>
      </c>
      <c r="R371" s="8"/>
    </row>
    <row r="372" spans="1:18">
      <c r="A372" s="14"/>
      <c r="B372" s="42"/>
      <c r="C372" s="10" t="str">
        <f t="shared" si="64"/>
        <v/>
      </c>
      <c r="D372" s="9"/>
      <c r="E372" s="9" t="str">
        <f t="shared" si="65"/>
        <v>CHANANKARN KANTA</v>
      </c>
      <c r="F372" s="42"/>
      <c r="G372" s="3"/>
      <c r="H372" s="8"/>
      <c r="I372" s="8"/>
      <c r="J372" s="3"/>
      <c r="K372" s="2" t="s">
        <v>419</v>
      </c>
      <c r="L372" s="8"/>
      <c r="M372" s="8"/>
      <c r="N372" s="8"/>
      <c r="O372" s="8"/>
      <c r="P372" s="3"/>
      <c r="Q372" s="2" t="s">
        <v>419</v>
      </c>
      <c r="R372" s="8"/>
    </row>
    <row r="373" spans="1:18">
      <c r="A373" s="14"/>
      <c r="B373" s="42"/>
      <c r="C373" s="10" t="str">
        <f t="shared" si="64"/>
        <v/>
      </c>
      <c r="D373" s="9"/>
      <c r="E373" s="9" t="str">
        <f t="shared" si="65"/>
        <v>CHANAPAT THUETRONG</v>
      </c>
      <c r="F373" s="42"/>
      <c r="G373" s="3"/>
      <c r="H373" s="8"/>
      <c r="I373" s="8"/>
      <c r="J373" s="3"/>
      <c r="K373" s="2" t="s">
        <v>420</v>
      </c>
      <c r="L373" s="8"/>
      <c r="M373" s="8"/>
      <c r="N373" s="8"/>
      <c r="O373" s="8"/>
      <c r="P373" s="3"/>
      <c r="Q373" s="2" t="s">
        <v>420</v>
      </c>
      <c r="R373" s="8"/>
    </row>
    <row r="374" spans="1:18">
      <c r="A374" s="14"/>
      <c r="B374" s="42"/>
      <c r="C374" s="10" t="str">
        <f t="shared" si="64"/>
        <v/>
      </c>
      <c r="D374" s="9"/>
      <c r="E374" s="9" t="str">
        <f t="shared" si="65"/>
        <v>TARIGAN SUKONTAGON</v>
      </c>
      <c r="F374" s="42"/>
      <c r="G374" s="3"/>
      <c r="H374" s="8"/>
      <c r="I374" s="8"/>
      <c r="J374" s="3"/>
      <c r="K374" s="2" t="s">
        <v>421</v>
      </c>
      <c r="L374" s="8"/>
      <c r="M374" s="8"/>
      <c r="N374" s="8"/>
      <c r="O374" s="8"/>
      <c r="P374" s="3"/>
      <c r="Q374" s="2" t="s">
        <v>421</v>
      </c>
      <c r="R374" s="8"/>
    </row>
    <row r="375" spans="1:18">
      <c r="A375" s="14"/>
      <c r="B375" s="42"/>
      <c r="C375" s="10" t="str">
        <f t="shared" si="64"/>
        <v/>
      </c>
      <c r="D375" s="9"/>
      <c r="E375" s="9" t="str">
        <f t="shared" si="65"/>
        <v>WATCHARAPOL PANYAPITAKKUL</v>
      </c>
      <c r="F375" s="42"/>
      <c r="G375" s="3"/>
      <c r="H375" s="8"/>
      <c r="I375" s="8"/>
      <c r="J375" s="3"/>
      <c r="K375" s="2" t="s">
        <v>422</v>
      </c>
      <c r="L375" s="8"/>
      <c r="M375" s="8"/>
      <c r="N375" s="8"/>
      <c r="O375" s="8"/>
      <c r="P375" s="3"/>
      <c r="Q375" s="2" t="s">
        <v>422</v>
      </c>
      <c r="R375" s="8"/>
    </row>
    <row r="376" spans="1:18">
      <c r="A376" s="14"/>
      <c r="B376" s="42"/>
      <c r="C376" s="10" t="str">
        <f t="shared" si="64"/>
        <v/>
      </c>
      <c r="D376" s="9"/>
      <c r="E376" s="9" t="str">
        <f t="shared" si="65"/>
        <v>PRAPABHORN POOMSIRI</v>
      </c>
      <c r="F376" s="42"/>
      <c r="G376" s="3"/>
      <c r="H376" s="8"/>
      <c r="I376" s="8"/>
      <c r="J376" s="3"/>
      <c r="K376" s="2" t="s">
        <v>423</v>
      </c>
      <c r="L376" s="8"/>
      <c r="M376" s="8"/>
      <c r="N376" s="8"/>
      <c r="O376" s="8"/>
      <c r="P376" s="3"/>
      <c r="Q376" s="2" t="s">
        <v>423</v>
      </c>
      <c r="R376" s="8"/>
    </row>
    <row r="377" spans="1:18">
      <c r="A377" s="14"/>
      <c r="B377" s="42"/>
      <c r="C377" s="10" t="str">
        <f t="shared" si="64"/>
        <v/>
      </c>
      <c r="D377" s="9"/>
      <c r="E377" s="9" t="str">
        <f t="shared" si="65"/>
        <v>BAVORNSAK UDOMCHIMPLEE</v>
      </c>
      <c r="F377" s="42"/>
      <c r="G377" s="3"/>
      <c r="H377" s="8"/>
      <c r="I377" s="8"/>
      <c r="J377" s="3"/>
      <c r="K377" s="2" t="s">
        <v>424</v>
      </c>
      <c r="L377" s="8"/>
      <c r="M377" s="8"/>
      <c r="N377" s="8"/>
      <c r="O377" s="8"/>
      <c r="P377" s="3"/>
      <c r="Q377" s="2" t="s">
        <v>424</v>
      </c>
      <c r="R377" s="8"/>
    </row>
    <row r="378" spans="1:18">
      <c r="A378" s="14"/>
      <c r="B378" s="42"/>
      <c r="C378" s="10" t="str">
        <f t="shared" si="64"/>
        <v/>
      </c>
      <c r="D378" s="9"/>
      <c r="E378" s="9" t="str">
        <f t="shared" si="65"/>
        <v/>
      </c>
      <c r="F378" s="42"/>
      <c r="G378" s="3"/>
      <c r="H378" s="8"/>
      <c r="I378" s="8"/>
      <c r="J378" s="3"/>
      <c r="K378" s="3"/>
      <c r="L378" s="8"/>
      <c r="M378" s="8"/>
      <c r="N378" s="8"/>
      <c r="O378" s="8"/>
      <c r="P378" s="3"/>
      <c r="Q378" s="3"/>
      <c r="R378" s="3"/>
    </row>
    <row r="379" spans="1:18">
      <c r="A379" s="14"/>
      <c r="B379" s="11"/>
      <c r="C379" s="12" t="str">
        <f t="shared" si="64"/>
        <v/>
      </c>
      <c r="D379" s="11"/>
      <c r="E379" s="11" t="str">
        <f t="shared" si="65"/>
        <v/>
      </c>
      <c r="F379" s="11"/>
      <c r="G379" s="3"/>
      <c r="H379" s="3"/>
      <c r="I379" s="8"/>
      <c r="J379" s="3"/>
      <c r="K379" s="13"/>
      <c r="L379" s="3"/>
      <c r="M379" s="3"/>
      <c r="N379" s="3"/>
      <c r="O379" s="8"/>
      <c r="P379" s="3"/>
      <c r="Q379" s="3"/>
      <c r="R379" s="3"/>
    </row>
    <row r="380" spans="1:18">
      <c r="A380" s="14"/>
      <c r="B380" s="9" t="str">
        <f t="shared" ref="B380:C380" si="66">UPPER(H380)</f>
        <v/>
      </c>
      <c r="C380" s="10" t="str">
        <f t="shared" si="66"/>
        <v/>
      </c>
      <c r="D380" s="9"/>
      <c r="E380" s="9" t="str">
        <f t="shared" si="65"/>
        <v/>
      </c>
      <c r="F380" s="9"/>
      <c r="G380" s="3"/>
      <c r="H380" s="3"/>
      <c r="I380" s="8"/>
      <c r="J380" s="3"/>
      <c r="K380" s="13"/>
      <c r="L380" s="3"/>
      <c r="M380" s="8"/>
      <c r="N380" s="8"/>
      <c r="O380" s="8"/>
      <c r="P380" s="3"/>
      <c r="Q380" s="3"/>
      <c r="R380" s="3"/>
    </row>
    <row r="381" spans="1:18">
      <c r="A381" s="14"/>
      <c r="B381" s="150" t="str">
        <f>UPPER(H381)</f>
        <v>VOICE RECORDING</v>
      </c>
      <c r="C381" s="141"/>
      <c r="D381" s="141"/>
      <c r="E381" s="141"/>
      <c r="F381" s="141"/>
      <c r="G381" s="28"/>
      <c r="H381" s="167" t="s">
        <v>425</v>
      </c>
      <c r="I381" s="141"/>
      <c r="J381" s="141"/>
      <c r="K381" s="141"/>
      <c r="L381" s="141"/>
      <c r="M381" s="29"/>
      <c r="N381" s="149" t="s">
        <v>881</v>
      </c>
      <c r="O381" s="141"/>
      <c r="P381" s="141"/>
      <c r="Q381" s="141"/>
      <c r="R381" s="141"/>
    </row>
    <row r="382" spans="1:18">
      <c r="A382" s="14"/>
      <c r="B382" s="9"/>
      <c r="C382" s="10" t="str">
        <f t="shared" ref="C382:C394" si="67">UPPER(I382)</f>
        <v>VOICE DIRECTOR</v>
      </c>
      <c r="D382" s="9"/>
      <c r="E382" s="9" t="str">
        <f t="shared" ref="E382:E394" si="68">UPPER(K382)</f>
        <v>TOM WAYLAND</v>
      </c>
      <c r="F382" s="9"/>
      <c r="G382" s="3"/>
      <c r="H382" s="3"/>
      <c r="I382" s="36" t="s">
        <v>426</v>
      </c>
      <c r="J382" s="2"/>
      <c r="K382" s="2" t="s">
        <v>58</v>
      </c>
      <c r="L382" s="3"/>
      <c r="M382" s="8"/>
      <c r="N382" s="3"/>
      <c r="O382" s="8" t="s">
        <v>882</v>
      </c>
      <c r="P382" s="3"/>
      <c r="Q382" s="3" t="s">
        <v>883</v>
      </c>
      <c r="R382" s="3"/>
    </row>
    <row r="383" spans="1:18">
      <c r="A383" s="14"/>
      <c r="B383" s="9"/>
      <c r="C383" s="10" t="str">
        <f t="shared" si="67"/>
        <v/>
      </c>
      <c r="D383" s="9"/>
      <c r="E383" s="9" t="str">
        <f t="shared" si="68"/>
        <v/>
      </c>
      <c r="F383" s="9"/>
      <c r="G383" s="3"/>
      <c r="H383" s="3"/>
      <c r="I383" s="2"/>
      <c r="J383" s="2"/>
      <c r="K383" s="2"/>
      <c r="L383" s="3"/>
      <c r="M383" s="8"/>
      <c r="N383" s="3"/>
      <c r="O383" s="8"/>
      <c r="P383" s="3"/>
      <c r="Q383" s="3"/>
      <c r="R383" s="3"/>
    </row>
    <row r="384" spans="1:18">
      <c r="A384" s="14"/>
      <c r="B384" s="9"/>
      <c r="C384" s="10" t="str">
        <f t="shared" si="67"/>
        <v>RECORDING ENGINEER</v>
      </c>
      <c r="D384" s="9"/>
      <c r="E384" s="9" t="str">
        <f t="shared" si="68"/>
        <v>DOMINIC DUNN</v>
      </c>
      <c r="F384" s="9"/>
      <c r="G384" s="3"/>
      <c r="H384" s="3"/>
      <c r="I384" s="36" t="s">
        <v>427</v>
      </c>
      <c r="J384" s="2"/>
      <c r="K384" s="2" t="s">
        <v>428</v>
      </c>
      <c r="L384" s="3"/>
      <c r="M384" s="8"/>
      <c r="N384" s="3"/>
      <c r="O384" s="8" t="s">
        <v>884</v>
      </c>
      <c r="P384" s="3"/>
      <c r="Q384" s="3" t="s">
        <v>885</v>
      </c>
      <c r="R384" s="3"/>
    </row>
    <row r="385" spans="1:18">
      <c r="A385" s="14"/>
      <c r="B385" s="9"/>
      <c r="C385" s="10" t="str">
        <f t="shared" si="67"/>
        <v/>
      </c>
      <c r="D385" s="9"/>
      <c r="E385" s="9" t="str">
        <f t="shared" si="68"/>
        <v>FAHAD RAHMAN</v>
      </c>
      <c r="F385" s="9"/>
      <c r="G385" s="3"/>
      <c r="H385" s="3"/>
      <c r="I385" s="2"/>
      <c r="J385" s="2"/>
      <c r="K385" s="2" t="s">
        <v>429</v>
      </c>
      <c r="L385" s="3"/>
      <c r="M385" s="8"/>
      <c r="N385" s="3"/>
      <c r="O385" s="8"/>
      <c r="P385" s="3"/>
      <c r="Q385" s="3"/>
      <c r="R385" s="3"/>
    </row>
    <row r="386" spans="1:18">
      <c r="A386" s="14"/>
      <c r="B386" s="9"/>
      <c r="C386" s="10" t="str">
        <f t="shared" si="67"/>
        <v/>
      </c>
      <c r="D386" s="9"/>
      <c r="E386" s="9" t="str">
        <f t="shared" si="68"/>
        <v>TOM WAYLAND</v>
      </c>
      <c r="F386" s="9"/>
      <c r="G386" s="3"/>
      <c r="H386" s="3"/>
      <c r="I386" s="2"/>
      <c r="J386" s="2"/>
      <c r="K386" s="2" t="s">
        <v>58</v>
      </c>
      <c r="L386" s="3"/>
      <c r="M386" s="8"/>
      <c r="N386" s="3"/>
      <c r="O386" s="8" t="s">
        <v>886</v>
      </c>
      <c r="P386" s="3"/>
      <c r="Q386" s="3" t="s">
        <v>885</v>
      </c>
      <c r="R386" s="3"/>
    </row>
    <row r="387" spans="1:18">
      <c r="A387" s="14"/>
      <c r="B387" s="9"/>
      <c r="C387" s="10" t="str">
        <f t="shared" si="67"/>
        <v/>
      </c>
      <c r="D387" s="9"/>
      <c r="E387" s="9" t="str">
        <f t="shared" si="68"/>
        <v/>
      </c>
      <c r="F387" s="9"/>
      <c r="G387" s="3"/>
      <c r="H387" s="3"/>
      <c r="I387" s="2"/>
      <c r="J387" s="2"/>
      <c r="K387" s="2"/>
      <c r="L387" s="3"/>
      <c r="M387" s="8"/>
      <c r="N387" s="3"/>
      <c r="O387" s="8"/>
      <c r="P387" s="3"/>
      <c r="Q387" s="3"/>
      <c r="R387" s="3"/>
    </row>
    <row r="388" spans="1:18">
      <c r="A388" s="14"/>
      <c r="B388" s="9"/>
      <c r="C388" s="10" t="str">
        <f t="shared" si="67"/>
        <v>VOICE CASTING</v>
      </c>
      <c r="D388" s="9"/>
      <c r="E388" s="9" t="str">
        <f t="shared" si="68"/>
        <v>TOM WAYLAND</v>
      </c>
      <c r="F388" s="9"/>
      <c r="G388" s="3"/>
      <c r="H388" s="3"/>
      <c r="I388" s="36" t="s">
        <v>430</v>
      </c>
      <c r="J388" s="2"/>
      <c r="K388" s="2" t="s">
        <v>58</v>
      </c>
      <c r="L388" s="3"/>
      <c r="M388" s="8"/>
      <c r="N388" s="3"/>
      <c r="O388" s="8" t="s">
        <v>887</v>
      </c>
      <c r="P388" s="3"/>
      <c r="Q388" s="3" t="s">
        <v>885</v>
      </c>
      <c r="R388" s="3"/>
    </row>
    <row r="389" spans="1:18">
      <c r="A389" s="14"/>
      <c r="B389" s="9"/>
      <c r="C389" s="10" t="str">
        <f t="shared" si="67"/>
        <v/>
      </c>
      <c r="D389" s="9"/>
      <c r="E389" s="9" t="str">
        <f t="shared" si="68"/>
        <v/>
      </c>
      <c r="F389" s="9"/>
      <c r="G389" s="3"/>
      <c r="H389" s="3"/>
      <c r="I389" s="2"/>
      <c r="J389" s="2"/>
      <c r="K389" s="2"/>
      <c r="L389" s="3"/>
      <c r="M389" s="8"/>
      <c r="N389" s="3"/>
      <c r="O389" s="8"/>
      <c r="P389" s="3"/>
      <c r="Q389" s="13"/>
      <c r="R389" s="3"/>
    </row>
    <row r="390" spans="1:18">
      <c r="A390" s="14"/>
      <c r="B390" s="9"/>
      <c r="C390" s="10" t="str">
        <f t="shared" si="67"/>
        <v>RECORDED BY</v>
      </c>
      <c r="D390" s="9"/>
      <c r="E390" s="9" t="str">
        <f t="shared" si="68"/>
        <v>3BEEP, NYC</v>
      </c>
      <c r="F390" s="9"/>
      <c r="G390" s="3"/>
      <c r="H390" s="3"/>
      <c r="I390" s="36" t="s">
        <v>431</v>
      </c>
      <c r="J390" s="2"/>
      <c r="K390" s="2" t="s">
        <v>432</v>
      </c>
      <c r="L390" s="3"/>
      <c r="M390" s="8"/>
      <c r="N390" s="3"/>
      <c r="O390" s="8"/>
      <c r="P390" s="3"/>
      <c r="Q390" s="13"/>
      <c r="R390" s="3"/>
    </row>
    <row r="391" spans="1:18">
      <c r="A391" s="14"/>
      <c r="B391" s="9"/>
      <c r="C391" s="10" t="str">
        <f t="shared" si="67"/>
        <v/>
      </c>
      <c r="D391" s="9"/>
      <c r="E391" s="9" t="str">
        <f t="shared" si="68"/>
        <v/>
      </c>
      <c r="F391" s="9"/>
      <c r="G391" s="3"/>
      <c r="H391" s="3"/>
      <c r="I391" s="2"/>
      <c r="J391" s="2"/>
      <c r="K391" s="2"/>
      <c r="L391" s="3"/>
      <c r="M391" s="8"/>
      <c r="N391" s="3"/>
      <c r="O391" s="8"/>
      <c r="P391" s="3"/>
      <c r="Q391" s="13"/>
      <c r="R391" s="3"/>
    </row>
    <row r="392" spans="1:18">
      <c r="A392" s="14"/>
      <c r="B392" s="9"/>
      <c r="C392" s="10" t="str">
        <f t="shared" si="67"/>
        <v>PRODUCER FOR  3BEEP</v>
      </c>
      <c r="D392" s="9"/>
      <c r="E392" s="9" t="str">
        <f t="shared" si="68"/>
        <v>TIM WERENKO</v>
      </c>
      <c r="F392" s="9"/>
      <c r="G392" s="3"/>
      <c r="H392" s="3"/>
      <c r="I392" s="36" t="s">
        <v>433</v>
      </c>
      <c r="J392" s="2"/>
      <c r="K392" s="2" t="s">
        <v>434</v>
      </c>
      <c r="L392" s="3"/>
      <c r="M392" s="8"/>
      <c r="N392" s="3"/>
      <c r="O392" s="8"/>
      <c r="P392" s="3"/>
      <c r="Q392" s="13"/>
      <c r="R392" s="3"/>
    </row>
    <row r="393" spans="1:18">
      <c r="A393" s="14"/>
      <c r="B393" s="9"/>
      <c r="C393" s="10" t="str">
        <f t="shared" si="67"/>
        <v/>
      </c>
      <c r="D393" s="9"/>
      <c r="E393" s="9" t="str">
        <f t="shared" si="68"/>
        <v>TOM WAYLAND</v>
      </c>
      <c r="F393" s="9"/>
      <c r="G393" s="3"/>
      <c r="H393" s="3"/>
      <c r="I393" s="2"/>
      <c r="J393" s="2"/>
      <c r="K393" s="2" t="s">
        <v>58</v>
      </c>
      <c r="L393" s="3"/>
      <c r="M393" s="8"/>
      <c r="N393" s="3"/>
      <c r="O393" s="8"/>
      <c r="P393" s="3"/>
      <c r="Q393" s="13"/>
      <c r="R393" s="3"/>
    </row>
    <row r="394" spans="1:18">
      <c r="A394" s="14"/>
      <c r="B394" s="9"/>
      <c r="C394" s="10" t="str">
        <f t="shared" si="67"/>
        <v/>
      </c>
      <c r="D394" s="9"/>
      <c r="E394" s="9" t="str">
        <f t="shared" si="68"/>
        <v/>
      </c>
      <c r="F394" s="9"/>
      <c r="G394" s="3"/>
      <c r="H394" s="3"/>
      <c r="I394" s="8"/>
      <c r="J394" s="3"/>
      <c r="K394" s="13"/>
      <c r="L394" s="3"/>
      <c r="M394" s="8"/>
      <c r="N394" s="8"/>
      <c r="O394" s="8"/>
      <c r="P394" s="3"/>
      <c r="Q394" s="3"/>
      <c r="R394" s="3"/>
    </row>
    <row r="395" spans="1:18">
      <c r="A395" s="14"/>
      <c r="B395" s="11"/>
      <c r="C395" s="12"/>
      <c r="D395" s="11"/>
      <c r="E395" s="11"/>
      <c r="F395" s="11"/>
      <c r="G395" s="3"/>
      <c r="H395" s="3"/>
      <c r="I395" s="8"/>
      <c r="J395" s="3"/>
      <c r="K395" s="13"/>
      <c r="L395" s="3"/>
      <c r="M395" s="3"/>
      <c r="N395" s="3"/>
      <c r="O395" s="8"/>
      <c r="P395" s="3"/>
      <c r="Q395" s="3"/>
      <c r="R395" s="3"/>
    </row>
    <row r="396" spans="1:18">
      <c r="A396" s="14"/>
      <c r="B396" s="6"/>
      <c r="C396" s="6"/>
      <c r="D396" s="6"/>
      <c r="E396" s="6"/>
      <c r="F396" s="6"/>
      <c r="G396" s="3"/>
      <c r="H396" s="5"/>
      <c r="I396" s="5"/>
      <c r="J396" s="5"/>
      <c r="K396" s="5"/>
      <c r="L396" s="5"/>
      <c r="M396" s="8"/>
      <c r="N396" s="8"/>
      <c r="O396" s="8"/>
      <c r="P396" s="3"/>
      <c r="Q396" s="3"/>
      <c r="R396" s="3"/>
    </row>
    <row r="397" spans="1:18">
      <c r="A397" s="14"/>
      <c r="B397" s="150" t="str">
        <f>UPPER(H397)</f>
        <v>POST PRODUCTION / ORIGINAL SCORES &amp; SONGS</v>
      </c>
      <c r="C397" s="141"/>
      <c r="D397" s="141"/>
      <c r="E397" s="141"/>
      <c r="F397" s="141"/>
      <c r="G397" s="28"/>
      <c r="H397" s="167" t="s">
        <v>435</v>
      </c>
      <c r="I397" s="141"/>
      <c r="J397" s="141"/>
      <c r="K397" s="141"/>
      <c r="L397" s="141"/>
      <c r="M397" s="29"/>
      <c r="N397" s="149" t="s">
        <v>888</v>
      </c>
      <c r="O397" s="141"/>
      <c r="P397" s="141"/>
      <c r="Q397" s="141"/>
      <c r="R397" s="141"/>
    </row>
    <row r="398" spans="1:18">
      <c r="A398" s="14"/>
      <c r="B398" s="9"/>
      <c r="C398" s="10" t="str">
        <f t="shared" ref="C398:C400" si="69">UPPER(I398)</f>
        <v>AUDIO POST PRODUCTION</v>
      </c>
      <c r="D398" s="9"/>
      <c r="E398" s="9" t="str">
        <f t="shared" ref="E398:E400" si="70">UPPER(K398)</f>
        <v>DOONG SOUND</v>
      </c>
      <c r="F398" s="9"/>
      <c r="G398" s="3"/>
      <c r="H398" s="3"/>
      <c r="I398" s="8" t="s">
        <v>436</v>
      </c>
      <c r="J398" s="3"/>
      <c r="K398" s="3" t="s">
        <v>437</v>
      </c>
      <c r="L398" s="3"/>
      <c r="M398" s="8"/>
      <c r="N398" s="3"/>
      <c r="O398" s="8" t="s">
        <v>889</v>
      </c>
      <c r="P398" s="3"/>
      <c r="Q398" s="3" t="s">
        <v>883</v>
      </c>
      <c r="R398" s="3"/>
    </row>
    <row r="399" spans="1:18">
      <c r="A399" s="14"/>
      <c r="B399" s="6"/>
      <c r="C399" s="10" t="str">
        <f t="shared" si="69"/>
        <v>SOUND SUPERVISOR</v>
      </c>
      <c r="D399" s="9"/>
      <c r="E399" s="9" t="str">
        <f t="shared" si="70"/>
        <v>JEONGYOUNG PARK</v>
      </c>
      <c r="F399" s="6"/>
      <c r="G399" s="3"/>
      <c r="H399" s="3"/>
      <c r="I399" s="8" t="s">
        <v>438</v>
      </c>
      <c r="J399" s="3"/>
      <c r="K399" s="3" t="s">
        <v>439</v>
      </c>
      <c r="L399" s="3"/>
      <c r="M399" s="8"/>
      <c r="N399" s="3"/>
      <c r="O399" s="8" t="s">
        <v>890</v>
      </c>
      <c r="P399" s="3"/>
      <c r="Q399" s="3" t="s">
        <v>891</v>
      </c>
      <c r="R399" s="3"/>
    </row>
    <row r="400" spans="1:18">
      <c r="A400" s="14"/>
      <c r="B400" s="6"/>
      <c r="C400" s="10" t="str">
        <f t="shared" si="69"/>
        <v>SOUND PRODUCTION MANAGER</v>
      </c>
      <c r="D400" s="9"/>
      <c r="E400" s="9" t="str">
        <f t="shared" si="70"/>
        <v>HYEJEONG HWANG</v>
      </c>
      <c r="F400" s="6"/>
      <c r="G400" s="3"/>
      <c r="H400" s="3"/>
      <c r="I400" s="8" t="s">
        <v>440</v>
      </c>
      <c r="J400" s="3"/>
      <c r="K400" s="3" t="s">
        <v>441</v>
      </c>
      <c r="L400" s="3"/>
      <c r="M400" s="8"/>
      <c r="N400" s="3"/>
      <c r="O400" s="8" t="s">
        <v>892</v>
      </c>
      <c r="P400" s="3"/>
      <c r="Q400" s="3" t="s">
        <v>885</v>
      </c>
      <c r="R400" s="3"/>
    </row>
    <row r="401" spans="1:18">
      <c r="A401" s="14"/>
      <c r="B401" s="6"/>
      <c r="C401" s="6"/>
      <c r="D401" s="6"/>
      <c r="E401" s="6"/>
      <c r="F401" s="6"/>
      <c r="G401" s="3"/>
      <c r="H401" s="3"/>
      <c r="I401" s="8"/>
      <c r="J401" s="3"/>
      <c r="K401" s="3"/>
      <c r="L401" s="3"/>
      <c r="M401" s="8"/>
      <c r="N401" s="8"/>
      <c r="O401" s="8"/>
      <c r="P401" s="3"/>
      <c r="Q401" s="3"/>
      <c r="R401" s="3"/>
    </row>
    <row r="402" spans="1:18">
      <c r="A402" s="14"/>
      <c r="B402" s="6"/>
      <c r="C402" s="6"/>
      <c r="D402" s="6"/>
      <c r="E402" s="6"/>
      <c r="F402" s="6"/>
      <c r="G402" s="3"/>
      <c r="H402" s="3"/>
      <c r="I402" s="8"/>
      <c r="J402" s="3"/>
      <c r="K402" s="3"/>
      <c r="L402" s="3"/>
      <c r="M402" s="8"/>
      <c r="N402" s="149"/>
      <c r="O402" s="141"/>
      <c r="P402" s="141"/>
      <c r="Q402" s="141"/>
      <c r="R402" s="141"/>
    </row>
    <row r="403" spans="1:18">
      <c r="A403" s="14"/>
      <c r="B403" s="146" t="str">
        <f>UPPER(H403)</f>
        <v>SOUND</v>
      </c>
      <c r="C403" s="141"/>
      <c r="D403" s="141"/>
      <c r="E403" s="141"/>
      <c r="F403" s="141"/>
      <c r="G403" s="3"/>
      <c r="H403" s="149" t="s">
        <v>442</v>
      </c>
      <c r="I403" s="141"/>
      <c r="J403" s="141"/>
      <c r="K403" s="141"/>
      <c r="L403" s="141"/>
      <c r="M403" s="8"/>
      <c r="N403" s="149" t="s">
        <v>893</v>
      </c>
      <c r="O403" s="141"/>
      <c r="P403" s="141"/>
      <c r="Q403" s="141"/>
      <c r="R403" s="141"/>
    </row>
    <row r="404" spans="1:18">
      <c r="A404" s="14"/>
      <c r="B404" s="9"/>
      <c r="C404" s="10" t="str">
        <f t="shared" ref="C404:C406" si="71">UPPER(I404)</f>
        <v>CHIEF SOUND DESIGNER &amp; EFFECTS &amp; EDITOR</v>
      </c>
      <c r="D404" s="9"/>
      <c r="E404" s="9" t="str">
        <f t="shared" ref="E404:E406" si="72">UPPER(K404)</f>
        <v>HYEJEONG HWANG</v>
      </c>
      <c r="F404" s="9"/>
      <c r="G404" s="3"/>
      <c r="H404" s="8"/>
      <c r="I404" s="8" t="s">
        <v>443</v>
      </c>
      <c r="J404" s="3"/>
      <c r="K404" s="3" t="s">
        <v>441</v>
      </c>
      <c r="L404" s="3"/>
      <c r="M404" s="8"/>
      <c r="N404" s="3"/>
      <c r="O404" s="8" t="s">
        <v>894</v>
      </c>
      <c r="P404" s="3"/>
      <c r="Q404" s="3" t="s">
        <v>885</v>
      </c>
      <c r="R404" s="3"/>
    </row>
    <row r="405" spans="1:18">
      <c r="A405" s="14"/>
      <c r="B405" s="9"/>
      <c r="C405" s="10" t="str">
        <f t="shared" si="71"/>
        <v>VOICE EDITOR</v>
      </c>
      <c r="D405" s="9"/>
      <c r="E405" s="9" t="str">
        <f t="shared" si="72"/>
        <v>HYEJEONG HWANG</v>
      </c>
      <c r="F405" s="9"/>
      <c r="G405" s="3"/>
      <c r="H405" s="8"/>
      <c r="I405" s="8" t="s">
        <v>444</v>
      </c>
      <c r="J405" s="3"/>
      <c r="K405" s="3" t="s">
        <v>441</v>
      </c>
      <c r="L405" s="3"/>
      <c r="M405" s="8"/>
      <c r="N405" s="3"/>
      <c r="O405" s="8" t="s">
        <v>895</v>
      </c>
      <c r="P405" s="3"/>
      <c r="Q405" s="3" t="s">
        <v>885</v>
      </c>
      <c r="R405" s="3"/>
    </row>
    <row r="406" spans="1:18">
      <c r="A406" s="14"/>
      <c r="B406" s="9"/>
      <c r="C406" s="10" t="str">
        <f t="shared" si="71"/>
        <v>MIXING &amp; MASTERING</v>
      </c>
      <c r="D406" s="9"/>
      <c r="E406" s="9" t="str">
        <f t="shared" si="72"/>
        <v>HYEJEONG HWANG</v>
      </c>
      <c r="F406" s="9"/>
      <c r="G406" s="3"/>
      <c r="H406" s="8"/>
      <c r="I406" s="8" t="s">
        <v>445</v>
      </c>
      <c r="J406" s="3"/>
      <c r="K406" s="3" t="s">
        <v>441</v>
      </c>
      <c r="L406" s="3"/>
      <c r="M406" s="8"/>
      <c r="N406" s="3"/>
      <c r="O406" s="8" t="s">
        <v>896</v>
      </c>
      <c r="P406" s="3"/>
      <c r="Q406" s="3" t="s">
        <v>885</v>
      </c>
      <c r="R406" s="3"/>
    </row>
    <row r="407" spans="1:18">
      <c r="A407" s="14"/>
      <c r="B407" s="9"/>
      <c r="C407" s="9"/>
      <c r="D407" s="9"/>
      <c r="E407" s="9"/>
      <c r="F407" s="9"/>
      <c r="G407" s="3"/>
      <c r="H407" s="8"/>
      <c r="I407" s="8"/>
      <c r="J407" s="3"/>
      <c r="K407" s="3" t="s">
        <v>439</v>
      </c>
      <c r="L407" s="3"/>
      <c r="M407" s="8"/>
      <c r="N407" s="3"/>
      <c r="O407" s="8"/>
      <c r="P407" s="3"/>
      <c r="Q407" s="3" t="s">
        <v>891</v>
      </c>
      <c r="R407" s="3"/>
    </row>
    <row r="408" spans="1:18">
      <c r="A408" s="14"/>
      <c r="B408" s="9"/>
      <c r="C408" s="9"/>
      <c r="D408" s="9"/>
      <c r="E408" s="9"/>
      <c r="F408" s="9"/>
      <c r="G408" s="3"/>
      <c r="H408" s="8"/>
      <c r="I408" s="8"/>
      <c r="J408" s="3"/>
      <c r="K408" s="3"/>
      <c r="L408" s="3"/>
      <c r="M408" s="8"/>
      <c r="N408" s="149"/>
      <c r="O408" s="141"/>
      <c r="P408" s="141"/>
      <c r="Q408" s="141"/>
      <c r="R408" s="141"/>
    </row>
    <row r="409" spans="1:18">
      <c r="A409" s="14"/>
      <c r="B409" s="9"/>
      <c r="C409" s="9"/>
      <c r="D409" s="9"/>
      <c r="E409" s="9"/>
      <c r="F409" s="9"/>
      <c r="G409" s="3"/>
      <c r="H409" s="8"/>
      <c r="I409" s="8"/>
      <c r="J409" s="3"/>
      <c r="K409" s="3"/>
      <c r="L409" s="3"/>
      <c r="M409" s="8"/>
      <c r="N409" s="8"/>
      <c r="O409" s="8"/>
      <c r="P409" s="3"/>
      <c r="Q409" s="3"/>
      <c r="R409" s="3"/>
    </row>
    <row r="410" spans="1:18">
      <c r="A410" s="14"/>
      <c r="B410" s="146" t="str">
        <f>UPPER(H410)</f>
        <v>ORIGINAL SCORE</v>
      </c>
      <c r="C410" s="141"/>
      <c r="D410" s="141"/>
      <c r="E410" s="141"/>
      <c r="F410" s="141"/>
      <c r="G410" s="3"/>
      <c r="H410" s="149" t="s">
        <v>446</v>
      </c>
      <c r="I410" s="141"/>
      <c r="J410" s="141"/>
      <c r="K410" s="141"/>
      <c r="L410" s="141"/>
      <c r="M410" s="8"/>
      <c r="N410" s="149" t="s">
        <v>897</v>
      </c>
      <c r="O410" s="141"/>
      <c r="P410" s="141"/>
      <c r="Q410" s="141"/>
      <c r="R410" s="141"/>
    </row>
    <row r="411" spans="1:18">
      <c r="A411" s="14"/>
      <c r="B411" s="9"/>
      <c r="C411" s="10" t="str">
        <f>UPPER(I411)</f>
        <v>MUSIC SUPERVISOR</v>
      </c>
      <c r="D411" s="9"/>
      <c r="E411" s="9" t="str">
        <f t="shared" ref="E411:E420" si="73">UPPER(K411)</f>
        <v>YOONHO KIM</v>
      </c>
      <c r="F411" s="9"/>
      <c r="G411" s="3"/>
      <c r="H411" s="8"/>
      <c r="I411" s="8" t="s">
        <v>447</v>
      </c>
      <c r="J411" s="3"/>
      <c r="K411" s="3" t="s">
        <v>448</v>
      </c>
      <c r="L411" s="3"/>
      <c r="M411" s="8"/>
      <c r="N411" s="3"/>
      <c r="O411" s="8" t="s">
        <v>898</v>
      </c>
      <c r="P411" s="3"/>
      <c r="Q411" s="3" t="s">
        <v>899</v>
      </c>
      <c r="R411" s="3"/>
    </row>
    <row r="412" spans="1:18">
      <c r="A412" s="14"/>
      <c r="B412" s="9"/>
      <c r="C412" s="9"/>
      <c r="D412" s="9"/>
      <c r="E412" s="9" t="str">
        <f t="shared" si="73"/>
        <v>SIEUN KIM</v>
      </c>
      <c r="F412" s="9"/>
      <c r="G412" s="3"/>
      <c r="H412" s="8"/>
      <c r="I412" s="8" t="s">
        <v>449</v>
      </c>
      <c r="J412" s="3"/>
      <c r="K412" s="3" t="s">
        <v>450</v>
      </c>
      <c r="L412" s="3"/>
      <c r="M412" s="8"/>
      <c r="N412" s="3"/>
      <c r="O412" s="8" t="s">
        <v>900</v>
      </c>
      <c r="P412" s="3"/>
      <c r="Q412" s="3" t="s">
        <v>901</v>
      </c>
      <c r="R412" s="3"/>
    </row>
    <row r="413" spans="1:18">
      <c r="A413" s="14"/>
      <c r="B413" s="9"/>
      <c r="C413" s="10" t="str">
        <f>UPPER(I413)</f>
        <v>ADDITIONAL COMPOSER</v>
      </c>
      <c r="D413" s="9"/>
      <c r="E413" s="9" t="str">
        <f t="shared" si="73"/>
        <v>NAYEON LEE</v>
      </c>
      <c r="F413" s="9"/>
      <c r="G413" s="3"/>
      <c r="H413" s="8"/>
      <c r="I413" s="8" t="s">
        <v>451</v>
      </c>
      <c r="J413" s="3"/>
      <c r="K413" s="22" t="s">
        <v>452</v>
      </c>
      <c r="L413" s="3"/>
      <c r="M413" s="8"/>
      <c r="N413" s="3"/>
      <c r="O413" s="8" t="s">
        <v>902</v>
      </c>
      <c r="P413" s="3"/>
      <c r="Q413" s="3" t="s">
        <v>903</v>
      </c>
      <c r="R413" s="3"/>
    </row>
    <row r="414" spans="1:18">
      <c r="A414" s="14"/>
      <c r="B414" s="9"/>
      <c r="C414" s="10"/>
      <c r="D414" s="9"/>
      <c r="E414" s="9" t="str">
        <f t="shared" si="73"/>
        <v>DOLLY HWANG</v>
      </c>
      <c r="F414" s="9"/>
      <c r="G414" s="3"/>
      <c r="H414" s="8"/>
      <c r="I414" s="8"/>
      <c r="J414" s="3"/>
      <c r="K414" s="22" t="s">
        <v>453</v>
      </c>
      <c r="L414" s="3"/>
      <c r="M414" s="8"/>
      <c r="N414" s="3"/>
      <c r="O414" s="3"/>
      <c r="P414" s="3"/>
      <c r="Q414" s="20" t="s">
        <v>453</v>
      </c>
      <c r="R414" s="3"/>
    </row>
    <row r="415" spans="1:18">
      <c r="A415" s="14"/>
      <c r="B415" s="9"/>
      <c r="C415" s="10"/>
      <c r="D415" s="9"/>
      <c r="E415" s="9" t="str">
        <f t="shared" si="73"/>
        <v>HAEHOON LEE</v>
      </c>
      <c r="F415" s="9"/>
      <c r="G415" s="3"/>
      <c r="H415" s="8"/>
      <c r="I415" s="8"/>
      <c r="J415" s="3"/>
      <c r="K415" s="24" t="s">
        <v>454</v>
      </c>
      <c r="L415" s="3"/>
      <c r="M415" s="8"/>
      <c r="N415" s="3"/>
      <c r="O415" s="3"/>
      <c r="P415" s="3"/>
      <c r="Q415" s="3" t="s">
        <v>904</v>
      </c>
      <c r="R415" s="3"/>
    </row>
    <row r="416" spans="1:18">
      <c r="A416" s="14"/>
      <c r="B416" s="9"/>
      <c r="C416" s="10"/>
      <c r="D416" s="9"/>
      <c r="E416" s="9" t="str">
        <f t="shared" si="73"/>
        <v>SOYOUNG KWON</v>
      </c>
      <c r="F416" s="9"/>
      <c r="G416" s="3"/>
      <c r="H416" s="8"/>
      <c r="I416" s="8"/>
      <c r="J416" s="3"/>
      <c r="K416" s="22" t="s">
        <v>455</v>
      </c>
      <c r="L416" s="3"/>
      <c r="M416" s="8"/>
      <c r="N416" s="8"/>
      <c r="O416" s="8"/>
      <c r="P416" s="3"/>
      <c r="Q416" s="3" t="s">
        <v>905</v>
      </c>
      <c r="R416" s="3"/>
    </row>
    <row r="417" spans="1:18">
      <c r="A417" s="14"/>
      <c r="B417" s="9"/>
      <c r="C417" s="10"/>
      <c r="D417" s="9"/>
      <c r="E417" s="9" t="str">
        <f t="shared" si="73"/>
        <v>BUMPIZ</v>
      </c>
      <c r="F417" s="9"/>
      <c r="G417" s="3"/>
      <c r="H417" s="8"/>
      <c r="I417" s="8"/>
      <c r="J417" s="3"/>
      <c r="K417" s="22" t="s">
        <v>456</v>
      </c>
      <c r="L417" s="3"/>
      <c r="M417" s="8"/>
      <c r="N417" s="8"/>
      <c r="O417" s="21"/>
      <c r="P417" s="3"/>
      <c r="Q417" s="3" t="s">
        <v>456</v>
      </c>
      <c r="R417" s="3"/>
    </row>
    <row r="418" spans="1:18">
      <c r="A418" s="14"/>
      <c r="B418" s="9"/>
      <c r="C418" s="10"/>
      <c r="D418" s="9"/>
      <c r="E418" s="9" t="str">
        <f t="shared" si="73"/>
        <v>YEONGHUN YUN</v>
      </c>
      <c r="F418" s="9"/>
      <c r="G418" s="3"/>
      <c r="H418" s="8"/>
      <c r="I418" s="8"/>
      <c r="J418" s="3"/>
      <c r="K418" s="22" t="s">
        <v>457</v>
      </c>
      <c r="L418" s="3"/>
      <c r="M418" s="8"/>
      <c r="N418" s="8"/>
      <c r="O418" s="21"/>
      <c r="P418" s="3"/>
      <c r="Q418" s="3" t="s">
        <v>906</v>
      </c>
      <c r="R418" s="3"/>
    </row>
    <row r="419" spans="1:18">
      <c r="A419" s="14"/>
      <c r="B419" s="9"/>
      <c r="C419" s="10"/>
      <c r="D419" s="9"/>
      <c r="E419" s="9" t="str">
        <f t="shared" si="73"/>
        <v>JIAE YU</v>
      </c>
      <c r="F419" s="9"/>
      <c r="G419" s="3"/>
      <c r="H419" s="8"/>
      <c r="I419" s="8"/>
      <c r="J419" s="3"/>
      <c r="K419" s="22" t="s">
        <v>458</v>
      </c>
      <c r="L419" s="3"/>
      <c r="M419" s="8"/>
      <c r="N419" s="8"/>
      <c r="O419" s="21"/>
      <c r="P419" s="3"/>
      <c r="Q419" s="3" t="s">
        <v>907</v>
      </c>
      <c r="R419" s="3"/>
    </row>
    <row r="420" spans="1:18">
      <c r="A420" s="14"/>
      <c r="B420" s="9"/>
      <c r="C420" s="9"/>
      <c r="D420" s="9"/>
      <c r="E420" s="9" t="str">
        <f t="shared" si="73"/>
        <v/>
      </c>
      <c r="F420" s="9"/>
      <c r="G420" s="3"/>
      <c r="H420" s="8"/>
      <c r="I420" s="8"/>
      <c r="J420" s="3"/>
      <c r="K420" s="22"/>
      <c r="L420" s="3"/>
      <c r="M420" s="8"/>
      <c r="N420" s="8"/>
      <c r="O420" s="8"/>
      <c r="P420" s="3"/>
      <c r="Q420" s="3"/>
      <c r="R420" s="3"/>
    </row>
    <row r="421" spans="1:18">
      <c r="A421" s="14"/>
      <c r="B421" s="11"/>
      <c r="C421" s="11"/>
      <c r="D421" s="11"/>
      <c r="E421" s="11"/>
      <c r="F421" s="11"/>
      <c r="G421" s="3"/>
      <c r="H421" s="8"/>
      <c r="I421" s="8"/>
      <c r="J421" s="3"/>
      <c r="K421" s="3"/>
      <c r="L421" s="3"/>
      <c r="M421" s="8"/>
      <c r="N421" s="8"/>
      <c r="O421" s="8"/>
      <c r="P421" s="3"/>
      <c r="Q421" s="3"/>
      <c r="R421" s="3"/>
    </row>
    <row r="422" spans="1:18">
      <c r="A422" s="14"/>
      <c r="B422" s="6"/>
      <c r="C422" s="6"/>
      <c r="D422" s="6"/>
      <c r="E422" s="6"/>
      <c r="F422" s="6"/>
      <c r="G422" s="3"/>
      <c r="H422" s="74"/>
      <c r="I422" s="5"/>
      <c r="J422" s="5"/>
      <c r="K422" s="5"/>
      <c r="L422" s="74"/>
      <c r="M422" s="8"/>
      <c r="N422" s="8"/>
      <c r="O422" s="8"/>
      <c r="P422" s="3"/>
      <c r="Q422" s="3"/>
      <c r="R422" s="3"/>
    </row>
    <row r="423" spans="1:18">
      <c r="A423" s="14"/>
      <c r="B423" s="150" t="str">
        <f t="shared" ref="B423:B424" si="74">UPPER(H423)</f>
        <v>POST PRODUCTION / ORIGINAL SCORES &amp; SONGS</v>
      </c>
      <c r="C423" s="141"/>
      <c r="D423" s="141"/>
      <c r="E423" s="141"/>
      <c r="F423" s="141"/>
      <c r="G423" s="28"/>
      <c r="H423" s="167" t="s">
        <v>435</v>
      </c>
      <c r="I423" s="141"/>
      <c r="J423" s="141"/>
      <c r="K423" s="141"/>
      <c r="L423" s="141"/>
      <c r="M423" s="29"/>
      <c r="N423" s="149" t="s">
        <v>888</v>
      </c>
      <c r="O423" s="141"/>
      <c r="P423" s="141"/>
      <c r="Q423" s="141"/>
      <c r="R423" s="141"/>
    </row>
    <row r="424" spans="1:18">
      <c r="A424" s="14"/>
      <c r="B424" s="146" t="str">
        <f t="shared" si="74"/>
        <v>RECORDING SESSION</v>
      </c>
      <c r="C424" s="141"/>
      <c r="D424" s="141"/>
      <c r="E424" s="141"/>
      <c r="F424" s="141"/>
      <c r="G424" s="3"/>
      <c r="H424" s="151" t="s">
        <v>459</v>
      </c>
      <c r="I424" s="141"/>
      <c r="J424" s="141"/>
      <c r="K424" s="141"/>
      <c r="L424" s="141"/>
      <c r="M424" s="8"/>
      <c r="N424" s="151" t="s">
        <v>908</v>
      </c>
      <c r="O424" s="141"/>
      <c r="P424" s="141"/>
      <c r="Q424" s="141"/>
      <c r="R424" s="141"/>
    </row>
    <row r="425" spans="1:18">
      <c r="A425" s="14"/>
      <c r="B425" s="9"/>
      <c r="C425" s="10" t="str">
        <f t="shared" ref="C425:C441" si="75">UPPER(I425)</f>
        <v/>
      </c>
      <c r="D425" s="9"/>
      <c r="E425" s="9" t="str">
        <f t="shared" ref="E425:E441" si="76">UPPER(K425)</f>
        <v/>
      </c>
      <c r="F425" s="9"/>
      <c r="G425" s="3"/>
      <c r="H425" s="3"/>
      <c r="I425" s="30"/>
      <c r="J425" s="14"/>
      <c r="K425" s="22"/>
      <c r="L425" s="3"/>
      <c r="M425" s="8"/>
      <c r="N425" s="3"/>
      <c r="O425" s="8"/>
      <c r="P425" s="3"/>
      <c r="Q425" s="3"/>
      <c r="R425" s="3"/>
    </row>
    <row r="426" spans="1:18">
      <c r="A426" s="14"/>
      <c r="B426" s="9"/>
      <c r="C426" s="10" t="str">
        <f t="shared" si="75"/>
        <v>GUITAR</v>
      </c>
      <c r="D426" s="9"/>
      <c r="E426" s="9" t="str">
        <f t="shared" si="76"/>
        <v>DOLLY HWANG</v>
      </c>
      <c r="F426" s="9"/>
      <c r="G426" s="3"/>
      <c r="H426" s="3"/>
      <c r="I426" s="30" t="s">
        <v>460</v>
      </c>
      <c r="J426" s="14"/>
      <c r="K426" s="22" t="s">
        <v>453</v>
      </c>
      <c r="L426" s="3"/>
      <c r="M426" s="8"/>
      <c r="N426" s="3"/>
      <c r="O426" s="8" t="s">
        <v>909</v>
      </c>
      <c r="P426" s="3"/>
      <c r="Q426" s="20" t="s">
        <v>453</v>
      </c>
      <c r="R426" s="3"/>
    </row>
    <row r="427" spans="1:18">
      <c r="A427" s="14"/>
      <c r="B427" s="9"/>
      <c r="C427" s="10" t="str">
        <f t="shared" si="75"/>
        <v/>
      </c>
      <c r="D427" s="9"/>
      <c r="E427" s="9" t="str">
        <f t="shared" si="76"/>
        <v>BUMPIZ</v>
      </c>
      <c r="F427" s="9"/>
      <c r="G427" s="3"/>
      <c r="H427" s="3"/>
      <c r="I427" s="30"/>
      <c r="J427" s="14"/>
      <c r="K427" s="22" t="s">
        <v>456</v>
      </c>
      <c r="L427" s="3"/>
      <c r="M427" s="8"/>
      <c r="N427" s="3"/>
      <c r="O427" s="8"/>
      <c r="P427" s="3"/>
      <c r="Q427" s="3" t="s">
        <v>456</v>
      </c>
      <c r="R427" s="3"/>
    </row>
    <row r="428" spans="1:18">
      <c r="A428" s="14"/>
      <c r="B428" s="9"/>
      <c r="C428" s="10" t="str">
        <f t="shared" si="75"/>
        <v/>
      </c>
      <c r="D428" s="9"/>
      <c r="E428" s="9" t="str">
        <f t="shared" si="76"/>
        <v/>
      </c>
      <c r="F428" s="9"/>
      <c r="G428" s="3"/>
      <c r="H428" s="3"/>
      <c r="I428" s="30"/>
      <c r="J428" s="14"/>
      <c r="K428" s="22"/>
      <c r="L428" s="3"/>
      <c r="M428" s="8"/>
      <c r="N428" s="3"/>
      <c r="O428" s="8"/>
      <c r="P428" s="3"/>
      <c r="Q428" s="3"/>
      <c r="R428" s="3"/>
    </row>
    <row r="429" spans="1:18">
      <c r="A429" s="14"/>
      <c r="B429" s="9"/>
      <c r="C429" s="10" t="str">
        <f t="shared" si="75"/>
        <v>BASS</v>
      </c>
      <c r="D429" s="9"/>
      <c r="E429" s="9" t="str">
        <f t="shared" si="76"/>
        <v>DOLLY HWANG</v>
      </c>
      <c r="F429" s="9"/>
      <c r="G429" s="3"/>
      <c r="H429" s="3"/>
      <c r="I429" s="30" t="s">
        <v>461</v>
      </c>
      <c r="J429" s="14"/>
      <c r="K429" s="22" t="s">
        <v>453</v>
      </c>
      <c r="L429" s="3"/>
      <c r="M429" s="8"/>
      <c r="N429" s="3"/>
      <c r="O429" s="8" t="s">
        <v>910</v>
      </c>
      <c r="P429" s="3"/>
      <c r="Q429" s="20" t="s">
        <v>453</v>
      </c>
      <c r="R429" s="3"/>
    </row>
    <row r="430" spans="1:18">
      <c r="A430" s="14"/>
      <c r="B430" s="9"/>
      <c r="C430" s="10" t="str">
        <f t="shared" si="75"/>
        <v/>
      </c>
      <c r="D430" s="9"/>
      <c r="E430" s="9" t="str">
        <f t="shared" si="76"/>
        <v>BUMPIZ</v>
      </c>
      <c r="F430" s="9"/>
      <c r="G430" s="3"/>
      <c r="H430" s="3"/>
      <c r="I430" s="24"/>
      <c r="J430" s="14"/>
      <c r="K430" s="22" t="s">
        <v>456</v>
      </c>
      <c r="L430" s="3"/>
      <c r="M430" s="8"/>
      <c r="N430" s="3"/>
      <c r="O430" s="3"/>
      <c r="P430" s="3"/>
      <c r="Q430" s="3" t="s">
        <v>456</v>
      </c>
      <c r="R430" s="3"/>
    </row>
    <row r="431" spans="1:18">
      <c r="A431" s="14"/>
      <c r="B431" s="9"/>
      <c r="C431" s="10" t="str">
        <f t="shared" si="75"/>
        <v/>
      </c>
      <c r="D431" s="9"/>
      <c r="E431" s="9" t="str">
        <f t="shared" si="76"/>
        <v/>
      </c>
      <c r="F431" s="9"/>
      <c r="G431" s="3"/>
      <c r="H431" s="3"/>
      <c r="I431" s="30"/>
      <c r="J431" s="14"/>
      <c r="K431" s="22"/>
      <c r="L431" s="3"/>
      <c r="M431" s="8"/>
      <c r="N431" s="3"/>
      <c r="O431" s="3"/>
      <c r="P431" s="3"/>
      <c r="Q431" s="3"/>
      <c r="R431" s="3"/>
    </row>
    <row r="432" spans="1:18">
      <c r="A432" s="14"/>
      <c r="B432" s="9"/>
      <c r="C432" s="10" t="str">
        <f t="shared" si="75"/>
        <v>KEYBOARD</v>
      </c>
      <c r="D432" s="9"/>
      <c r="E432" s="9" t="str">
        <f t="shared" si="76"/>
        <v>YOONHO KIM</v>
      </c>
      <c r="F432" s="9"/>
      <c r="G432" s="3"/>
      <c r="H432" s="3"/>
      <c r="I432" s="30" t="s">
        <v>462</v>
      </c>
      <c r="J432" s="14"/>
      <c r="K432" s="22" t="s">
        <v>448</v>
      </c>
      <c r="L432" s="3"/>
      <c r="M432" s="8"/>
      <c r="N432" s="3"/>
      <c r="O432" s="8" t="s">
        <v>911</v>
      </c>
      <c r="P432" s="3"/>
      <c r="Q432" s="3" t="s">
        <v>899</v>
      </c>
      <c r="R432" s="3"/>
    </row>
    <row r="433" spans="1:18">
      <c r="A433" s="14"/>
      <c r="B433" s="9"/>
      <c r="C433" s="10" t="str">
        <f t="shared" si="75"/>
        <v/>
      </c>
      <c r="D433" s="9"/>
      <c r="E433" s="9" t="str">
        <f t="shared" si="76"/>
        <v>SIEUN KIM</v>
      </c>
      <c r="F433" s="9"/>
      <c r="G433" s="3"/>
      <c r="H433" s="3"/>
      <c r="I433" s="44"/>
      <c r="J433" s="14"/>
      <c r="K433" s="22" t="s">
        <v>463</v>
      </c>
      <c r="L433" s="3"/>
      <c r="M433" s="8"/>
      <c r="N433" s="3"/>
      <c r="O433" s="3"/>
      <c r="P433" s="3"/>
      <c r="Q433" s="3" t="s">
        <v>901</v>
      </c>
      <c r="R433" s="3"/>
    </row>
    <row r="434" spans="1:18">
      <c r="A434" s="14"/>
      <c r="B434" s="9"/>
      <c r="C434" s="10" t="str">
        <f t="shared" si="75"/>
        <v/>
      </c>
      <c r="D434" s="9"/>
      <c r="E434" s="9" t="str">
        <f t="shared" si="76"/>
        <v>DOLLY HWANG</v>
      </c>
      <c r="F434" s="9"/>
      <c r="G434" s="3"/>
      <c r="H434" s="3"/>
      <c r="I434" s="44"/>
      <c r="J434" s="14"/>
      <c r="K434" s="22" t="s">
        <v>453</v>
      </c>
      <c r="L434" s="3"/>
      <c r="M434" s="8"/>
      <c r="N434" s="3"/>
      <c r="O434" s="3"/>
      <c r="P434" s="3"/>
      <c r="Q434" s="20" t="s">
        <v>453</v>
      </c>
      <c r="R434" s="3"/>
    </row>
    <row r="435" spans="1:18">
      <c r="A435" s="14"/>
      <c r="B435" s="9"/>
      <c r="C435" s="10" t="str">
        <f t="shared" si="75"/>
        <v/>
      </c>
      <c r="D435" s="9"/>
      <c r="E435" s="9" t="str">
        <f t="shared" si="76"/>
        <v>HAEHOON LEE</v>
      </c>
      <c r="F435" s="9"/>
      <c r="G435" s="3"/>
      <c r="H435" s="3"/>
      <c r="I435" s="44"/>
      <c r="J435" s="14"/>
      <c r="K435" s="22" t="s">
        <v>454</v>
      </c>
      <c r="L435" s="3"/>
      <c r="M435" s="8"/>
      <c r="N435" s="3"/>
      <c r="O435" s="3"/>
      <c r="P435" s="3"/>
      <c r="Q435" s="3" t="s">
        <v>904</v>
      </c>
      <c r="R435" s="3"/>
    </row>
    <row r="436" spans="1:18">
      <c r="A436" s="14"/>
      <c r="B436" s="9"/>
      <c r="C436" s="10" t="str">
        <f t="shared" si="75"/>
        <v/>
      </c>
      <c r="D436" s="9"/>
      <c r="E436" s="9" t="str">
        <f t="shared" si="76"/>
        <v>NAYEON LEE</v>
      </c>
      <c r="F436" s="9"/>
      <c r="G436" s="3"/>
      <c r="H436" s="3"/>
      <c r="I436" s="44"/>
      <c r="J436" s="14"/>
      <c r="K436" s="22" t="s">
        <v>452</v>
      </c>
      <c r="L436" s="3"/>
      <c r="M436" s="8"/>
      <c r="N436" s="3"/>
      <c r="O436" s="3"/>
      <c r="P436" s="3"/>
      <c r="Q436" s="3" t="s">
        <v>903</v>
      </c>
      <c r="R436" s="3"/>
    </row>
    <row r="437" spans="1:18">
      <c r="A437" s="14"/>
      <c r="B437" s="9"/>
      <c r="C437" s="10" t="str">
        <f t="shared" si="75"/>
        <v/>
      </c>
      <c r="D437" s="9"/>
      <c r="E437" s="9" t="str">
        <f t="shared" si="76"/>
        <v>BUMPIZ</v>
      </c>
      <c r="F437" s="9"/>
      <c r="G437" s="3"/>
      <c r="H437" s="3"/>
      <c r="I437" s="44"/>
      <c r="J437" s="14"/>
      <c r="K437" s="22" t="s">
        <v>456</v>
      </c>
      <c r="L437" s="3"/>
      <c r="M437" s="8"/>
      <c r="N437" s="3"/>
      <c r="O437" s="3"/>
      <c r="P437" s="3"/>
      <c r="Q437" s="3" t="s">
        <v>456</v>
      </c>
      <c r="R437" s="3"/>
    </row>
    <row r="438" spans="1:18">
      <c r="A438" s="14"/>
      <c r="B438" s="9"/>
      <c r="C438" s="10" t="str">
        <f t="shared" si="75"/>
        <v/>
      </c>
      <c r="D438" s="9"/>
      <c r="E438" s="9" t="str">
        <f t="shared" si="76"/>
        <v>YEONGHUN YUN</v>
      </c>
      <c r="F438" s="9"/>
      <c r="G438" s="3"/>
      <c r="H438" s="3"/>
      <c r="I438" s="44"/>
      <c r="J438" s="14"/>
      <c r="K438" s="22" t="s">
        <v>457</v>
      </c>
      <c r="L438" s="3"/>
      <c r="M438" s="8"/>
      <c r="N438" s="3"/>
      <c r="O438" s="3"/>
      <c r="P438" s="3"/>
      <c r="Q438" s="3" t="s">
        <v>906</v>
      </c>
      <c r="R438" s="3"/>
    </row>
    <row r="439" spans="1:18">
      <c r="A439" s="14"/>
      <c r="B439" s="9"/>
      <c r="C439" s="10" t="str">
        <f t="shared" si="75"/>
        <v/>
      </c>
      <c r="D439" s="9"/>
      <c r="E439" s="9" t="str">
        <f t="shared" si="76"/>
        <v>JIAE YU</v>
      </c>
      <c r="F439" s="9"/>
      <c r="G439" s="3"/>
      <c r="H439" s="3"/>
      <c r="I439" s="44"/>
      <c r="J439" s="14"/>
      <c r="K439" s="22" t="s">
        <v>458</v>
      </c>
      <c r="L439" s="3"/>
      <c r="M439" s="8"/>
      <c r="N439" s="3"/>
      <c r="O439" s="3"/>
      <c r="P439" s="3"/>
      <c r="Q439" s="3" t="s">
        <v>907</v>
      </c>
      <c r="R439" s="3"/>
    </row>
    <row r="440" spans="1:18">
      <c r="A440" s="14"/>
      <c r="B440" s="9"/>
      <c r="C440" s="10" t="str">
        <f t="shared" si="75"/>
        <v/>
      </c>
      <c r="D440" s="9"/>
      <c r="E440" s="9" t="str">
        <f t="shared" si="76"/>
        <v/>
      </c>
      <c r="F440" s="9"/>
      <c r="G440" s="3"/>
      <c r="H440" s="3"/>
      <c r="I440" s="44"/>
      <c r="J440" s="14"/>
      <c r="K440" s="14"/>
      <c r="L440" s="3"/>
      <c r="M440" s="8"/>
      <c r="N440" s="8"/>
      <c r="O440" s="8"/>
      <c r="P440" s="3"/>
      <c r="Q440" s="3"/>
      <c r="R440" s="3"/>
    </row>
    <row r="441" spans="1:18">
      <c r="A441" s="14"/>
      <c r="B441" s="11"/>
      <c r="C441" s="11" t="str">
        <f t="shared" si="75"/>
        <v/>
      </c>
      <c r="D441" s="11"/>
      <c r="E441" s="11" t="str">
        <f t="shared" si="76"/>
        <v/>
      </c>
      <c r="F441" s="11"/>
      <c r="G441" s="3"/>
      <c r="H441" s="3"/>
      <c r="I441" s="8"/>
      <c r="J441" s="3"/>
      <c r="K441" s="3"/>
      <c r="L441" s="3"/>
      <c r="M441" s="8"/>
      <c r="N441" s="8"/>
      <c r="O441" s="8"/>
      <c r="P441" s="3"/>
      <c r="Q441" s="3"/>
      <c r="R441" s="3"/>
    </row>
    <row r="442" spans="1:18">
      <c r="A442" s="14"/>
      <c r="B442" s="6"/>
      <c r="C442" s="6"/>
      <c r="D442" s="6"/>
      <c r="E442" s="6"/>
      <c r="F442" s="6"/>
      <c r="G442" s="3"/>
      <c r="H442" s="74"/>
      <c r="I442" s="5"/>
      <c r="J442" s="5"/>
      <c r="K442" s="5"/>
      <c r="L442" s="74"/>
      <c r="M442" s="8"/>
      <c r="N442" s="8"/>
      <c r="O442" s="8"/>
      <c r="P442" s="3"/>
      <c r="Q442" s="3"/>
      <c r="R442" s="3"/>
    </row>
    <row r="443" spans="1:18">
      <c r="A443" s="14"/>
      <c r="B443" s="150" t="str">
        <f t="shared" ref="B443:B444" si="77">UPPER(H443)</f>
        <v>POST PRODUCTION / ORIGINAL SCORES &amp; SONGS</v>
      </c>
      <c r="C443" s="141"/>
      <c r="D443" s="141"/>
      <c r="E443" s="141"/>
      <c r="F443" s="141"/>
      <c r="G443" s="28"/>
      <c r="H443" s="167" t="s">
        <v>435</v>
      </c>
      <c r="I443" s="141"/>
      <c r="J443" s="141"/>
      <c r="K443" s="141"/>
      <c r="L443" s="141"/>
      <c r="M443" s="8"/>
      <c r="N443" s="149" t="s">
        <v>888</v>
      </c>
      <c r="O443" s="141"/>
      <c r="P443" s="141"/>
      <c r="Q443" s="141"/>
      <c r="R443" s="141"/>
    </row>
    <row r="444" spans="1:18">
      <c r="A444" s="14"/>
      <c r="B444" s="146" t="str">
        <f t="shared" si="77"/>
        <v>RECORDING SESSION</v>
      </c>
      <c r="C444" s="141"/>
      <c r="D444" s="141"/>
      <c r="E444" s="141"/>
      <c r="F444" s="141"/>
      <c r="G444" s="3"/>
      <c r="H444" s="151" t="s">
        <v>459</v>
      </c>
      <c r="I444" s="141"/>
      <c r="J444" s="141"/>
      <c r="K444" s="141"/>
      <c r="L444" s="141"/>
      <c r="M444" s="8"/>
      <c r="N444" s="151" t="s">
        <v>912</v>
      </c>
      <c r="O444" s="141"/>
      <c r="P444" s="141"/>
      <c r="Q444" s="141"/>
      <c r="R444" s="141"/>
    </row>
    <row r="445" spans="1:18">
      <c r="A445" s="14"/>
      <c r="B445" s="9"/>
      <c r="C445" s="10" t="str">
        <f t="shared" ref="C445:C459" si="78">UPPER(I445)</f>
        <v/>
      </c>
      <c r="D445" s="9"/>
      <c r="E445" s="9" t="str">
        <f t="shared" ref="E445:E459" si="79">UPPER(K445)</f>
        <v/>
      </c>
      <c r="F445" s="9"/>
      <c r="G445" s="3"/>
      <c r="H445" s="3"/>
      <c r="I445" s="30"/>
      <c r="J445" s="14"/>
      <c r="K445" s="22"/>
      <c r="L445" s="3"/>
      <c r="M445" s="8"/>
      <c r="N445" s="8"/>
      <c r="O445" s="21"/>
      <c r="P445" s="3"/>
      <c r="Q445" s="3"/>
      <c r="R445" s="3"/>
    </row>
    <row r="446" spans="1:18">
      <c r="A446" s="14"/>
      <c r="B446" s="9"/>
      <c r="C446" s="10" t="str">
        <f t="shared" si="78"/>
        <v>MUSIC PROGRAMING</v>
      </c>
      <c r="D446" s="9"/>
      <c r="E446" s="9" t="str">
        <f t="shared" si="79"/>
        <v>YOONHO KIM</v>
      </c>
      <c r="F446" s="9"/>
      <c r="G446" s="3"/>
      <c r="H446" s="3"/>
      <c r="I446" s="30" t="s">
        <v>464</v>
      </c>
      <c r="J446" s="14"/>
      <c r="K446" s="22" t="s">
        <v>448</v>
      </c>
      <c r="L446" s="3"/>
      <c r="M446" s="8"/>
      <c r="N446" s="8"/>
      <c r="O446" s="36" t="s">
        <v>913</v>
      </c>
      <c r="P446" s="2"/>
      <c r="Q446" s="2" t="s">
        <v>899</v>
      </c>
      <c r="R446" s="3"/>
    </row>
    <row r="447" spans="1:18">
      <c r="A447" s="14"/>
      <c r="B447" s="9"/>
      <c r="C447" s="10" t="str">
        <f t="shared" si="78"/>
        <v/>
      </c>
      <c r="D447" s="9"/>
      <c r="E447" s="9" t="str">
        <f t="shared" si="79"/>
        <v>SIEUN KIM</v>
      </c>
      <c r="F447" s="9"/>
      <c r="G447" s="3"/>
      <c r="H447" s="3"/>
      <c r="I447" s="44"/>
      <c r="J447" s="14"/>
      <c r="K447" s="22" t="s">
        <v>463</v>
      </c>
      <c r="L447" s="3"/>
      <c r="M447" s="8"/>
      <c r="N447" s="8"/>
      <c r="O447" s="2"/>
      <c r="P447" s="2"/>
      <c r="Q447" s="3" t="s">
        <v>901</v>
      </c>
      <c r="R447" s="3"/>
    </row>
    <row r="448" spans="1:18">
      <c r="A448" s="14"/>
      <c r="B448" s="9"/>
      <c r="C448" s="10" t="str">
        <f t="shared" si="78"/>
        <v/>
      </c>
      <c r="D448" s="9"/>
      <c r="E448" s="9" t="str">
        <f t="shared" si="79"/>
        <v>HAEHOON LEE</v>
      </c>
      <c r="F448" s="9"/>
      <c r="G448" s="3"/>
      <c r="H448" s="3"/>
      <c r="I448" s="44"/>
      <c r="J448" s="14"/>
      <c r="K448" s="22" t="s">
        <v>454</v>
      </c>
      <c r="L448" s="3"/>
      <c r="M448" s="8"/>
      <c r="N448" s="8"/>
      <c r="O448" s="2"/>
      <c r="P448" s="2"/>
      <c r="Q448" s="3" t="s">
        <v>904</v>
      </c>
      <c r="R448" s="3"/>
    </row>
    <row r="449" spans="1:18">
      <c r="A449" s="14"/>
      <c r="B449" s="9"/>
      <c r="C449" s="10" t="str">
        <f t="shared" si="78"/>
        <v/>
      </c>
      <c r="D449" s="9"/>
      <c r="E449" s="9" t="str">
        <f t="shared" si="79"/>
        <v>DOLLY HWANG</v>
      </c>
      <c r="F449" s="9"/>
      <c r="G449" s="3"/>
      <c r="H449" s="3"/>
      <c r="I449" s="44"/>
      <c r="J449" s="14"/>
      <c r="K449" s="22" t="s">
        <v>453</v>
      </c>
      <c r="L449" s="3"/>
      <c r="M449" s="8"/>
      <c r="N449" s="8"/>
      <c r="O449" s="2"/>
      <c r="P449" s="2"/>
      <c r="Q449" s="20" t="s">
        <v>453</v>
      </c>
      <c r="R449" s="3"/>
    </row>
    <row r="450" spans="1:18">
      <c r="A450" s="14"/>
      <c r="B450" s="9"/>
      <c r="C450" s="10" t="str">
        <f t="shared" si="78"/>
        <v/>
      </c>
      <c r="D450" s="9"/>
      <c r="E450" s="9" t="str">
        <f t="shared" si="79"/>
        <v>NAYEON LEE</v>
      </c>
      <c r="F450" s="9"/>
      <c r="G450" s="3"/>
      <c r="H450" s="3"/>
      <c r="I450" s="44"/>
      <c r="J450" s="14"/>
      <c r="K450" s="22" t="s">
        <v>452</v>
      </c>
      <c r="L450" s="3"/>
      <c r="M450" s="8"/>
      <c r="N450" s="8"/>
      <c r="O450" s="2"/>
      <c r="P450" s="2"/>
      <c r="Q450" s="3" t="s">
        <v>903</v>
      </c>
      <c r="R450" s="3"/>
    </row>
    <row r="451" spans="1:18">
      <c r="A451" s="14"/>
      <c r="B451" s="9"/>
      <c r="C451" s="10" t="str">
        <f t="shared" si="78"/>
        <v/>
      </c>
      <c r="D451" s="9"/>
      <c r="E451" s="9" t="str">
        <f t="shared" si="79"/>
        <v>BUMPIZ</v>
      </c>
      <c r="F451" s="9"/>
      <c r="G451" s="3"/>
      <c r="H451" s="3"/>
      <c r="I451" s="44"/>
      <c r="J451" s="14"/>
      <c r="K451" s="22" t="s">
        <v>456</v>
      </c>
      <c r="L451" s="3"/>
      <c r="M451" s="8"/>
      <c r="N451" s="8"/>
      <c r="O451" s="2"/>
      <c r="P451" s="2"/>
      <c r="Q451" s="3" t="s">
        <v>456</v>
      </c>
      <c r="R451" s="3"/>
    </row>
    <row r="452" spans="1:18">
      <c r="A452" s="14"/>
      <c r="B452" s="9"/>
      <c r="C452" s="10" t="str">
        <f t="shared" si="78"/>
        <v/>
      </c>
      <c r="D452" s="9"/>
      <c r="E452" s="9" t="str">
        <f t="shared" si="79"/>
        <v>SOYOUNG KWON</v>
      </c>
      <c r="F452" s="9"/>
      <c r="G452" s="3"/>
      <c r="H452" s="3"/>
      <c r="I452" s="44"/>
      <c r="J452" s="14"/>
      <c r="K452" s="22" t="s">
        <v>455</v>
      </c>
      <c r="L452" s="3"/>
      <c r="M452" s="8"/>
      <c r="N452" s="8"/>
      <c r="O452" s="36"/>
      <c r="P452" s="2"/>
      <c r="Q452" s="2" t="s">
        <v>905</v>
      </c>
      <c r="R452" s="3"/>
    </row>
    <row r="453" spans="1:18">
      <c r="A453" s="14"/>
      <c r="B453" s="9"/>
      <c r="C453" s="10" t="str">
        <f t="shared" si="78"/>
        <v/>
      </c>
      <c r="D453" s="9"/>
      <c r="E453" s="9" t="str">
        <f t="shared" si="79"/>
        <v/>
      </c>
      <c r="F453" s="9"/>
      <c r="G453" s="3"/>
      <c r="H453" s="3"/>
      <c r="I453" s="44"/>
      <c r="J453" s="14"/>
      <c r="K453" s="22"/>
      <c r="L453" s="3"/>
      <c r="M453" s="8"/>
      <c r="N453" s="8"/>
      <c r="O453" s="36"/>
      <c r="P453" s="2"/>
      <c r="Q453" s="2"/>
      <c r="R453" s="3"/>
    </row>
    <row r="454" spans="1:18">
      <c r="A454" s="14"/>
      <c r="B454" s="9"/>
      <c r="C454" s="10" t="str">
        <f t="shared" si="78"/>
        <v>RECORDING STUDIO</v>
      </c>
      <c r="D454" s="9"/>
      <c r="E454" s="9" t="str">
        <f t="shared" si="79"/>
        <v>DOONG SOUND</v>
      </c>
      <c r="F454" s="9"/>
      <c r="G454" s="3"/>
      <c r="H454" s="3"/>
      <c r="I454" s="30" t="s">
        <v>465</v>
      </c>
      <c r="J454" s="14"/>
      <c r="K454" s="22" t="s">
        <v>437</v>
      </c>
      <c r="L454" s="3"/>
      <c r="M454" s="8"/>
      <c r="N454" s="8"/>
      <c r="O454" s="36" t="s">
        <v>882</v>
      </c>
      <c r="P454" s="2"/>
      <c r="Q454" s="2" t="s">
        <v>883</v>
      </c>
      <c r="R454" s="3"/>
    </row>
    <row r="455" spans="1:18">
      <c r="A455" s="14"/>
      <c r="B455" s="9"/>
      <c r="C455" s="10" t="str">
        <f t="shared" si="78"/>
        <v/>
      </c>
      <c r="D455" s="9"/>
      <c r="E455" s="9" t="str">
        <f t="shared" si="79"/>
        <v/>
      </c>
      <c r="F455" s="9"/>
      <c r="G455" s="3"/>
      <c r="H455" s="3"/>
      <c r="I455" s="30"/>
      <c r="J455" s="14"/>
      <c r="K455" s="22"/>
      <c r="L455" s="3"/>
      <c r="M455" s="8"/>
      <c r="N455" s="8"/>
      <c r="O455" s="36"/>
      <c r="P455" s="2"/>
      <c r="Q455" s="2"/>
      <c r="R455" s="3"/>
    </row>
    <row r="456" spans="1:18">
      <c r="A456" s="14"/>
      <c r="B456" s="9"/>
      <c r="C456" s="10" t="str">
        <f t="shared" si="78"/>
        <v>RECORDING ENGINEER</v>
      </c>
      <c r="D456" s="9"/>
      <c r="E456" s="9" t="str">
        <f t="shared" si="79"/>
        <v>HYEJEONG HWANG</v>
      </c>
      <c r="F456" s="9"/>
      <c r="G456" s="3"/>
      <c r="H456" s="3"/>
      <c r="I456" s="30" t="s">
        <v>427</v>
      </c>
      <c r="J456" s="14"/>
      <c r="K456" s="22" t="s">
        <v>441</v>
      </c>
      <c r="L456" s="3"/>
      <c r="M456" s="8"/>
      <c r="N456" s="8"/>
      <c r="O456" s="36" t="s">
        <v>886</v>
      </c>
      <c r="P456" s="2"/>
      <c r="Q456" s="2" t="s">
        <v>885</v>
      </c>
      <c r="R456" s="3"/>
    </row>
    <row r="457" spans="1:18">
      <c r="A457" s="14"/>
      <c r="B457" s="9"/>
      <c r="C457" s="10" t="str">
        <f t="shared" si="78"/>
        <v/>
      </c>
      <c r="D457" s="9"/>
      <c r="E457" s="9" t="str">
        <f t="shared" si="79"/>
        <v>Q6</v>
      </c>
      <c r="F457" s="9"/>
      <c r="G457" s="3"/>
      <c r="H457" s="3"/>
      <c r="I457" s="44"/>
      <c r="J457" s="14"/>
      <c r="K457" s="22" t="s">
        <v>466</v>
      </c>
      <c r="L457" s="3"/>
      <c r="M457" s="8"/>
      <c r="N457" s="8"/>
      <c r="O457" s="2"/>
      <c r="P457" s="2"/>
      <c r="Q457" s="2" t="s">
        <v>466</v>
      </c>
      <c r="R457" s="3"/>
    </row>
    <row r="458" spans="1:18">
      <c r="A458" s="14"/>
      <c r="B458" s="9"/>
      <c r="C458" s="10" t="str">
        <f t="shared" si="78"/>
        <v/>
      </c>
      <c r="D458" s="9"/>
      <c r="E458" s="9" t="str">
        <f t="shared" si="79"/>
        <v>BUMPIZ</v>
      </c>
      <c r="F458" s="9"/>
      <c r="G458" s="3"/>
      <c r="H458" s="3"/>
      <c r="I458" s="44"/>
      <c r="J458" s="14"/>
      <c r="K458" s="22" t="s">
        <v>456</v>
      </c>
      <c r="L458" s="3"/>
      <c r="M458" s="8"/>
      <c r="N458" s="8"/>
      <c r="O458" s="2"/>
      <c r="P458" s="2"/>
      <c r="Q458" s="2" t="s">
        <v>456</v>
      </c>
      <c r="R458" s="3"/>
    </row>
    <row r="459" spans="1:18">
      <c r="A459" s="14"/>
      <c r="B459" s="9"/>
      <c r="C459" s="9" t="str">
        <f t="shared" si="78"/>
        <v/>
      </c>
      <c r="D459" s="9"/>
      <c r="E459" s="9" t="str">
        <f t="shared" si="79"/>
        <v/>
      </c>
      <c r="F459" s="9"/>
      <c r="G459" s="3"/>
      <c r="H459" s="3"/>
      <c r="I459" s="8"/>
      <c r="J459" s="3"/>
      <c r="K459" s="3"/>
      <c r="L459" s="3"/>
      <c r="M459" s="8"/>
      <c r="N459" s="8"/>
      <c r="O459" s="8"/>
      <c r="P459" s="3"/>
      <c r="Q459" s="3"/>
      <c r="R459" s="3"/>
    </row>
    <row r="460" spans="1:18">
      <c r="A460" s="14"/>
      <c r="B460" s="11"/>
      <c r="C460" s="11"/>
      <c r="D460" s="11"/>
      <c r="E460" s="11"/>
      <c r="F460" s="11"/>
      <c r="G460" s="3"/>
      <c r="H460" s="3"/>
      <c r="I460" s="8"/>
      <c r="J460" s="3"/>
      <c r="K460" s="3"/>
      <c r="L460" s="3"/>
      <c r="M460" s="8"/>
      <c r="N460" s="8"/>
      <c r="O460" s="8"/>
      <c r="P460" s="3"/>
      <c r="Q460" s="3"/>
      <c r="R460" s="3"/>
    </row>
    <row r="461" spans="1:18">
      <c r="A461" s="14"/>
      <c r="B461" s="6"/>
      <c r="C461" s="6"/>
      <c r="D461" s="6"/>
      <c r="E461" s="6"/>
      <c r="F461" s="6"/>
      <c r="G461" s="3"/>
      <c r="H461" s="74"/>
      <c r="I461" s="5"/>
      <c r="J461" s="5"/>
      <c r="K461" s="5"/>
      <c r="L461" s="74"/>
      <c r="M461" s="8"/>
      <c r="N461" s="8"/>
      <c r="O461" s="8"/>
      <c r="P461" s="3"/>
      <c r="Q461" s="3"/>
      <c r="R461" s="3"/>
    </row>
    <row r="462" spans="1:18">
      <c r="A462" s="14"/>
      <c r="B462" s="150" t="str">
        <f t="shared" ref="B462:B464" si="80">UPPER(H462)</f>
        <v>POST PRODUCTION / ORIGINAL SCORES &amp; SONGS</v>
      </c>
      <c r="C462" s="141"/>
      <c r="D462" s="141"/>
      <c r="E462" s="141"/>
      <c r="F462" s="141"/>
      <c r="G462" s="28"/>
      <c r="H462" s="167" t="s">
        <v>435</v>
      </c>
      <c r="I462" s="141"/>
      <c r="J462" s="141"/>
      <c r="K462" s="141"/>
      <c r="L462" s="141"/>
      <c r="M462" s="29"/>
      <c r="N462" s="161" t="s">
        <v>888</v>
      </c>
      <c r="O462" s="141"/>
      <c r="P462" s="141"/>
      <c r="Q462" s="141"/>
      <c r="R462" s="141"/>
    </row>
    <row r="463" spans="1:18">
      <c r="A463" s="14"/>
      <c r="B463" s="146" t="str">
        <f t="shared" si="80"/>
        <v>WE R THE HEROES</v>
      </c>
      <c r="C463" s="141"/>
      <c r="D463" s="141"/>
      <c r="E463" s="141"/>
      <c r="F463" s="141"/>
      <c r="G463" s="3"/>
      <c r="H463" s="151" t="s">
        <v>467</v>
      </c>
      <c r="I463" s="141"/>
      <c r="J463" s="141"/>
      <c r="K463" s="141"/>
      <c r="L463" s="141"/>
      <c r="M463" s="8"/>
      <c r="N463" s="159" t="s">
        <v>467</v>
      </c>
      <c r="O463" s="141"/>
      <c r="P463" s="141"/>
      <c r="Q463" s="141"/>
      <c r="R463" s="141"/>
    </row>
    <row r="464" spans="1:18">
      <c r="A464" s="14"/>
      <c r="B464" s="158" t="str">
        <f t="shared" si="80"/>
        <v>OPENING SONG</v>
      </c>
      <c r="C464" s="141"/>
      <c r="D464" s="141"/>
      <c r="E464" s="141"/>
      <c r="F464" s="141"/>
      <c r="G464" s="3"/>
      <c r="H464" s="170" t="s">
        <v>468</v>
      </c>
      <c r="I464" s="141"/>
      <c r="J464" s="141"/>
      <c r="K464" s="141"/>
      <c r="L464" s="141"/>
      <c r="M464" s="8"/>
      <c r="N464" s="160" t="s">
        <v>914</v>
      </c>
      <c r="O464" s="141"/>
      <c r="P464" s="141"/>
      <c r="Q464" s="141"/>
      <c r="R464" s="141"/>
    </row>
    <row r="465" spans="1:18">
      <c r="A465" s="14"/>
      <c r="B465" s="9"/>
      <c r="C465" s="10" t="str">
        <f t="shared" ref="C465:C473" si="81">UPPER(I465)</f>
        <v>COMPOSER &amp; ARRANGER</v>
      </c>
      <c r="D465" s="9"/>
      <c r="E465" s="9" t="str">
        <f t="shared" ref="E465:E473" si="82">UPPER(K465)</f>
        <v>DOLLY HWANG</v>
      </c>
      <c r="F465" s="9"/>
      <c r="G465" s="3"/>
      <c r="H465" s="8"/>
      <c r="I465" s="8" t="s">
        <v>469</v>
      </c>
      <c r="J465" s="3"/>
      <c r="K465" s="3" t="s">
        <v>453</v>
      </c>
      <c r="L465" s="3"/>
      <c r="M465" s="8"/>
      <c r="N465" s="2"/>
      <c r="O465" s="36" t="s">
        <v>915</v>
      </c>
      <c r="P465" s="2"/>
      <c r="Q465" s="2" t="s">
        <v>453</v>
      </c>
      <c r="R465" s="2"/>
    </row>
    <row r="466" spans="1:18">
      <c r="A466" s="14"/>
      <c r="B466" s="9"/>
      <c r="C466" s="10" t="str">
        <f t="shared" si="81"/>
        <v>LYRICS</v>
      </c>
      <c r="D466" s="9"/>
      <c r="E466" s="9" t="str">
        <f t="shared" si="82"/>
        <v>DOLLY HWANG</v>
      </c>
      <c r="F466" s="9"/>
      <c r="G466" s="3"/>
      <c r="H466" s="8"/>
      <c r="I466" s="8" t="s">
        <v>470</v>
      </c>
      <c r="J466" s="3"/>
      <c r="K466" s="3" t="s">
        <v>453</v>
      </c>
      <c r="L466" s="3"/>
      <c r="M466" s="8"/>
      <c r="N466" s="2"/>
      <c r="O466" s="36" t="s">
        <v>916</v>
      </c>
      <c r="P466" s="2"/>
      <c r="Q466" s="2" t="s">
        <v>453</v>
      </c>
      <c r="R466" s="2"/>
    </row>
    <row r="467" spans="1:18">
      <c r="A467" s="14"/>
      <c r="B467" s="9"/>
      <c r="C467" s="10" t="str">
        <f t="shared" si="81"/>
        <v/>
      </c>
      <c r="D467" s="9"/>
      <c r="E467" s="9" t="str">
        <f t="shared" si="82"/>
        <v/>
      </c>
      <c r="F467" s="9"/>
      <c r="G467" s="3"/>
      <c r="H467" s="171"/>
      <c r="I467" s="141"/>
      <c r="J467" s="141"/>
      <c r="K467" s="141"/>
      <c r="L467" s="141"/>
      <c r="M467" s="8"/>
      <c r="N467" s="2"/>
      <c r="O467" s="2"/>
      <c r="P467" s="2"/>
      <c r="Q467" s="2"/>
      <c r="R467" s="2"/>
    </row>
    <row r="468" spans="1:18">
      <c r="A468" s="14"/>
      <c r="B468" s="9"/>
      <c r="C468" s="10" t="str">
        <f t="shared" si="81"/>
        <v>VOCAL</v>
      </c>
      <c r="D468" s="9"/>
      <c r="E468" s="9" t="str">
        <f t="shared" si="82"/>
        <v>DOLLY HWANG</v>
      </c>
      <c r="F468" s="9"/>
      <c r="G468" s="3"/>
      <c r="H468" s="8"/>
      <c r="I468" s="8" t="s">
        <v>471</v>
      </c>
      <c r="J468" s="3"/>
      <c r="K468" s="3" t="s">
        <v>453</v>
      </c>
      <c r="L468" s="3"/>
      <c r="M468" s="8"/>
      <c r="N468" s="2"/>
      <c r="O468" s="36" t="s">
        <v>917</v>
      </c>
      <c r="P468" s="2"/>
      <c r="Q468" s="2" t="s">
        <v>453</v>
      </c>
      <c r="R468" s="2"/>
    </row>
    <row r="469" spans="1:18">
      <c r="A469" s="14"/>
      <c r="B469" s="9"/>
      <c r="C469" s="10" t="str">
        <f t="shared" si="81"/>
        <v>GUITAR</v>
      </c>
      <c r="D469" s="9"/>
      <c r="E469" s="9" t="str">
        <f t="shared" si="82"/>
        <v>DOLLY HWANG</v>
      </c>
      <c r="F469" s="9"/>
      <c r="G469" s="3"/>
      <c r="H469" s="8"/>
      <c r="I469" s="8" t="s">
        <v>460</v>
      </c>
      <c r="J469" s="3"/>
      <c r="K469" s="3" t="s">
        <v>453</v>
      </c>
      <c r="L469" s="3"/>
      <c r="M469" s="8"/>
      <c r="N469" s="2"/>
      <c r="O469" s="36" t="s">
        <v>909</v>
      </c>
      <c r="P469" s="2"/>
      <c r="Q469" s="2" t="s">
        <v>453</v>
      </c>
      <c r="R469" s="2"/>
    </row>
    <row r="470" spans="1:18">
      <c r="A470" s="14"/>
      <c r="B470" s="9"/>
      <c r="C470" s="10" t="str">
        <f t="shared" si="81"/>
        <v>BASS</v>
      </c>
      <c r="D470" s="9"/>
      <c r="E470" s="9" t="str">
        <f t="shared" si="82"/>
        <v>DOLLY HWANG</v>
      </c>
      <c r="F470" s="9"/>
      <c r="G470" s="3"/>
      <c r="H470" s="8"/>
      <c r="I470" s="8" t="s">
        <v>461</v>
      </c>
      <c r="J470" s="3"/>
      <c r="K470" s="3" t="s">
        <v>453</v>
      </c>
      <c r="L470" s="3"/>
      <c r="M470" s="8"/>
      <c r="N470" s="2"/>
      <c r="O470" s="36" t="s">
        <v>910</v>
      </c>
      <c r="P470" s="2"/>
      <c r="Q470" s="2" t="s">
        <v>453</v>
      </c>
      <c r="R470" s="2"/>
    </row>
    <row r="471" spans="1:18">
      <c r="A471" s="14"/>
      <c r="B471" s="9"/>
      <c r="C471" s="10" t="str">
        <f t="shared" si="81"/>
        <v>RECORDING STUDIO</v>
      </c>
      <c r="D471" s="9"/>
      <c r="E471" s="9" t="str">
        <f t="shared" si="82"/>
        <v>PURPLE MOON</v>
      </c>
      <c r="F471" s="9"/>
      <c r="G471" s="3"/>
      <c r="H471" s="8"/>
      <c r="I471" s="8" t="s">
        <v>465</v>
      </c>
      <c r="J471" s="3"/>
      <c r="K471" s="3" t="s">
        <v>472</v>
      </c>
      <c r="L471" s="3"/>
      <c r="M471" s="8"/>
      <c r="N471" s="2"/>
      <c r="O471" s="36" t="s">
        <v>882</v>
      </c>
      <c r="P471" s="2"/>
      <c r="Q471" s="2" t="s">
        <v>472</v>
      </c>
      <c r="R471" s="2"/>
    </row>
    <row r="472" spans="1:18">
      <c r="A472" s="14"/>
      <c r="B472" s="9"/>
      <c r="C472" s="10" t="str">
        <f t="shared" si="81"/>
        <v>RECORDING ENGINEER</v>
      </c>
      <c r="D472" s="9"/>
      <c r="E472" s="9" t="str">
        <f t="shared" si="82"/>
        <v>DOLLY HWANG</v>
      </c>
      <c r="F472" s="9"/>
      <c r="G472" s="3"/>
      <c r="H472" s="8"/>
      <c r="I472" s="8" t="s">
        <v>427</v>
      </c>
      <c r="J472" s="3"/>
      <c r="K472" s="3" t="s">
        <v>453</v>
      </c>
      <c r="L472" s="3"/>
      <c r="M472" s="8"/>
      <c r="N472" s="2"/>
      <c r="O472" s="36" t="s">
        <v>886</v>
      </c>
      <c r="P472" s="2"/>
      <c r="Q472" s="2" t="s">
        <v>453</v>
      </c>
      <c r="R472" s="2"/>
    </row>
    <row r="473" spans="1:18">
      <c r="A473" s="14"/>
      <c r="B473" s="9"/>
      <c r="C473" s="9" t="str">
        <f t="shared" si="81"/>
        <v/>
      </c>
      <c r="D473" s="9"/>
      <c r="E473" s="9" t="str">
        <f t="shared" si="82"/>
        <v/>
      </c>
      <c r="F473" s="9"/>
      <c r="G473" s="3"/>
      <c r="H473" s="8"/>
      <c r="I473" s="8"/>
      <c r="J473" s="3"/>
      <c r="K473" s="3"/>
      <c r="L473" s="3"/>
      <c r="M473" s="8"/>
      <c r="N473" s="2"/>
      <c r="O473" s="2"/>
      <c r="P473" s="2"/>
      <c r="Q473" s="2"/>
      <c r="R473" s="2"/>
    </row>
    <row r="474" spans="1:18">
      <c r="A474" s="14"/>
      <c r="B474" s="146" t="str">
        <f t="shared" ref="B474:B475" si="83">UPPER(H474)</f>
        <v>TEENAGE DREAMING</v>
      </c>
      <c r="C474" s="141"/>
      <c r="D474" s="141"/>
      <c r="E474" s="141"/>
      <c r="F474" s="141"/>
      <c r="G474" s="3"/>
      <c r="H474" s="161" t="s">
        <v>473</v>
      </c>
      <c r="I474" s="141"/>
      <c r="J474" s="141"/>
      <c r="K474" s="141"/>
      <c r="L474" s="141"/>
      <c r="M474" s="8"/>
      <c r="N474" s="161" t="s">
        <v>473</v>
      </c>
      <c r="O474" s="141"/>
      <c r="P474" s="141"/>
      <c r="Q474" s="141"/>
      <c r="R474" s="141"/>
    </row>
    <row r="475" spans="1:18">
      <c r="A475" s="14"/>
      <c r="B475" s="158" t="str">
        <f t="shared" si="83"/>
        <v>ENDING SONG</v>
      </c>
      <c r="C475" s="141"/>
      <c r="D475" s="141"/>
      <c r="E475" s="141"/>
      <c r="F475" s="141"/>
      <c r="G475" s="3"/>
      <c r="H475" s="162" t="s">
        <v>474</v>
      </c>
      <c r="I475" s="141"/>
      <c r="J475" s="141"/>
      <c r="K475" s="141"/>
      <c r="L475" s="141"/>
      <c r="M475" s="8"/>
      <c r="N475" s="162" t="s">
        <v>918</v>
      </c>
      <c r="O475" s="141"/>
      <c r="P475" s="141"/>
      <c r="Q475" s="141"/>
      <c r="R475" s="141"/>
    </row>
    <row r="476" spans="1:18">
      <c r="A476" s="14"/>
      <c r="B476" s="9"/>
      <c r="C476" s="10" t="str">
        <f t="shared" ref="C476:C483" si="84">UPPER(I476)</f>
        <v>COMPOSER &amp; ARRANGER</v>
      </c>
      <c r="D476" s="9"/>
      <c r="E476" s="9" t="str">
        <f t="shared" ref="E476:E483" si="85">UPPER(K476)</f>
        <v>DOLLY HWANG</v>
      </c>
      <c r="F476" s="9"/>
      <c r="G476" s="3"/>
      <c r="H476" s="55"/>
      <c r="I476" s="36" t="s">
        <v>469</v>
      </c>
      <c r="J476" s="55"/>
      <c r="K476" s="2" t="s">
        <v>453</v>
      </c>
      <c r="L476" s="55"/>
      <c r="M476" s="8"/>
      <c r="N476" s="2"/>
      <c r="O476" s="36" t="s">
        <v>915</v>
      </c>
      <c r="P476" s="2"/>
      <c r="Q476" s="2" t="s">
        <v>453</v>
      </c>
      <c r="R476" s="2"/>
    </row>
    <row r="477" spans="1:18">
      <c r="A477" s="14"/>
      <c r="B477" s="9"/>
      <c r="C477" s="10" t="str">
        <f t="shared" si="84"/>
        <v>LYRICS</v>
      </c>
      <c r="D477" s="9"/>
      <c r="E477" s="9" t="str">
        <f t="shared" si="85"/>
        <v>PAUL Y. KIM</v>
      </c>
      <c r="F477" s="9"/>
      <c r="G477" s="3"/>
      <c r="H477" s="55"/>
      <c r="I477" s="36" t="s">
        <v>470</v>
      </c>
      <c r="J477" s="55"/>
      <c r="K477" s="2" t="s">
        <v>475</v>
      </c>
      <c r="L477" s="55"/>
      <c r="M477" s="8"/>
      <c r="N477" s="2"/>
      <c r="O477" s="36" t="s">
        <v>916</v>
      </c>
      <c r="P477" s="2"/>
      <c r="Q477" s="2" t="s">
        <v>475</v>
      </c>
      <c r="R477" s="2"/>
    </row>
    <row r="478" spans="1:18">
      <c r="A478" s="14"/>
      <c r="B478" s="9"/>
      <c r="C478" s="10" t="str">
        <f t="shared" si="84"/>
        <v/>
      </c>
      <c r="D478" s="9"/>
      <c r="E478" s="9" t="str">
        <f t="shared" si="85"/>
        <v/>
      </c>
      <c r="F478" s="9"/>
      <c r="G478" s="3"/>
      <c r="H478" s="171"/>
      <c r="I478" s="141"/>
      <c r="J478" s="141"/>
      <c r="K478" s="141"/>
      <c r="L478" s="141"/>
      <c r="M478" s="8"/>
      <c r="N478" s="2"/>
      <c r="O478" s="2"/>
      <c r="P478" s="2"/>
      <c r="Q478" s="2"/>
      <c r="R478" s="2"/>
    </row>
    <row r="479" spans="1:18">
      <c r="A479" s="14"/>
      <c r="B479" s="9"/>
      <c r="C479" s="10" t="str">
        <f t="shared" si="84"/>
        <v>VOCAL</v>
      </c>
      <c r="D479" s="9"/>
      <c r="E479" s="9" t="str">
        <f t="shared" si="85"/>
        <v>DOLLY HWANG</v>
      </c>
      <c r="F479" s="9"/>
      <c r="G479" s="3"/>
      <c r="H479" s="55"/>
      <c r="I479" s="36" t="s">
        <v>471</v>
      </c>
      <c r="J479" s="55"/>
      <c r="K479" s="2" t="s">
        <v>453</v>
      </c>
      <c r="L479" s="55"/>
      <c r="M479" s="8"/>
      <c r="N479" s="2"/>
      <c r="O479" s="36" t="s">
        <v>917</v>
      </c>
      <c r="P479" s="2"/>
      <c r="Q479" s="2" t="s">
        <v>453</v>
      </c>
      <c r="R479" s="2"/>
    </row>
    <row r="480" spans="1:18">
      <c r="A480" s="14"/>
      <c r="B480" s="9"/>
      <c r="C480" s="10" t="str">
        <f t="shared" si="84"/>
        <v>GUITAR</v>
      </c>
      <c r="D480" s="9"/>
      <c r="E480" s="9" t="str">
        <f t="shared" si="85"/>
        <v>DOLLY HWANG</v>
      </c>
      <c r="F480" s="9"/>
      <c r="G480" s="3"/>
      <c r="H480" s="55"/>
      <c r="I480" s="36" t="s">
        <v>460</v>
      </c>
      <c r="J480" s="55"/>
      <c r="K480" s="2" t="s">
        <v>453</v>
      </c>
      <c r="L480" s="55"/>
      <c r="M480" s="8"/>
      <c r="N480" s="2"/>
      <c r="O480" s="36" t="s">
        <v>909</v>
      </c>
      <c r="P480" s="2"/>
      <c r="Q480" s="2" t="s">
        <v>453</v>
      </c>
      <c r="R480" s="2"/>
    </row>
    <row r="481" spans="1:18">
      <c r="A481" s="14"/>
      <c r="B481" s="9"/>
      <c r="C481" s="10" t="str">
        <f t="shared" si="84"/>
        <v>BASS</v>
      </c>
      <c r="D481" s="9"/>
      <c r="E481" s="9" t="str">
        <f t="shared" si="85"/>
        <v>DOLLY HWANG</v>
      </c>
      <c r="F481" s="9"/>
      <c r="G481" s="3"/>
      <c r="H481" s="55"/>
      <c r="I481" s="36" t="s">
        <v>461</v>
      </c>
      <c r="J481" s="55"/>
      <c r="K481" s="2" t="s">
        <v>453</v>
      </c>
      <c r="L481" s="55"/>
      <c r="M481" s="8"/>
      <c r="N481" s="2"/>
      <c r="O481" s="36" t="s">
        <v>910</v>
      </c>
      <c r="P481" s="2"/>
      <c r="Q481" s="2" t="s">
        <v>453</v>
      </c>
      <c r="R481" s="2"/>
    </row>
    <row r="482" spans="1:18">
      <c r="A482" s="14"/>
      <c r="B482" s="9"/>
      <c r="C482" s="10" t="str">
        <f t="shared" si="84"/>
        <v>RECORDING STUDIO</v>
      </c>
      <c r="D482" s="9"/>
      <c r="E482" s="9" t="str">
        <f t="shared" si="85"/>
        <v>PURPLE MOON</v>
      </c>
      <c r="F482" s="9"/>
      <c r="G482" s="3"/>
      <c r="H482" s="55"/>
      <c r="I482" s="36" t="s">
        <v>465</v>
      </c>
      <c r="J482" s="55"/>
      <c r="K482" s="2" t="s">
        <v>472</v>
      </c>
      <c r="L482" s="55"/>
      <c r="M482" s="8"/>
      <c r="N482" s="2"/>
      <c r="O482" s="36" t="s">
        <v>882</v>
      </c>
      <c r="P482" s="2"/>
      <c r="Q482" s="2" t="s">
        <v>472</v>
      </c>
      <c r="R482" s="2"/>
    </row>
    <row r="483" spans="1:18">
      <c r="A483" s="14"/>
      <c r="B483" s="9"/>
      <c r="C483" s="10" t="str">
        <f t="shared" si="84"/>
        <v>RECORDING ENGINEER</v>
      </c>
      <c r="D483" s="9"/>
      <c r="E483" s="9" t="str">
        <f t="shared" si="85"/>
        <v>DOLLY HWANG</v>
      </c>
      <c r="F483" s="9"/>
      <c r="G483" s="3"/>
      <c r="H483" s="55"/>
      <c r="I483" s="36" t="s">
        <v>427</v>
      </c>
      <c r="J483" s="55"/>
      <c r="K483" s="2" t="s">
        <v>453</v>
      </c>
      <c r="L483" s="55"/>
      <c r="M483" s="8"/>
      <c r="N483" s="2"/>
      <c r="O483" s="36" t="s">
        <v>886</v>
      </c>
      <c r="P483" s="2"/>
      <c r="Q483" s="2" t="s">
        <v>453</v>
      </c>
      <c r="R483" s="2"/>
    </row>
    <row r="484" spans="1:18">
      <c r="A484" s="14"/>
      <c r="B484" s="9"/>
      <c r="C484" s="10"/>
      <c r="D484" s="9"/>
      <c r="E484" s="9"/>
      <c r="F484" s="9"/>
      <c r="G484" s="3"/>
      <c r="H484" s="55"/>
      <c r="I484" s="36"/>
      <c r="J484" s="55"/>
      <c r="K484" s="2"/>
      <c r="L484" s="55"/>
      <c r="M484" s="8"/>
      <c r="N484" s="8"/>
      <c r="O484" s="8"/>
      <c r="P484" s="3"/>
      <c r="Q484" s="3"/>
      <c r="R484" s="3"/>
    </row>
    <row r="485" spans="1:18">
      <c r="A485" s="14"/>
      <c r="B485" s="11"/>
      <c r="C485" s="11"/>
      <c r="D485" s="11"/>
      <c r="E485" s="11"/>
      <c r="F485" s="11"/>
      <c r="G485" s="3"/>
      <c r="H485" s="3"/>
      <c r="I485" s="8"/>
      <c r="J485" s="3"/>
      <c r="K485" s="3"/>
      <c r="L485" s="3"/>
      <c r="M485" s="8"/>
      <c r="N485" s="8"/>
      <c r="O485" s="8"/>
      <c r="P485" s="3"/>
      <c r="Q485" s="3"/>
      <c r="R485" s="3"/>
    </row>
    <row r="486" spans="1:18">
      <c r="A486" s="14"/>
      <c r="B486" s="6"/>
      <c r="C486" s="6"/>
      <c r="D486" s="6"/>
      <c r="E486" s="6"/>
      <c r="F486" s="6"/>
      <c r="G486" s="3"/>
      <c r="H486" s="5"/>
      <c r="I486" s="5"/>
      <c r="J486" s="5"/>
      <c r="K486" s="5"/>
      <c r="L486" s="5"/>
      <c r="M486" s="8"/>
      <c r="N486" s="8"/>
      <c r="O486" s="8"/>
      <c r="P486" s="3"/>
      <c r="Q486" s="3"/>
      <c r="R486" s="3"/>
    </row>
    <row r="487" spans="1:18">
      <c r="A487" s="14"/>
      <c r="B487" s="150" t="str">
        <f t="shared" ref="B487:B488" si="86">UPPER(H487)</f>
        <v>POST PRODUCTION / ORIGINAL SCORES &amp; SONGS</v>
      </c>
      <c r="C487" s="141"/>
      <c r="D487" s="141"/>
      <c r="E487" s="141"/>
      <c r="F487" s="141"/>
      <c r="G487" s="28"/>
      <c r="H487" s="167" t="s">
        <v>435</v>
      </c>
      <c r="I487" s="141"/>
      <c r="J487" s="141"/>
      <c r="K487" s="141"/>
      <c r="L487" s="141"/>
      <c r="M487" s="29"/>
      <c r="N487" s="149" t="s">
        <v>888</v>
      </c>
      <c r="O487" s="141"/>
      <c r="P487" s="141"/>
      <c r="Q487" s="141"/>
      <c r="R487" s="141"/>
    </row>
    <row r="488" spans="1:18">
      <c r="A488" s="14"/>
      <c r="B488" s="146" t="str">
        <f t="shared" si="86"/>
        <v>MUSIC BY EPISODE</v>
      </c>
      <c r="C488" s="141"/>
      <c r="D488" s="141"/>
      <c r="E488" s="141"/>
      <c r="F488" s="141"/>
      <c r="G488" s="3"/>
      <c r="H488" s="149" t="s">
        <v>476</v>
      </c>
      <c r="I488" s="141"/>
      <c r="J488" s="141"/>
      <c r="K488" s="141"/>
      <c r="L488" s="141"/>
      <c r="M488" s="8"/>
      <c r="N488" s="149" t="s">
        <v>919</v>
      </c>
      <c r="O488" s="141"/>
      <c r="P488" s="141"/>
      <c r="Q488" s="141"/>
      <c r="R488" s="141"/>
    </row>
    <row r="489" spans="1:18">
      <c r="A489" s="14"/>
      <c r="B489" s="6"/>
      <c r="C489" s="10" t="str">
        <f t="shared" ref="C489:C502" si="87">UPPER(I489)</f>
        <v/>
      </c>
      <c r="D489" s="42"/>
      <c r="E489" s="57" t="str">
        <f t="shared" ref="E489:E502" si="88">UPPER(K489)</f>
        <v/>
      </c>
      <c r="F489" s="6"/>
      <c r="G489" s="3"/>
      <c r="H489" s="5"/>
      <c r="I489" s="30"/>
      <c r="J489" s="24"/>
      <c r="K489" s="22"/>
      <c r="L489" s="5"/>
      <c r="M489" s="8"/>
      <c r="N489" s="149"/>
      <c r="O489" s="141"/>
      <c r="P489" s="141"/>
      <c r="Q489" s="141"/>
      <c r="R489" s="141"/>
    </row>
    <row r="490" spans="1:18">
      <c r="A490" s="14"/>
      <c r="B490" s="6"/>
      <c r="C490" s="10" t="str">
        <f t="shared" si="87"/>
        <v>MUSIC SUPERVISOR</v>
      </c>
      <c r="D490" s="42"/>
      <c r="E490" s="57" t="str">
        <f t="shared" si="88"/>
        <v>YOONHO KIM</v>
      </c>
      <c r="F490" s="6"/>
      <c r="G490" s="3"/>
      <c r="H490" s="3"/>
      <c r="I490" s="30" t="s">
        <v>447</v>
      </c>
      <c r="J490" s="24"/>
      <c r="K490" s="22" t="s">
        <v>448</v>
      </c>
      <c r="L490" s="3"/>
      <c r="M490" s="8"/>
      <c r="N490" s="3"/>
      <c r="O490" s="8" t="s">
        <v>898</v>
      </c>
      <c r="P490" s="3"/>
      <c r="Q490" s="3" t="s">
        <v>899</v>
      </c>
      <c r="R490" s="3"/>
    </row>
    <row r="491" spans="1:18">
      <c r="A491" s="14"/>
      <c r="B491" s="6"/>
      <c r="C491" s="10" t="str">
        <f t="shared" si="87"/>
        <v/>
      </c>
      <c r="D491" s="42"/>
      <c r="E491" s="57" t="str">
        <f t="shared" si="88"/>
        <v/>
      </c>
      <c r="F491" s="6"/>
      <c r="G491" s="3"/>
      <c r="H491" s="3"/>
      <c r="I491" s="44"/>
      <c r="J491" s="14"/>
      <c r="K491" s="14"/>
      <c r="L491" s="3"/>
      <c r="M491" s="8"/>
      <c r="N491" s="3"/>
      <c r="O491" s="8"/>
      <c r="P491" s="3"/>
      <c r="Q491" s="3"/>
      <c r="R491" s="3"/>
    </row>
    <row r="492" spans="1:18">
      <c r="A492" s="14"/>
      <c r="B492" s="6"/>
      <c r="C492" s="10" t="str">
        <f t="shared" si="87"/>
        <v>LEAD COMPOSER</v>
      </c>
      <c r="D492" s="42"/>
      <c r="E492" s="57" t="str">
        <f t="shared" si="88"/>
        <v>SIEUN KIM</v>
      </c>
      <c r="F492" s="6"/>
      <c r="G492" s="3"/>
      <c r="H492" s="5"/>
      <c r="I492" s="30" t="s">
        <v>449</v>
      </c>
      <c r="J492" s="24"/>
      <c r="K492" s="22" t="s">
        <v>463</v>
      </c>
      <c r="L492" s="5"/>
      <c r="M492" s="8"/>
      <c r="N492" s="3"/>
      <c r="O492" s="8" t="s">
        <v>900</v>
      </c>
      <c r="P492" s="3"/>
      <c r="Q492" s="3" t="s">
        <v>901</v>
      </c>
      <c r="R492" s="3"/>
    </row>
    <row r="493" spans="1:18">
      <c r="A493" s="14"/>
      <c r="B493" s="6"/>
      <c r="C493" s="10" t="str">
        <f t="shared" si="87"/>
        <v/>
      </c>
      <c r="D493" s="42"/>
      <c r="E493" s="57" t="str">
        <f t="shared" si="88"/>
        <v/>
      </c>
      <c r="F493" s="6"/>
      <c r="G493" s="3"/>
      <c r="H493" s="3"/>
      <c r="I493" s="75"/>
      <c r="J493" s="75"/>
      <c r="K493" s="75"/>
      <c r="L493" s="3"/>
      <c r="M493" s="8"/>
      <c r="N493" s="3"/>
      <c r="O493" s="8"/>
      <c r="P493" s="3"/>
      <c r="Q493" s="3"/>
      <c r="R493" s="3"/>
    </row>
    <row r="494" spans="1:18">
      <c r="A494" s="14"/>
      <c r="B494" s="6"/>
      <c r="C494" s="10" t="str">
        <f t="shared" si="87"/>
        <v>ADDITIONAL COMPOSER</v>
      </c>
      <c r="D494" s="42"/>
      <c r="E494" s="57" t="str">
        <f t="shared" si="88"/>
        <v>BUMPIZ</v>
      </c>
      <c r="F494" s="6"/>
      <c r="G494" s="3"/>
      <c r="H494" s="3"/>
      <c r="I494" s="30" t="s">
        <v>451</v>
      </c>
      <c r="J494" s="24"/>
      <c r="K494" s="22" t="s">
        <v>456</v>
      </c>
      <c r="L494" s="3"/>
      <c r="M494" s="8"/>
      <c r="N494" s="3"/>
      <c r="O494" s="8" t="s">
        <v>902</v>
      </c>
      <c r="P494" s="3"/>
      <c r="Q494" s="2" t="s">
        <v>456</v>
      </c>
      <c r="R494" s="3"/>
    </row>
    <row r="495" spans="1:18">
      <c r="A495" s="14"/>
      <c r="B495" s="6"/>
      <c r="C495" s="10" t="str">
        <f t="shared" si="87"/>
        <v/>
      </c>
      <c r="D495" s="42"/>
      <c r="E495" s="57" t="str">
        <f t="shared" si="88"/>
        <v>DOLLY HWANG</v>
      </c>
      <c r="F495" s="6"/>
      <c r="G495" s="3"/>
      <c r="H495" s="3"/>
      <c r="I495" s="30"/>
      <c r="J495" s="24"/>
      <c r="K495" s="22" t="s">
        <v>453</v>
      </c>
      <c r="L495" s="3"/>
      <c r="M495" s="8"/>
      <c r="N495" s="3"/>
      <c r="O495" s="8"/>
      <c r="P495" s="3"/>
      <c r="Q495" s="2" t="s">
        <v>453</v>
      </c>
      <c r="R495" s="3"/>
    </row>
    <row r="496" spans="1:18">
      <c r="A496" s="14"/>
      <c r="B496" s="6"/>
      <c r="C496" s="10" t="str">
        <f t="shared" si="87"/>
        <v/>
      </c>
      <c r="D496" s="42"/>
      <c r="E496" s="57" t="str">
        <f t="shared" si="88"/>
        <v>HAEHOON LEE</v>
      </c>
      <c r="F496" s="6"/>
      <c r="G496" s="3"/>
      <c r="H496" s="3"/>
      <c r="I496" s="44"/>
      <c r="J496" s="14"/>
      <c r="K496" s="22" t="s">
        <v>454</v>
      </c>
      <c r="L496" s="3"/>
      <c r="M496" s="8"/>
      <c r="N496" s="3"/>
      <c r="O496" s="8"/>
      <c r="P496" s="3"/>
      <c r="Q496" s="3" t="s">
        <v>904</v>
      </c>
      <c r="R496" s="3"/>
    </row>
    <row r="497" spans="1:18">
      <c r="A497" s="14"/>
      <c r="B497" s="6"/>
      <c r="C497" s="10" t="str">
        <f t="shared" si="87"/>
        <v/>
      </c>
      <c r="D497" s="42"/>
      <c r="E497" s="57" t="str">
        <f t="shared" si="88"/>
        <v>SOYOUNG KWON</v>
      </c>
      <c r="F497" s="6"/>
      <c r="G497" s="3"/>
      <c r="H497" s="3"/>
      <c r="I497" s="30"/>
      <c r="J497" s="24"/>
      <c r="K497" s="22" t="s">
        <v>455</v>
      </c>
      <c r="L497" s="3"/>
      <c r="M497" s="8"/>
      <c r="N497" s="3"/>
      <c r="O497" s="8"/>
      <c r="P497" s="3"/>
      <c r="Q497" s="3" t="s">
        <v>905</v>
      </c>
      <c r="R497" s="3"/>
    </row>
    <row r="498" spans="1:18">
      <c r="A498" s="14"/>
      <c r="B498" s="6"/>
      <c r="C498" s="10" t="str">
        <f t="shared" si="87"/>
        <v/>
      </c>
      <c r="D498" s="42"/>
      <c r="E498" s="57" t="str">
        <f t="shared" si="88"/>
        <v/>
      </c>
      <c r="F498" s="6"/>
      <c r="G498" s="3"/>
      <c r="H498" s="5"/>
      <c r="I498" s="44"/>
      <c r="J498" s="14"/>
      <c r="K498" s="14"/>
      <c r="L498" s="5"/>
      <c r="M498" s="8"/>
      <c r="N498" s="3"/>
      <c r="O498" s="8"/>
      <c r="P498" s="3"/>
      <c r="Q498" s="3"/>
      <c r="R498" s="3"/>
    </row>
    <row r="499" spans="1:18">
      <c r="A499" s="14"/>
      <c r="B499" s="6"/>
      <c r="C499" s="10" t="str">
        <f t="shared" si="87"/>
        <v>LEAD SOUND DESIGNER</v>
      </c>
      <c r="D499" s="42"/>
      <c r="E499" s="57" t="str">
        <f t="shared" si="88"/>
        <v>HYEJEONG HWANG</v>
      </c>
      <c r="F499" s="6"/>
      <c r="G499" s="3"/>
      <c r="H499" s="3"/>
      <c r="I499" s="30" t="s">
        <v>478</v>
      </c>
      <c r="J499" s="24"/>
      <c r="K499" s="22" t="s">
        <v>441</v>
      </c>
      <c r="L499" s="3"/>
      <c r="M499" s="8"/>
      <c r="N499" s="3"/>
      <c r="O499" s="8" t="s">
        <v>920</v>
      </c>
      <c r="P499" s="3"/>
      <c r="Q499" s="3" t="s">
        <v>885</v>
      </c>
      <c r="R499" s="3"/>
    </row>
    <row r="500" spans="1:18">
      <c r="A500" s="14"/>
      <c r="B500" s="6"/>
      <c r="C500" s="10" t="str">
        <f t="shared" si="87"/>
        <v/>
      </c>
      <c r="D500" s="42"/>
      <c r="E500" s="57" t="str">
        <f t="shared" si="88"/>
        <v/>
      </c>
      <c r="F500" s="6"/>
      <c r="G500" s="3"/>
      <c r="H500" s="3"/>
      <c r="I500" s="44"/>
      <c r="J500" s="14"/>
      <c r="K500" s="14"/>
      <c r="L500" s="3"/>
      <c r="M500" s="8"/>
      <c r="N500" s="8"/>
      <c r="O500" s="8"/>
      <c r="P500" s="3"/>
      <c r="Q500" s="3"/>
      <c r="R500" s="3"/>
    </row>
    <row r="501" spans="1:18">
      <c r="A501" s="14"/>
      <c r="B501" s="6"/>
      <c r="C501" s="10" t="str">
        <f t="shared" si="87"/>
        <v>FOLEY DESIGNER</v>
      </c>
      <c r="D501" s="42"/>
      <c r="E501" s="57" t="str">
        <f t="shared" si="88"/>
        <v>HYEJEONG HWANG</v>
      </c>
      <c r="F501" s="6"/>
      <c r="G501" s="3"/>
      <c r="H501" s="3"/>
      <c r="I501" s="30" t="s">
        <v>479</v>
      </c>
      <c r="J501" s="24"/>
      <c r="K501" s="22" t="s">
        <v>441</v>
      </c>
      <c r="L501" s="3"/>
      <c r="M501" s="8"/>
      <c r="N501" s="8"/>
      <c r="O501" s="8" t="s">
        <v>921</v>
      </c>
      <c r="P501" s="3"/>
      <c r="Q501" s="3" t="s">
        <v>885</v>
      </c>
      <c r="R501" s="3"/>
    </row>
    <row r="502" spans="1:18">
      <c r="A502" s="14"/>
      <c r="B502" s="42"/>
      <c r="C502" s="42" t="str">
        <f t="shared" si="87"/>
        <v/>
      </c>
      <c r="D502" s="42"/>
      <c r="E502" s="57" t="str">
        <f t="shared" si="88"/>
        <v/>
      </c>
      <c r="F502" s="42"/>
      <c r="G502" s="3"/>
      <c r="H502" s="3"/>
      <c r="I502" s="8"/>
      <c r="J502" s="3"/>
      <c r="K502" s="3"/>
      <c r="L502" s="3"/>
      <c r="M502" s="8"/>
      <c r="N502" s="8"/>
      <c r="O502" s="8"/>
      <c r="P502" s="3"/>
      <c r="Q502" s="3"/>
      <c r="R502" s="3"/>
    </row>
    <row r="503" spans="1:18">
      <c r="A503" s="14"/>
      <c r="B503" s="11"/>
      <c r="C503" s="11"/>
      <c r="D503" s="11"/>
      <c r="E503" s="11"/>
      <c r="F503" s="11"/>
      <c r="G503" s="3"/>
      <c r="H503" s="3"/>
      <c r="I503" s="8"/>
      <c r="J503" s="3"/>
      <c r="K503" s="3"/>
      <c r="L503" s="3"/>
      <c r="M503" s="8"/>
      <c r="N503" s="8"/>
      <c r="O503" s="8"/>
      <c r="P503" s="3"/>
      <c r="Q503" s="3"/>
      <c r="R503" s="3"/>
    </row>
    <row r="504" spans="1:18">
      <c r="A504" s="14"/>
      <c r="B504" s="58"/>
      <c r="C504" s="58"/>
      <c r="D504" s="58"/>
      <c r="E504" s="58"/>
      <c r="F504" s="58"/>
      <c r="G504" s="3"/>
      <c r="H504" s="5"/>
      <c r="I504" s="5"/>
      <c r="J504" s="5"/>
      <c r="K504" s="5"/>
      <c r="L504" s="5"/>
      <c r="M504" s="8"/>
      <c r="N504" s="8"/>
      <c r="O504" s="8"/>
      <c r="P504" s="3"/>
      <c r="Q504" s="3"/>
      <c r="R504" s="3"/>
    </row>
    <row r="505" spans="1:18">
      <c r="A505" s="14"/>
      <c r="B505" s="153" t="str">
        <f>UPPER(H505)</f>
        <v>MASTERING</v>
      </c>
      <c r="C505" s="141"/>
      <c r="D505" s="141"/>
      <c r="E505" s="141"/>
      <c r="F505" s="141"/>
      <c r="G505" s="28"/>
      <c r="H505" s="167" t="s">
        <v>481</v>
      </c>
      <c r="I505" s="141"/>
      <c r="J505" s="141"/>
      <c r="K505" s="141"/>
      <c r="L505" s="141"/>
      <c r="M505" s="29"/>
      <c r="N505" s="149" t="s">
        <v>923</v>
      </c>
      <c r="O505" s="141"/>
      <c r="P505" s="141"/>
      <c r="Q505" s="141"/>
      <c r="R505" s="141"/>
    </row>
    <row r="506" spans="1:18">
      <c r="A506" s="14"/>
      <c r="B506" s="42"/>
      <c r="C506" s="10"/>
      <c r="D506" s="42"/>
      <c r="E506" s="57"/>
      <c r="F506" s="59"/>
      <c r="G506" s="3"/>
      <c r="H506" s="3"/>
      <c r="I506" s="8"/>
      <c r="J506" s="3"/>
      <c r="K506" s="3"/>
      <c r="L506" s="3"/>
      <c r="M506" s="8"/>
      <c r="N506" s="3"/>
      <c r="O506" s="8"/>
      <c r="P506" s="3"/>
      <c r="Q506" s="3"/>
      <c r="R506" s="3"/>
    </row>
    <row r="507" spans="1:18">
      <c r="A507" s="14"/>
      <c r="B507" s="42" t="str">
        <f t="shared" ref="B507:C507" si="89">UPPER(H507)</f>
        <v/>
      </c>
      <c r="C507" s="10" t="str">
        <f t="shared" si="89"/>
        <v>STUDIO</v>
      </c>
      <c r="D507" s="42"/>
      <c r="E507" s="57" t="str">
        <f>UPPER(K507)</f>
        <v>SBA</v>
      </c>
      <c r="F507" s="59"/>
      <c r="G507" s="3"/>
      <c r="H507" s="3"/>
      <c r="I507" s="8" t="s">
        <v>482</v>
      </c>
      <c r="J507" s="3"/>
      <c r="K507" s="3" t="s">
        <v>483</v>
      </c>
      <c r="L507" s="3"/>
      <c r="M507" s="8"/>
      <c r="N507" s="3"/>
      <c r="O507" s="8" t="s">
        <v>924</v>
      </c>
      <c r="P507" s="3"/>
      <c r="Q507" s="3" t="s">
        <v>483</v>
      </c>
      <c r="R507" s="3"/>
    </row>
    <row r="508" spans="1:18">
      <c r="A508" s="14"/>
      <c r="B508" s="42"/>
      <c r="C508" s="10"/>
      <c r="D508" s="42"/>
      <c r="E508" s="57"/>
      <c r="F508" s="59"/>
      <c r="G508" s="3"/>
      <c r="H508" s="3"/>
      <c r="I508" s="8"/>
      <c r="J508" s="3"/>
      <c r="K508" s="3"/>
      <c r="L508" s="3"/>
      <c r="M508" s="8"/>
      <c r="N508" s="3"/>
      <c r="O508" s="3"/>
      <c r="P508" s="3"/>
      <c r="Q508" s="3"/>
      <c r="R508" s="3"/>
    </row>
    <row r="509" spans="1:18">
      <c r="A509" s="14"/>
      <c r="B509" s="42"/>
      <c r="C509" s="10" t="str">
        <f>UPPER(I509)</f>
        <v>STUDIO DEPT. DIRECTOR</v>
      </c>
      <c r="D509" s="42"/>
      <c r="E509" s="57" t="str">
        <f>UPPER(K509)</f>
        <v>JONGMIN HAHM</v>
      </c>
      <c r="F509" s="59"/>
      <c r="G509" s="3"/>
      <c r="H509" s="3"/>
      <c r="I509" s="8" t="s">
        <v>484</v>
      </c>
      <c r="J509" s="3"/>
      <c r="K509" s="3" t="s">
        <v>485</v>
      </c>
      <c r="L509" s="3"/>
      <c r="M509" s="8"/>
      <c r="N509" s="3"/>
      <c r="O509" s="8" t="s">
        <v>925</v>
      </c>
      <c r="P509" s="3"/>
      <c r="Q509" s="3" t="s">
        <v>926</v>
      </c>
      <c r="R509" s="3"/>
    </row>
    <row r="510" spans="1:18">
      <c r="A510" s="14"/>
      <c r="B510" s="42"/>
      <c r="C510" s="10"/>
      <c r="D510" s="42"/>
      <c r="E510" s="57"/>
      <c r="F510" s="59"/>
      <c r="G510" s="3"/>
      <c r="H510" s="3"/>
      <c r="I510" s="8"/>
      <c r="J510" s="3"/>
      <c r="K510" s="3"/>
      <c r="L510" s="3"/>
      <c r="M510" s="8"/>
      <c r="N510" s="3"/>
      <c r="O510" s="3"/>
      <c r="P510" s="3"/>
      <c r="Q510" s="3"/>
      <c r="R510" s="3"/>
    </row>
    <row r="511" spans="1:18">
      <c r="A511" s="14"/>
      <c r="B511" s="42" t="str">
        <f t="shared" ref="B511:C511" si="90">UPPER(H511)</f>
        <v/>
      </c>
      <c r="C511" s="10" t="str">
        <f t="shared" si="90"/>
        <v>STUDIO MANAGER</v>
      </c>
      <c r="D511" s="42"/>
      <c r="E511" s="57" t="str">
        <f t="shared" ref="E511:E512" si="91">UPPER(K511)</f>
        <v>MYUNGHOON LEE</v>
      </c>
      <c r="F511" s="59"/>
      <c r="G511" s="3"/>
      <c r="H511" s="3"/>
      <c r="I511" s="8" t="s">
        <v>486</v>
      </c>
      <c r="J511" s="3"/>
      <c r="K511" s="3" t="s">
        <v>487</v>
      </c>
      <c r="L511" s="3"/>
      <c r="M511" s="8"/>
      <c r="N511" s="3"/>
      <c r="O511" s="8" t="s">
        <v>927</v>
      </c>
      <c r="P511" s="3"/>
      <c r="Q511" s="3" t="s">
        <v>928</v>
      </c>
      <c r="R511" s="3"/>
    </row>
    <row r="512" spans="1:18">
      <c r="A512" s="14"/>
      <c r="B512" s="42" t="str">
        <f t="shared" ref="B512:C512" si="92">UPPER(H512)</f>
        <v/>
      </c>
      <c r="C512" s="10" t="str">
        <f t="shared" si="92"/>
        <v/>
      </c>
      <c r="D512" s="42"/>
      <c r="E512" s="57" t="str">
        <f t="shared" si="91"/>
        <v>HAESU JEON</v>
      </c>
      <c r="F512" s="59"/>
      <c r="G512" s="3"/>
      <c r="H512" s="3"/>
      <c r="I512" s="8"/>
      <c r="J512" s="3"/>
      <c r="K512" s="3" t="s">
        <v>488</v>
      </c>
      <c r="L512" s="3"/>
      <c r="M512" s="8"/>
      <c r="N512" s="8"/>
      <c r="O512" s="3"/>
      <c r="P512" s="3"/>
      <c r="Q512" s="3" t="s">
        <v>929</v>
      </c>
      <c r="R512" s="3"/>
    </row>
    <row r="513" spans="1:18">
      <c r="A513" s="14"/>
      <c r="B513" s="9"/>
      <c r="C513" s="9"/>
      <c r="D513" s="9"/>
      <c r="E513" s="9"/>
      <c r="F513" s="9"/>
      <c r="G513" s="3"/>
      <c r="H513" s="3"/>
      <c r="I513" s="8"/>
      <c r="J513" s="3"/>
      <c r="K513" s="3"/>
      <c r="L513" s="3"/>
      <c r="M513" s="8"/>
      <c r="N513" s="8"/>
      <c r="O513" s="8"/>
      <c r="P513" s="3"/>
      <c r="Q513" s="3"/>
      <c r="R513" s="3"/>
    </row>
    <row r="514" spans="1:18">
      <c r="A514" s="14"/>
      <c r="B514" s="11"/>
      <c r="C514" s="12" t="str">
        <f>UPPER(I514)</f>
        <v/>
      </c>
      <c r="D514" s="11"/>
      <c r="E514" s="11" t="str">
        <f>UPPER(K514)</f>
        <v/>
      </c>
      <c r="F514" s="11"/>
      <c r="G514" s="3"/>
      <c r="H514" s="3"/>
      <c r="I514" s="8"/>
      <c r="J514" s="3"/>
      <c r="K514" s="13"/>
      <c r="L514" s="3"/>
      <c r="M514" s="8"/>
      <c r="N514" s="8"/>
      <c r="O514" s="8"/>
      <c r="P514" s="3"/>
      <c r="Q514" s="3"/>
      <c r="R514" s="3"/>
    </row>
    <row r="515" spans="1:18">
      <c r="A515" s="14"/>
      <c r="B515" s="58"/>
      <c r="C515" s="58"/>
      <c r="D515" s="58"/>
      <c r="E515" s="58"/>
      <c r="F515" s="58"/>
      <c r="G515" s="3"/>
      <c r="H515" s="5"/>
      <c r="I515" s="5"/>
      <c r="J515" s="5"/>
      <c r="K515" s="5"/>
      <c r="L515" s="5"/>
      <c r="M515" s="8"/>
      <c r="N515" s="8"/>
      <c r="O515" s="8"/>
      <c r="P515" s="3"/>
      <c r="Q515" s="3"/>
      <c r="R515" s="3"/>
    </row>
    <row r="516" spans="1:18">
      <c r="A516" s="14"/>
      <c r="B516" s="153" t="str">
        <f t="shared" ref="B516:B518" si="93">UPPER(H516)</f>
        <v>MASTERING</v>
      </c>
      <c r="C516" s="141"/>
      <c r="D516" s="141"/>
      <c r="E516" s="141"/>
      <c r="F516" s="141"/>
      <c r="G516" s="28"/>
      <c r="H516" s="167" t="s">
        <v>481</v>
      </c>
      <c r="I516" s="141"/>
      <c r="J516" s="141"/>
      <c r="K516" s="141"/>
      <c r="L516" s="141"/>
      <c r="M516" s="8"/>
      <c r="N516" s="149" t="s">
        <v>923</v>
      </c>
      <c r="O516" s="141"/>
      <c r="P516" s="141"/>
      <c r="Q516" s="141"/>
      <c r="R516" s="141"/>
    </row>
    <row r="517" spans="1:18">
      <c r="A517" s="14"/>
      <c r="B517" s="146" t="str">
        <f t="shared" si="93"/>
        <v>IYUNO</v>
      </c>
      <c r="C517" s="141"/>
      <c r="D517" s="141"/>
      <c r="E517" s="141"/>
      <c r="F517" s="141"/>
      <c r="G517" s="3"/>
      <c r="H517" s="169" t="s">
        <v>489</v>
      </c>
      <c r="I517" s="141"/>
      <c r="J517" s="141"/>
      <c r="K517" s="141"/>
      <c r="L517" s="141"/>
      <c r="M517" s="8"/>
      <c r="N517" s="155" t="s">
        <v>489</v>
      </c>
      <c r="O517" s="141"/>
      <c r="P517" s="141"/>
      <c r="Q517" s="141"/>
      <c r="R517" s="141"/>
    </row>
    <row r="518" spans="1:18">
      <c r="A518" s="14"/>
      <c r="B518" s="42" t="str">
        <f t="shared" si="93"/>
        <v/>
      </c>
      <c r="C518" s="10" t="str">
        <f t="shared" ref="C518:C521" si="94">UPPER(I518)</f>
        <v/>
      </c>
      <c r="D518" s="42"/>
      <c r="E518" s="57" t="str">
        <f t="shared" ref="E518:E527" si="95">UPPER(K518)</f>
        <v/>
      </c>
      <c r="F518" s="59"/>
      <c r="G518" s="3"/>
      <c r="H518" s="3"/>
      <c r="I518" s="8"/>
      <c r="J518" s="3"/>
      <c r="K518" s="3"/>
      <c r="L518" s="3"/>
      <c r="M518" s="8"/>
      <c r="N518" s="8"/>
      <c r="O518" s="21"/>
      <c r="P518" s="3"/>
      <c r="Q518" s="3"/>
      <c r="R518" s="3"/>
    </row>
    <row r="519" spans="1:18">
      <c r="A519" s="14"/>
      <c r="B519" s="42"/>
      <c r="C519" s="10" t="str">
        <f t="shared" si="94"/>
        <v>MEDIA OPERATIONS SUPERVISOR</v>
      </c>
      <c r="D519" s="42"/>
      <c r="E519" s="57" t="str">
        <f t="shared" si="95"/>
        <v>JINWOO YANG</v>
      </c>
      <c r="F519" s="59"/>
      <c r="G519" s="3"/>
      <c r="H519" s="3"/>
      <c r="I519" s="8" t="s">
        <v>490</v>
      </c>
      <c r="J519" s="3"/>
      <c r="K519" s="3" t="s">
        <v>491</v>
      </c>
      <c r="L519" s="3"/>
      <c r="M519" s="8"/>
      <c r="N519" s="8"/>
      <c r="O519" s="21" t="s">
        <v>930</v>
      </c>
      <c r="P519" s="3"/>
      <c r="Q519" s="3" t="s">
        <v>931</v>
      </c>
      <c r="R519" s="3"/>
    </row>
    <row r="520" spans="1:18">
      <c r="A520" s="14"/>
      <c r="B520" s="42"/>
      <c r="C520" s="10" t="str">
        <f t="shared" si="94"/>
        <v/>
      </c>
      <c r="D520" s="42"/>
      <c r="E520" s="57" t="str">
        <f t="shared" si="95"/>
        <v/>
      </c>
      <c r="F520" s="59"/>
      <c r="G520" s="3"/>
      <c r="H520" s="3"/>
      <c r="I520" s="8"/>
      <c r="J520" s="3"/>
      <c r="K520" s="3"/>
      <c r="L520" s="3"/>
      <c r="M520" s="8"/>
      <c r="N520" s="8"/>
      <c r="O520" s="21"/>
      <c r="P520" s="3"/>
      <c r="Q520" s="3"/>
      <c r="R520" s="3"/>
    </row>
    <row r="521" spans="1:18">
      <c r="A521" s="14"/>
      <c r="B521" s="42"/>
      <c r="C521" s="10" t="str">
        <f t="shared" si="94"/>
        <v>PROJECT MANAGER</v>
      </c>
      <c r="D521" s="42"/>
      <c r="E521" s="57" t="str">
        <f t="shared" si="95"/>
        <v>WONJEONG SONG</v>
      </c>
      <c r="F521" s="59"/>
      <c r="G521" s="3"/>
      <c r="H521" s="3"/>
      <c r="I521" s="8" t="s">
        <v>492</v>
      </c>
      <c r="J521" s="3"/>
      <c r="K521" s="3" t="s">
        <v>493</v>
      </c>
      <c r="L521" s="3"/>
      <c r="M521" s="8"/>
      <c r="N521" s="8"/>
      <c r="O521" s="21" t="s">
        <v>932</v>
      </c>
      <c r="P521" s="3"/>
      <c r="Q521" s="3" t="s">
        <v>933</v>
      </c>
      <c r="R521" s="3"/>
    </row>
    <row r="522" spans="1:18">
      <c r="A522" s="14"/>
      <c r="B522" s="42" t="str">
        <f t="shared" ref="B522:C522" si="96">UPPER(H522)</f>
        <v/>
      </c>
      <c r="C522" s="10" t="str">
        <f t="shared" si="96"/>
        <v/>
      </c>
      <c r="D522" s="42"/>
      <c r="E522" s="57" t="str">
        <f t="shared" si="95"/>
        <v/>
      </c>
      <c r="F522" s="59"/>
      <c r="G522" s="3"/>
      <c r="H522" s="3"/>
      <c r="I522" s="8"/>
      <c r="J522" s="3"/>
      <c r="K522" s="3"/>
      <c r="L522" s="3"/>
      <c r="M522" s="8"/>
      <c r="N522" s="8"/>
      <c r="O522" s="21"/>
      <c r="P522" s="3"/>
      <c r="Q522" s="3"/>
      <c r="R522" s="3"/>
    </row>
    <row r="523" spans="1:18">
      <c r="A523" s="14"/>
      <c r="B523" s="42" t="str">
        <f t="shared" ref="B523:C523" si="97">UPPER(H523)</f>
        <v/>
      </c>
      <c r="C523" s="10" t="str">
        <f t="shared" si="97"/>
        <v>VIDEO EDITOR</v>
      </c>
      <c r="D523" s="42"/>
      <c r="E523" s="57" t="str">
        <f t="shared" si="95"/>
        <v>SANGYOUNG CHO</v>
      </c>
      <c r="F523" s="59"/>
      <c r="G523" s="3"/>
      <c r="H523" s="3"/>
      <c r="I523" s="8" t="s">
        <v>494</v>
      </c>
      <c r="J523" s="3"/>
      <c r="K523" s="3" t="s">
        <v>495</v>
      </c>
      <c r="L523" s="3"/>
      <c r="M523" s="8"/>
      <c r="N523" s="8"/>
      <c r="O523" s="21" t="s">
        <v>934</v>
      </c>
      <c r="P523" s="3"/>
      <c r="Q523" s="3" t="s">
        <v>935</v>
      </c>
      <c r="R523" s="3"/>
    </row>
    <row r="524" spans="1:18">
      <c r="A524" s="14"/>
      <c r="B524" s="42"/>
      <c r="C524" s="10" t="str">
        <f t="shared" ref="C524:C527" si="98">UPPER(I524)</f>
        <v/>
      </c>
      <c r="D524" s="42"/>
      <c r="E524" s="57" t="str">
        <f t="shared" si="95"/>
        <v>JINAH JEONG</v>
      </c>
      <c r="F524" s="59"/>
      <c r="G524" s="3"/>
      <c r="H524" s="3"/>
      <c r="I524" s="8"/>
      <c r="J524" s="3"/>
      <c r="K524" s="3" t="s">
        <v>496</v>
      </c>
      <c r="L524" s="3"/>
      <c r="M524" s="8"/>
      <c r="N524" s="8"/>
      <c r="O524" s="21"/>
      <c r="P524" s="3"/>
      <c r="Q524" s="3" t="s">
        <v>936</v>
      </c>
      <c r="R524" s="3"/>
    </row>
    <row r="525" spans="1:18">
      <c r="A525" s="14"/>
      <c r="B525" s="42"/>
      <c r="C525" s="10" t="str">
        <f t="shared" si="98"/>
        <v/>
      </c>
      <c r="D525" s="42"/>
      <c r="E525" s="57" t="str">
        <f t="shared" si="95"/>
        <v>SONGI YOON</v>
      </c>
      <c r="F525" s="59"/>
      <c r="G525" s="3"/>
      <c r="H525" s="3"/>
      <c r="I525" s="8"/>
      <c r="J525" s="3"/>
      <c r="K525" s="3" t="s">
        <v>497</v>
      </c>
      <c r="L525" s="3"/>
      <c r="M525" s="8"/>
      <c r="N525" s="8"/>
      <c r="O525" s="21"/>
      <c r="P525" s="3"/>
      <c r="Q525" s="3" t="s">
        <v>937</v>
      </c>
      <c r="R525" s="3"/>
    </row>
    <row r="526" spans="1:18">
      <c r="A526" s="14"/>
      <c r="B526" s="42"/>
      <c r="C526" s="10" t="str">
        <f t="shared" si="98"/>
        <v/>
      </c>
      <c r="D526" s="42"/>
      <c r="E526" s="57" t="str">
        <f t="shared" si="95"/>
        <v/>
      </c>
      <c r="F526" s="59"/>
      <c r="G526" s="3"/>
      <c r="H526" s="3"/>
      <c r="I526" s="8"/>
      <c r="J526" s="3"/>
      <c r="K526" s="3"/>
      <c r="L526" s="3"/>
      <c r="M526" s="8"/>
      <c r="N526" s="8"/>
      <c r="O526" s="21"/>
      <c r="P526" s="3"/>
      <c r="Q526" s="3"/>
      <c r="R526" s="3"/>
    </row>
    <row r="527" spans="1:18">
      <c r="A527" s="14"/>
      <c r="B527" s="42"/>
      <c r="C527" s="10" t="str">
        <f t="shared" si="98"/>
        <v>ASSET MANAGER</v>
      </c>
      <c r="D527" s="42"/>
      <c r="E527" s="57" t="str">
        <f t="shared" si="95"/>
        <v>SANGMIN PARK</v>
      </c>
      <c r="F527" s="59"/>
      <c r="G527" s="3"/>
      <c r="H527" s="3"/>
      <c r="I527" s="8" t="s">
        <v>498</v>
      </c>
      <c r="J527" s="3"/>
      <c r="K527" s="3" t="s">
        <v>499</v>
      </c>
      <c r="L527" s="3"/>
      <c r="M527" s="8"/>
      <c r="N527" s="8"/>
      <c r="O527" s="21" t="s">
        <v>938</v>
      </c>
      <c r="P527" s="3"/>
      <c r="Q527" s="3" t="s">
        <v>939</v>
      </c>
      <c r="R527" s="3"/>
    </row>
    <row r="528" spans="1:18">
      <c r="A528" s="14"/>
      <c r="B528" s="42"/>
      <c r="C528" s="10"/>
      <c r="D528" s="42"/>
      <c r="E528" s="57"/>
      <c r="F528" s="59"/>
      <c r="G528" s="3"/>
      <c r="H528" s="3"/>
      <c r="I528" s="8"/>
      <c r="J528" s="3"/>
      <c r="K528" s="3"/>
      <c r="L528" s="3"/>
      <c r="M528" s="8"/>
      <c r="N528" s="8"/>
      <c r="O528" s="8"/>
      <c r="P528" s="3"/>
      <c r="Q528" s="3"/>
      <c r="R528" s="3"/>
    </row>
    <row r="529" spans="1:18">
      <c r="A529" s="14"/>
      <c r="B529" s="11"/>
      <c r="C529" s="12"/>
      <c r="D529" s="11"/>
      <c r="E529" s="11"/>
      <c r="F529" s="11"/>
      <c r="G529" s="3"/>
      <c r="H529" s="3"/>
      <c r="I529" s="8"/>
      <c r="J529" s="3"/>
      <c r="K529" s="13"/>
      <c r="L529" s="3"/>
      <c r="M529" s="8"/>
      <c r="N529" s="8"/>
      <c r="O529" s="8"/>
      <c r="P529" s="3"/>
      <c r="Q529" s="3"/>
      <c r="R529" s="3"/>
    </row>
    <row r="530" spans="1:18">
      <c r="A530" s="14"/>
      <c r="B530" s="6"/>
      <c r="C530" s="6"/>
      <c r="D530" s="6"/>
      <c r="E530" s="6"/>
      <c r="F530" s="6"/>
      <c r="G530" s="3"/>
      <c r="H530" s="5"/>
      <c r="I530" s="5"/>
      <c r="J530" s="5"/>
      <c r="K530" s="5"/>
      <c r="L530" s="5"/>
      <c r="M530" s="8"/>
      <c r="N530" s="8"/>
      <c r="O530" s="8"/>
      <c r="P530" s="3"/>
      <c r="Q530" s="3"/>
      <c r="R530" s="3"/>
    </row>
    <row r="531" spans="1:18">
      <c r="A531" s="14"/>
      <c r="B531" s="150" t="str">
        <f>UPPER(H531)</f>
        <v>TENCENT VIDEO</v>
      </c>
      <c r="C531" s="141"/>
      <c r="D531" s="141"/>
      <c r="E531" s="141"/>
      <c r="F531" s="141"/>
      <c r="G531" s="28"/>
      <c r="H531" s="167" t="s">
        <v>500</v>
      </c>
      <c r="I531" s="141"/>
      <c r="J531" s="141"/>
      <c r="K531" s="141"/>
      <c r="L531" s="141"/>
      <c r="M531" s="29"/>
      <c r="N531" s="149" t="s">
        <v>500</v>
      </c>
      <c r="O531" s="141"/>
      <c r="P531" s="141"/>
      <c r="Q531" s="141"/>
      <c r="R531" s="141"/>
    </row>
    <row r="532" spans="1:18">
      <c r="A532" s="14"/>
      <c r="B532" s="9"/>
      <c r="C532" s="10" t="str">
        <f t="shared" ref="C532:C552" si="99">UPPER(I532)</f>
        <v>BUSINESS DIRECTOR</v>
      </c>
      <c r="D532" s="9"/>
      <c r="E532" s="9" t="str">
        <f t="shared" ref="E532:E553" si="100">UPPER(K532)</f>
        <v>VERN WANG</v>
      </c>
      <c r="F532" s="9"/>
      <c r="G532" s="3"/>
      <c r="H532" s="3"/>
      <c r="I532" s="8" t="s">
        <v>501</v>
      </c>
      <c r="J532" s="3"/>
      <c r="K532" s="2" t="s">
        <v>502</v>
      </c>
      <c r="L532" s="3"/>
      <c r="M532" s="8"/>
      <c r="N532" s="8"/>
      <c r="O532" s="8" t="s">
        <v>501</v>
      </c>
      <c r="P532" s="3"/>
      <c r="Q532" s="2" t="s">
        <v>502</v>
      </c>
      <c r="R532" s="3"/>
    </row>
    <row r="533" spans="1:18">
      <c r="A533" s="14"/>
      <c r="B533" s="9"/>
      <c r="C533" s="10" t="str">
        <f t="shared" si="99"/>
        <v/>
      </c>
      <c r="D533" s="9"/>
      <c r="E533" s="9" t="str">
        <f t="shared" si="100"/>
        <v>ANN WANG</v>
      </c>
      <c r="F533" s="9"/>
      <c r="G533" s="3"/>
      <c r="H533" s="3"/>
      <c r="I533" s="8"/>
      <c r="J533" s="3"/>
      <c r="K533" s="2" t="s">
        <v>503</v>
      </c>
      <c r="L533" s="7"/>
      <c r="M533" s="7"/>
      <c r="N533" s="7"/>
      <c r="O533" s="8"/>
      <c r="P533" s="3"/>
      <c r="Q533" s="2" t="s">
        <v>503</v>
      </c>
      <c r="R533" s="3"/>
    </row>
    <row r="534" spans="1:18">
      <c r="A534" s="14"/>
      <c r="B534" s="9"/>
      <c r="C534" s="10" t="str">
        <f t="shared" si="99"/>
        <v>PRODUCER</v>
      </c>
      <c r="D534" s="9"/>
      <c r="E534" s="9" t="str">
        <f t="shared" si="100"/>
        <v>LEEGER LIU</v>
      </c>
      <c r="F534" s="9"/>
      <c r="G534" s="3"/>
      <c r="H534" s="3"/>
      <c r="I534" s="36" t="s">
        <v>504</v>
      </c>
      <c r="J534" s="3"/>
      <c r="K534" s="2" t="s">
        <v>505</v>
      </c>
      <c r="L534" s="7"/>
      <c r="M534" s="7"/>
      <c r="N534" s="7"/>
      <c r="O534" s="36" t="s">
        <v>504</v>
      </c>
      <c r="P534" s="3"/>
      <c r="Q534" s="2" t="s">
        <v>505</v>
      </c>
      <c r="R534" s="3"/>
    </row>
    <row r="535" spans="1:18">
      <c r="A535" s="14"/>
      <c r="B535" s="9"/>
      <c r="C535" s="10" t="str">
        <f t="shared" si="99"/>
        <v/>
      </c>
      <c r="D535" s="9"/>
      <c r="E535" s="9" t="str">
        <f t="shared" si="100"/>
        <v>ANGEL GENG</v>
      </c>
      <c r="F535" s="9"/>
      <c r="G535" s="3"/>
      <c r="H535" s="3"/>
      <c r="I535" s="8"/>
      <c r="J535" s="3"/>
      <c r="K535" s="2" t="s">
        <v>506</v>
      </c>
      <c r="L535" s="7"/>
      <c r="M535" s="7"/>
      <c r="N535" s="7"/>
      <c r="O535" s="8"/>
      <c r="P535" s="3"/>
      <c r="Q535" s="2" t="s">
        <v>506</v>
      </c>
      <c r="R535" s="3"/>
    </row>
    <row r="536" spans="1:18">
      <c r="A536" s="14"/>
      <c r="B536" s="9"/>
      <c r="C536" s="10" t="str">
        <f t="shared" si="99"/>
        <v/>
      </c>
      <c r="D536" s="9"/>
      <c r="E536" s="9" t="str">
        <f t="shared" si="100"/>
        <v>LILLIANS LI</v>
      </c>
      <c r="F536" s="9"/>
      <c r="G536" s="3"/>
      <c r="H536" s="3"/>
      <c r="I536" s="8"/>
      <c r="J536" s="3"/>
      <c r="K536" s="2" t="s">
        <v>507</v>
      </c>
      <c r="L536" s="60"/>
      <c r="M536" s="60"/>
      <c r="N536" s="60"/>
      <c r="O536" s="8"/>
      <c r="P536" s="3"/>
      <c r="Q536" s="2" t="s">
        <v>507</v>
      </c>
      <c r="R536" s="3"/>
    </row>
    <row r="537" spans="1:18">
      <c r="A537" s="14"/>
      <c r="B537" s="9"/>
      <c r="C537" s="10" t="str">
        <f t="shared" si="99"/>
        <v>PROGRAMMING EDITOR</v>
      </c>
      <c r="D537" s="9"/>
      <c r="E537" s="9" t="str">
        <f t="shared" si="100"/>
        <v>XINCI CHANG</v>
      </c>
      <c r="F537" s="9"/>
      <c r="G537" s="3"/>
      <c r="H537" s="3"/>
      <c r="I537" s="36" t="s">
        <v>508</v>
      </c>
      <c r="J537" s="3"/>
      <c r="K537" s="2" t="s">
        <v>509</v>
      </c>
      <c r="L537" s="7"/>
      <c r="M537" s="7"/>
      <c r="N537" s="7"/>
      <c r="O537" s="36" t="s">
        <v>508</v>
      </c>
      <c r="P537" s="3"/>
      <c r="Q537" s="2" t="s">
        <v>509</v>
      </c>
      <c r="R537" s="3"/>
    </row>
    <row r="538" spans="1:18">
      <c r="A538" s="14"/>
      <c r="B538" s="9"/>
      <c r="C538" s="10" t="str">
        <f t="shared" si="99"/>
        <v/>
      </c>
      <c r="D538" s="9"/>
      <c r="E538" s="9" t="str">
        <f t="shared" si="100"/>
        <v>NAIYUE HU</v>
      </c>
      <c r="F538" s="9"/>
      <c r="G538" s="3"/>
      <c r="H538" s="3"/>
      <c r="I538" s="8"/>
      <c r="J538" s="3"/>
      <c r="K538" s="2" t="s">
        <v>510</v>
      </c>
      <c r="L538" s="7"/>
      <c r="M538" s="7"/>
      <c r="N538" s="7"/>
      <c r="O538" s="8"/>
      <c r="P538" s="3"/>
      <c r="Q538" s="2" t="s">
        <v>510</v>
      </c>
      <c r="R538" s="3"/>
    </row>
    <row r="539" spans="1:18">
      <c r="A539" s="14"/>
      <c r="B539" s="9"/>
      <c r="C539" s="10" t="str">
        <f t="shared" si="99"/>
        <v/>
      </c>
      <c r="D539" s="9"/>
      <c r="E539" s="9" t="str">
        <f t="shared" si="100"/>
        <v>JING LIN</v>
      </c>
      <c r="F539" s="9"/>
      <c r="G539" s="3"/>
      <c r="H539" s="3"/>
      <c r="I539" s="8"/>
      <c r="J539" s="3"/>
      <c r="K539" s="2" t="s">
        <v>511</v>
      </c>
      <c r="L539" s="7"/>
      <c r="M539" s="7"/>
      <c r="N539" s="7"/>
      <c r="O539" s="8"/>
      <c r="P539" s="3"/>
      <c r="Q539" s="2" t="s">
        <v>511</v>
      </c>
      <c r="R539" s="3"/>
    </row>
    <row r="540" spans="1:18">
      <c r="A540" s="14"/>
      <c r="B540" s="9"/>
      <c r="C540" s="10" t="str">
        <f t="shared" si="99"/>
        <v/>
      </c>
      <c r="D540" s="9"/>
      <c r="E540" s="9" t="str">
        <f t="shared" si="100"/>
        <v>YOYO GAO</v>
      </c>
      <c r="F540" s="9"/>
      <c r="G540" s="3"/>
      <c r="H540" s="3"/>
      <c r="I540" s="8"/>
      <c r="J540" s="3"/>
      <c r="K540" s="2" t="s">
        <v>512</v>
      </c>
      <c r="L540" s="7"/>
      <c r="M540" s="7"/>
      <c r="N540" s="7"/>
      <c r="O540" s="8"/>
      <c r="P540" s="3"/>
      <c r="Q540" s="2" t="s">
        <v>512</v>
      </c>
      <c r="R540" s="3"/>
    </row>
    <row r="541" spans="1:18">
      <c r="A541" s="14"/>
      <c r="B541" s="9"/>
      <c r="C541" s="10" t="str">
        <f t="shared" si="99"/>
        <v/>
      </c>
      <c r="D541" s="9"/>
      <c r="E541" s="9" t="str">
        <f t="shared" si="100"/>
        <v>KRYSTAL YANG</v>
      </c>
      <c r="F541" s="9"/>
      <c r="G541" s="3"/>
      <c r="H541" s="3"/>
      <c r="I541" s="8"/>
      <c r="J541" s="3"/>
      <c r="K541" s="2" t="s">
        <v>513</v>
      </c>
      <c r="L541" s="7"/>
      <c r="M541" s="7"/>
      <c r="N541" s="7"/>
      <c r="O541" s="8"/>
      <c r="P541" s="3"/>
      <c r="Q541" s="2" t="s">
        <v>513</v>
      </c>
      <c r="R541" s="3"/>
    </row>
    <row r="542" spans="1:18">
      <c r="A542" s="14"/>
      <c r="B542" s="9"/>
      <c r="C542" s="10" t="str">
        <f t="shared" si="99"/>
        <v/>
      </c>
      <c r="D542" s="9"/>
      <c r="E542" s="9" t="str">
        <f t="shared" si="100"/>
        <v>BETTY MEI</v>
      </c>
      <c r="F542" s="9"/>
      <c r="G542" s="3"/>
      <c r="H542" s="3"/>
      <c r="I542" s="8"/>
      <c r="J542" s="3"/>
      <c r="K542" s="2" t="s">
        <v>514</v>
      </c>
      <c r="L542" s="7"/>
      <c r="M542" s="7"/>
      <c r="N542" s="7"/>
      <c r="O542" s="8"/>
      <c r="P542" s="3"/>
      <c r="Q542" s="2" t="s">
        <v>514</v>
      </c>
      <c r="R542" s="3"/>
    </row>
    <row r="543" spans="1:18">
      <c r="A543" s="14"/>
      <c r="B543" s="9"/>
      <c r="C543" s="10" t="str">
        <f t="shared" si="99"/>
        <v/>
      </c>
      <c r="D543" s="9"/>
      <c r="E543" s="9" t="str">
        <f t="shared" si="100"/>
        <v>RHEA LIU</v>
      </c>
      <c r="F543" s="9"/>
      <c r="G543" s="3"/>
      <c r="H543" s="3"/>
      <c r="I543" s="8"/>
      <c r="J543" s="3"/>
      <c r="K543" s="2" t="s">
        <v>515</v>
      </c>
      <c r="L543" s="7"/>
      <c r="M543" s="7"/>
      <c r="N543" s="7"/>
      <c r="O543" s="8"/>
      <c r="P543" s="3"/>
      <c r="Q543" s="2" t="s">
        <v>515</v>
      </c>
      <c r="R543" s="3"/>
    </row>
    <row r="544" spans="1:18">
      <c r="A544" s="14"/>
      <c r="B544" s="9"/>
      <c r="C544" s="10" t="str">
        <f t="shared" si="99"/>
        <v/>
      </c>
      <c r="D544" s="9"/>
      <c r="E544" s="9" t="str">
        <f t="shared" si="100"/>
        <v>ZHENGDAO CHEN</v>
      </c>
      <c r="F544" s="9"/>
      <c r="G544" s="3"/>
      <c r="H544" s="3"/>
      <c r="I544" s="8"/>
      <c r="J544" s="3"/>
      <c r="K544" s="2" t="s">
        <v>516</v>
      </c>
      <c r="L544" s="3"/>
      <c r="M544" s="8"/>
      <c r="N544" s="8"/>
      <c r="O544" s="8"/>
      <c r="P544" s="3"/>
      <c r="Q544" s="2" t="s">
        <v>516</v>
      </c>
      <c r="R544" s="3"/>
    </row>
    <row r="545" spans="1:18">
      <c r="A545" s="14"/>
      <c r="B545" s="9"/>
      <c r="C545" s="10" t="str">
        <f t="shared" si="99"/>
        <v>BUSINESS EDITOR</v>
      </c>
      <c r="D545" s="9"/>
      <c r="E545" s="9" t="str">
        <f t="shared" si="100"/>
        <v>LAINEY LIU</v>
      </c>
      <c r="F545" s="9"/>
      <c r="G545" s="3"/>
      <c r="H545" s="3"/>
      <c r="I545" s="36" t="s">
        <v>517</v>
      </c>
      <c r="J545" s="3"/>
      <c r="K545" s="2" t="s">
        <v>518</v>
      </c>
      <c r="L545" s="3"/>
      <c r="M545" s="8"/>
      <c r="N545" s="8"/>
      <c r="O545" s="36" t="s">
        <v>517</v>
      </c>
      <c r="P545" s="3"/>
      <c r="Q545" s="2" t="s">
        <v>518</v>
      </c>
      <c r="R545" s="3"/>
    </row>
    <row r="546" spans="1:18">
      <c r="A546" s="14"/>
      <c r="B546" s="9"/>
      <c r="C546" s="10" t="str">
        <f t="shared" si="99"/>
        <v/>
      </c>
      <c r="D546" s="9"/>
      <c r="E546" s="9" t="str">
        <f t="shared" si="100"/>
        <v>DEE ZHANG</v>
      </c>
      <c r="F546" s="9"/>
      <c r="G546" s="3"/>
      <c r="H546" s="3"/>
      <c r="I546" s="8"/>
      <c r="J546" s="3"/>
      <c r="K546" s="2" t="s">
        <v>519</v>
      </c>
      <c r="L546" s="3"/>
      <c r="M546" s="8"/>
      <c r="N546" s="8"/>
      <c r="O546" s="8"/>
      <c r="P546" s="3"/>
      <c r="Q546" s="2" t="s">
        <v>519</v>
      </c>
      <c r="R546" s="3"/>
    </row>
    <row r="547" spans="1:18">
      <c r="A547" s="14"/>
      <c r="B547" s="9"/>
      <c r="C547" s="10" t="str">
        <f t="shared" si="99"/>
        <v>LEGAL</v>
      </c>
      <c r="D547" s="9"/>
      <c r="E547" s="9" t="str">
        <f t="shared" si="100"/>
        <v>KAN ZHANG</v>
      </c>
      <c r="F547" s="9"/>
      <c r="G547" s="3"/>
      <c r="H547" s="3"/>
      <c r="I547" s="36" t="s">
        <v>520</v>
      </c>
      <c r="J547" s="3"/>
      <c r="K547" s="2" t="s">
        <v>521</v>
      </c>
      <c r="L547" s="3"/>
      <c r="M547" s="8"/>
      <c r="N547" s="8"/>
      <c r="O547" s="36" t="s">
        <v>520</v>
      </c>
      <c r="P547" s="3"/>
      <c r="Q547" s="2" t="s">
        <v>521</v>
      </c>
      <c r="R547" s="3"/>
    </row>
    <row r="548" spans="1:18">
      <c r="A548" s="14"/>
      <c r="B548" s="9"/>
      <c r="C548" s="10" t="str">
        <f t="shared" si="99"/>
        <v>FINANCE &amp; TAX</v>
      </c>
      <c r="D548" s="9"/>
      <c r="E548" s="9" t="str">
        <f t="shared" si="100"/>
        <v xml:space="preserve">XIAOCHEN ZHANG </v>
      </c>
      <c r="F548" s="9"/>
      <c r="G548" s="3"/>
      <c r="H548" s="3"/>
      <c r="I548" s="36" t="s">
        <v>522</v>
      </c>
      <c r="J548" s="3"/>
      <c r="K548" s="2" t="s">
        <v>523</v>
      </c>
      <c r="L548" s="3"/>
      <c r="M548" s="8"/>
      <c r="N548" s="8"/>
      <c r="O548" s="36" t="s">
        <v>522</v>
      </c>
      <c r="P548" s="3"/>
      <c r="Q548" s="2" t="s">
        <v>523</v>
      </c>
      <c r="R548" s="3"/>
    </row>
    <row r="549" spans="1:18">
      <c r="A549" s="14"/>
      <c r="B549" s="9"/>
      <c r="C549" s="10" t="str">
        <f t="shared" si="99"/>
        <v/>
      </c>
      <c r="D549" s="9"/>
      <c r="E549" s="9" t="str">
        <f t="shared" si="100"/>
        <v>YING CHEN</v>
      </c>
      <c r="F549" s="9"/>
      <c r="G549" s="3"/>
      <c r="H549" s="3"/>
      <c r="I549" s="2"/>
      <c r="J549" s="3"/>
      <c r="K549" s="2" t="s">
        <v>524</v>
      </c>
      <c r="L549" s="3"/>
      <c r="M549" s="8"/>
      <c r="N549" s="8"/>
      <c r="O549" s="2"/>
      <c r="P549" s="3"/>
      <c r="Q549" s="2" t="s">
        <v>524</v>
      </c>
      <c r="R549" s="3"/>
    </row>
    <row r="550" spans="1:18">
      <c r="A550" s="14"/>
      <c r="B550" s="9"/>
      <c r="C550" s="10" t="str">
        <f t="shared" si="99"/>
        <v>MARKETING</v>
      </c>
      <c r="D550" s="9"/>
      <c r="E550" s="9" t="str">
        <f t="shared" si="100"/>
        <v>TRACY CUI</v>
      </c>
      <c r="F550" s="9"/>
      <c r="G550" s="3"/>
      <c r="H550" s="3"/>
      <c r="I550" s="36" t="s">
        <v>525</v>
      </c>
      <c r="J550" s="3"/>
      <c r="K550" s="2" t="s">
        <v>526</v>
      </c>
      <c r="L550" s="3"/>
      <c r="M550" s="8"/>
      <c r="N550" s="8"/>
      <c r="O550" s="36" t="s">
        <v>525</v>
      </c>
      <c r="P550" s="3"/>
      <c r="Q550" s="2" t="s">
        <v>526</v>
      </c>
      <c r="R550" s="3"/>
    </row>
    <row r="551" spans="1:18">
      <c r="A551" s="14"/>
      <c r="B551" s="9"/>
      <c r="C551" s="10" t="str">
        <f t="shared" si="99"/>
        <v/>
      </c>
      <c r="D551" s="9"/>
      <c r="E551" s="9" t="str">
        <f t="shared" si="100"/>
        <v>MENGJIE HE</v>
      </c>
      <c r="F551" s="9"/>
      <c r="G551" s="3"/>
      <c r="H551" s="3"/>
      <c r="I551" s="8"/>
      <c r="J551" s="3"/>
      <c r="K551" s="2" t="s">
        <v>527</v>
      </c>
      <c r="L551" s="3"/>
      <c r="M551" s="8"/>
      <c r="N551" s="8"/>
      <c r="O551" s="8"/>
      <c r="P551" s="3"/>
      <c r="Q551" s="2" t="s">
        <v>527</v>
      </c>
      <c r="R551" s="3"/>
    </row>
    <row r="552" spans="1:18">
      <c r="A552" s="14"/>
      <c r="B552" s="9"/>
      <c r="C552" s="10" t="str">
        <f t="shared" si="99"/>
        <v/>
      </c>
      <c r="D552" s="9"/>
      <c r="E552" s="9" t="str">
        <f t="shared" si="100"/>
        <v>IRIS ZHANG</v>
      </c>
      <c r="F552" s="9"/>
      <c r="G552" s="3"/>
      <c r="H552" s="3"/>
      <c r="I552" s="8"/>
      <c r="J552" s="3"/>
      <c r="K552" s="2" t="s">
        <v>528</v>
      </c>
      <c r="L552" s="3"/>
      <c r="M552" s="8"/>
      <c r="N552" s="8"/>
      <c r="O552" s="8"/>
      <c r="P552" s="3"/>
      <c r="Q552" s="2" t="s">
        <v>528</v>
      </c>
      <c r="R552" s="3"/>
    </row>
    <row r="553" spans="1:18">
      <c r="A553" s="14"/>
      <c r="B553" s="9"/>
      <c r="C553" s="10"/>
      <c r="D553" s="9"/>
      <c r="E553" s="9" t="str">
        <f t="shared" si="100"/>
        <v>AARON YU</v>
      </c>
      <c r="F553" s="9"/>
      <c r="G553" s="3"/>
      <c r="H553" s="3"/>
      <c r="I553" s="8"/>
      <c r="J553" s="3"/>
      <c r="K553" s="2" t="s">
        <v>529</v>
      </c>
      <c r="L553" s="3"/>
      <c r="M553" s="8"/>
      <c r="N553" s="8"/>
      <c r="O553" s="8"/>
      <c r="P553" s="3"/>
      <c r="Q553" s="2" t="s">
        <v>529</v>
      </c>
      <c r="R553" s="3"/>
    </row>
    <row r="554" spans="1:18">
      <c r="A554" s="14"/>
      <c r="B554" s="11"/>
      <c r="C554" s="12"/>
      <c r="D554" s="11"/>
      <c r="E554" s="11"/>
      <c r="F554" s="11"/>
      <c r="G554" s="3"/>
      <c r="H554" s="3"/>
      <c r="I554" s="8"/>
      <c r="J554" s="3"/>
      <c r="K554" s="13"/>
      <c r="L554" s="3"/>
      <c r="M554" s="8"/>
      <c r="N554" s="8"/>
      <c r="O554" s="8"/>
      <c r="P554" s="3"/>
      <c r="Q554" s="3"/>
      <c r="R554" s="3"/>
    </row>
    <row r="555" spans="1:18">
      <c r="A555" s="14"/>
      <c r="B555" s="61"/>
      <c r="C555" s="61"/>
      <c r="D555" s="61"/>
      <c r="E555" s="61"/>
      <c r="F555" s="61"/>
      <c r="G555" s="3"/>
      <c r="H555" s="7"/>
      <c r="I555" s="7"/>
      <c r="J555" s="7"/>
      <c r="K555" s="7"/>
      <c r="L555" s="7"/>
      <c r="M555" s="8"/>
      <c r="N555" s="8"/>
      <c r="O555" s="8"/>
      <c r="P555" s="3"/>
      <c r="Q555" s="3"/>
      <c r="R555" s="3"/>
    </row>
    <row r="556" spans="1:18">
      <c r="A556" s="14"/>
      <c r="B556" s="143" t="str">
        <f t="shared" ref="B556:B559" si="101">UPPER(H556)</f>
        <v>PRODUCTION SERVICES PROVIDED BY</v>
      </c>
      <c r="C556" s="141"/>
      <c r="D556" s="141"/>
      <c r="E556" s="141"/>
      <c r="F556" s="141"/>
      <c r="G556" s="3"/>
      <c r="H556" s="145" t="s">
        <v>530</v>
      </c>
      <c r="I556" s="141"/>
      <c r="J556" s="141"/>
      <c r="K556" s="141"/>
      <c r="L556" s="141"/>
      <c r="M556" s="8"/>
      <c r="N556" s="145" t="s">
        <v>940</v>
      </c>
      <c r="O556" s="141"/>
      <c r="P556" s="141"/>
      <c r="Q556" s="141"/>
      <c r="R556" s="141"/>
    </row>
    <row r="557" spans="1:18">
      <c r="A557" s="14"/>
      <c r="B557" s="146" t="str">
        <f t="shared" si="101"/>
        <v>THE MONK STUDIOS</v>
      </c>
      <c r="C557" s="141"/>
      <c r="D557" s="141"/>
      <c r="E557" s="141"/>
      <c r="F557" s="141"/>
      <c r="G557" s="8"/>
      <c r="H557" s="149" t="s">
        <v>202</v>
      </c>
      <c r="I557" s="141"/>
      <c r="J557" s="141"/>
      <c r="K557" s="141"/>
      <c r="L557" s="141"/>
      <c r="M557" s="8"/>
      <c r="N557" s="149" t="s">
        <v>202</v>
      </c>
      <c r="O557" s="141"/>
      <c r="P557" s="141"/>
      <c r="Q557" s="141"/>
      <c r="R557" s="141"/>
    </row>
    <row r="558" spans="1:18">
      <c r="A558" s="14"/>
      <c r="B558" s="9" t="str">
        <f t="shared" si="101"/>
        <v/>
      </c>
      <c r="C558" s="10" t="str">
        <f>UPPER(I558)</f>
        <v/>
      </c>
      <c r="D558" s="9"/>
      <c r="E558" s="9" t="str">
        <f>UPPER(K558)</f>
        <v/>
      </c>
      <c r="F558" s="9"/>
      <c r="G558" s="3"/>
      <c r="H558" s="76"/>
      <c r="I558" s="8"/>
      <c r="J558" s="3"/>
      <c r="K558" s="13"/>
      <c r="L558" s="3"/>
      <c r="M558" s="8"/>
      <c r="N558" s="76"/>
      <c r="O558" s="8"/>
      <c r="P558" s="3"/>
      <c r="Q558" s="13"/>
      <c r="R558" s="3"/>
    </row>
    <row r="559" spans="1:18">
      <c r="A559" s="14"/>
      <c r="B559" s="146" t="str">
        <f t="shared" si="101"/>
        <v>MANAGEMENT</v>
      </c>
      <c r="C559" s="141"/>
      <c r="D559" s="141"/>
      <c r="E559" s="141"/>
      <c r="F559" s="141"/>
      <c r="G559" s="3"/>
      <c r="H559" s="151" t="s">
        <v>392</v>
      </c>
      <c r="I559" s="141"/>
      <c r="J559" s="141"/>
      <c r="K559" s="141"/>
      <c r="L559" s="141"/>
      <c r="M559" s="8"/>
      <c r="N559" s="151" t="s">
        <v>392</v>
      </c>
      <c r="O559" s="141"/>
      <c r="P559" s="141"/>
      <c r="Q559" s="141"/>
      <c r="R559" s="141"/>
    </row>
    <row r="560" spans="1:18">
      <c r="A560" s="14"/>
      <c r="B560" s="9"/>
      <c r="C560" s="10" t="str">
        <f t="shared" ref="C560:C582" si="102">UPPER(I560)</f>
        <v>PRODUCTION EXECUTIVE</v>
      </c>
      <c r="D560" s="9"/>
      <c r="E560" s="9" t="str">
        <f t="shared" ref="E560:E582" si="103">UPPER(K560)</f>
        <v>JUCK SOMSAMAN</v>
      </c>
      <c r="F560" s="9"/>
      <c r="G560" s="3"/>
      <c r="H560" s="13"/>
      <c r="I560" s="36" t="s">
        <v>531</v>
      </c>
      <c r="J560" s="3"/>
      <c r="K560" s="31" t="s">
        <v>532</v>
      </c>
      <c r="L560" s="3"/>
      <c r="M560" s="63"/>
      <c r="N560" s="13"/>
      <c r="O560" s="36" t="s">
        <v>531</v>
      </c>
      <c r="P560" s="3"/>
      <c r="Q560" s="31" t="s">
        <v>532</v>
      </c>
      <c r="R560" s="3"/>
    </row>
    <row r="561" spans="1:18">
      <c r="A561" s="14"/>
      <c r="B561" s="9"/>
      <c r="C561" s="10" t="str">
        <f t="shared" si="102"/>
        <v/>
      </c>
      <c r="D561" s="9"/>
      <c r="E561" s="9" t="str">
        <f t="shared" si="103"/>
        <v/>
      </c>
      <c r="F561" s="9"/>
      <c r="G561" s="3"/>
      <c r="H561" s="13"/>
      <c r="I561" s="36"/>
      <c r="J561" s="3"/>
      <c r="K561" s="31"/>
      <c r="L561" s="3"/>
      <c r="M561" s="8"/>
      <c r="N561" s="13"/>
      <c r="O561" s="36"/>
      <c r="P561" s="3"/>
      <c r="Q561" s="31"/>
      <c r="R561" s="3"/>
    </row>
    <row r="562" spans="1:18">
      <c r="A562" s="14"/>
      <c r="B562" s="9"/>
      <c r="C562" s="10" t="str">
        <f t="shared" si="102"/>
        <v>PRODUCTION MANAGER</v>
      </c>
      <c r="D562" s="9"/>
      <c r="E562" s="9" t="str">
        <f t="shared" si="103"/>
        <v>NAPASSARA CHAISUKDAMRONG</v>
      </c>
      <c r="F562" s="9"/>
      <c r="G562" s="3"/>
      <c r="H562" s="13"/>
      <c r="I562" s="36" t="s">
        <v>152</v>
      </c>
      <c r="J562" s="3"/>
      <c r="K562" s="31" t="s">
        <v>533</v>
      </c>
      <c r="L562" s="3"/>
      <c r="M562" s="8"/>
      <c r="N562" s="13"/>
      <c r="O562" s="36" t="s">
        <v>152</v>
      </c>
      <c r="P562" s="3"/>
      <c r="Q562" s="31" t="s">
        <v>533</v>
      </c>
      <c r="R562" s="3"/>
    </row>
    <row r="563" spans="1:18">
      <c r="A563" s="14"/>
      <c r="B563" s="9"/>
      <c r="C563" s="10" t="str">
        <f t="shared" si="102"/>
        <v/>
      </c>
      <c r="D563" s="9"/>
      <c r="E563" s="9" t="str">
        <f t="shared" si="103"/>
        <v>RUJIRA POKSOMBOONKIJ</v>
      </c>
      <c r="F563" s="9"/>
      <c r="G563" s="3"/>
      <c r="H563" s="13"/>
      <c r="I563" s="36"/>
      <c r="J563" s="3"/>
      <c r="K563" s="31" t="s">
        <v>534</v>
      </c>
      <c r="L563" s="3"/>
      <c r="M563" s="8"/>
      <c r="N563" s="13"/>
      <c r="O563" s="36"/>
      <c r="P563" s="3"/>
      <c r="Q563" s="31" t="s">
        <v>534</v>
      </c>
      <c r="R563" s="3"/>
    </row>
    <row r="564" spans="1:18">
      <c r="A564" s="14"/>
      <c r="B564" s="9"/>
      <c r="C564" s="10" t="str">
        <f t="shared" si="102"/>
        <v/>
      </c>
      <c r="D564" s="9"/>
      <c r="E564" s="9" t="str">
        <f t="shared" si="103"/>
        <v/>
      </c>
      <c r="F564" s="9"/>
      <c r="G564" s="3"/>
      <c r="H564" s="13"/>
      <c r="I564" s="36"/>
      <c r="J564" s="3"/>
      <c r="K564" s="65"/>
      <c r="L564" s="3"/>
      <c r="M564" s="8"/>
      <c r="N564" s="13"/>
      <c r="O564" s="36"/>
      <c r="P564" s="3"/>
      <c r="Q564" s="31"/>
      <c r="R564" s="3"/>
    </row>
    <row r="565" spans="1:18">
      <c r="A565" s="14"/>
      <c r="B565" s="9"/>
      <c r="C565" s="10" t="str">
        <f t="shared" si="102"/>
        <v>CG SUPEVISOR</v>
      </c>
      <c r="D565" s="9"/>
      <c r="E565" s="9" t="str">
        <f t="shared" si="103"/>
        <v>KATHA NA BADALUNG</v>
      </c>
      <c r="F565" s="9"/>
      <c r="G565" s="3"/>
      <c r="H565" s="13"/>
      <c r="I565" s="36" t="s">
        <v>535</v>
      </c>
      <c r="J565" s="3"/>
      <c r="K565" s="65" t="s">
        <v>536</v>
      </c>
      <c r="L565" s="3"/>
      <c r="M565" s="8"/>
      <c r="N565" s="13"/>
      <c r="O565" s="36" t="s">
        <v>535</v>
      </c>
      <c r="P565" s="3"/>
      <c r="Q565" s="31" t="s">
        <v>536</v>
      </c>
      <c r="R565" s="3"/>
    </row>
    <row r="566" spans="1:18">
      <c r="A566" s="14"/>
      <c r="B566" s="9"/>
      <c r="C566" s="10" t="str">
        <f t="shared" si="102"/>
        <v/>
      </c>
      <c r="D566" s="9"/>
      <c r="E566" s="9" t="str">
        <f t="shared" si="103"/>
        <v/>
      </c>
      <c r="F566" s="9"/>
      <c r="G566" s="3"/>
      <c r="H566" s="13"/>
      <c r="I566" s="36"/>
      <c r="J566" s="3"/>
      <c r="K566" s="31"/>
      <c r="L566" s="3"/>
      <c r="M566" s="8"/>
      <c r="N566" s="13"/>
      <c r="O566" s="36"/>
      <c r="P566" s="3"/>
      <c r="Q566" s="31"/>
      <c r="R566" s="3"/>
    </row>
    <row r="567" spans="1:18">
      <c r="A567" s="14"/>
      <c r="B567" s="9"/>
      <c r="C567" s="10" t="str">
        <f t="shared" si="102"/>
        <v>PRODUCER</v>
      </c>
      <c r="D567" s="9"/>
      <c r="E567" s="9" t="str">
        <f t="shared" si="103"/>
        <v>BUDSARIN PANOMMA</v>
      </c>
      <c r="F567" s="9"/>
      <c r="G567" s="3"/>
      <c r="H567" s="13"/>
      <c r="I567" s="36" t="s">
        <v>504</v>
      </c>
      <c r="J567" s="3"/>
      <c r="K567" s="31" t="s">
        <v>537</v>
      </c>
      <c r="L567" s="3"/>
      <c r="M567" s="8"/>
      <c r="N567" s="13"/>
      <c r="O567" s="36" t="s">
        <v>504</v>
      </c>
      <c r="P567" s="3"/>
      <c r="Q567" s="31" t="s">
        <v>537</v>
      </c>
      <c r="R567" s="3"/>
    </row>
    <row r="568" spans="1:18">
      <c r="A568" s="14"/>
      <c r="B568" s="9"/>
      <c r="C568" s="10" t="str">
        <f t="shared" si="102"/>
        <v/>
      </c>
      <c r="D568" s="9"/>
      <c r="E568" s="9" t="str">
        <f t="shared" si="103"/>
        <v/>
      </c>
      <c r="F568" s="9"/>
      <c r="G568" s="3"/>
      <c r="H568" s="13"/>
      <c r="I568" s="36"/>
      <c r="J568" s="3"/>
      <c r="K568" s="65"/>
      <c r="L568" s="3"/>
      <c r="M568" s="63"/>
      <c r="N568" s="13"/>
      <c r="O568" s="36"/>
      <c r="P568" s="3"/>
      <c r="Q568" s="31"/>
      <c r="R568" s="3"/>
    </row>
    <row r="569" spans="1:18">
      <c r="A569" s="14"/>
      <c r="B569" s="9"/>
      <c r="C569" s="10" t="str">
        <f t="shared" si="102"/>
        <v>ASSET MANAGER</v>
      </c>
      <c r="D569" s="9"/>
      <c r="E569" s="9" t="str">
        <f t="shared" si="103"/>
        <v>PALAPAS NIMAWAN</v>
      </c>
      <c r="F569" s="9"/>
      <c r="G569" s="3"/>
      <c r="H569" s="13"/>
      <c r="I569" s="36" t="s">
        <v>498</v>
      </c>
      <c r="J569" s="3"/>
      <c r="K569" s="65" t="s">
        <v>538</v>
      </c>
      <c r="L569" s="3"/>
      <c r="M569" s="63"/>
      <c r="N569" s="13"/>
      <c r="O569" s="36" t="s">
        <v>498</v>
      </c>
      <c r="P569" s="3"/>
      <c r="Q569" s="31" t="s">
        <v>538</v>
      </c>
      <c r="R569" s="3"/>
    </row>
    <row r="570" spans="1:18">
      <c r="A570" s="14"/>
      <c r="B570" s="9"/>
      <c r="C570" s="10" t="str">
        <f t="shared" si="102"/>
        <v>ANIMATION MANAGER</v>
      </c>
      <c r="D570" s="9"/>
      <c r="E570" s="9" t="str">
        <f t="shared" si="103"/>
        <v>PARINYA PONGSANGIAM</v>
      </c>
      <c r="F570" s="9"/>
      <c r="G570" s="3"/>
      <c r="H570" s="13"/>
      <c r="I570" s="36" t="s">
        <v>539</v>
      </c>
      <c r="J570" s="3"/>
      <c r="K570" s="65" t="s">
        <v>540</v>
      </c>
      <c r="L570" s="3"/>
      <c r="M570" s="8"/>
      <c r="N570" s="13"/>
      <c r="O570" s="36" t="s">
        <v>539</v>
      </c>
      <c r="P570" s="3"/>
      <c r="Q570" s="31" t="s">
        <v>540</v>
      </c>
      <c r="R570" s="3"/>
    </row>
    <row r="571" spans="1:18">
      <c r="A571" s="14"/>
      <c r="B571" s="9"/>
      <c r="C571" s="10" t="str">
        <f t="shared" si="102"/>
        <v>CG MANAGER</v>
      </c>
      <c r="D571" s="9"/>
      <c r="E571" s="9" t="str">
        <f t="shared" si="103"/>
        <v>SASIPORN PANOMMA</v>
      </c>
      <c r="F571" s="9"/>
      <c r="G571" s="3"/>
      <c r="H571" s="13"/>
      <c r="I571" s="36" t="s">
        <v>541</v>
      </c>
      <c r="J571" s="3"/>
      <c r="K571" s="31" t="s">
        <v>542</v>
      </c>
      <c r="L571" s="3"/>
      <c r="M571" s="63"/>
      <c r="N571" s="13"/>
      <c r="O571" s="36" t="s">
        <v>541</v>
      </c>
      <c r="P571" s="3"/>
      <c r="Q571" s="31" t="s">
        <v>542</v>
      </c>
      <c r="R571" s="3"/>
    </row>
    <row r="572" spans="1:18">
      <c r="A572" s="14"/>
      <c r="B572" s="9"/>
      <c r="C572" s="10" t="str">
        <f t="shared" si="102"/>
        <v/>
      </c>
      <c r="D572" s="9"/>
      <c r="E572" s="9" t="str">
        <f t="shared" si="103"/>
        <v/>
      </c>
      <c r="F572" s="9"/>
      <c r="G572" s="3"/>
      <c r="H572" s="13"/>
      <c r="I572" s="36"/>
      <c r="J572" s="3"/>
      <c r="K572" s="31"/>
      <c r="L572" s="3"/>
      <c r="M572" s="8"/>
      <c r="N572" s="13"/>
      <c r="O572" s="36"/>
      <c r="P572" s="3"/>
      <c r="Q572" s="31"/>
      <c r="R572" s="3"/>
    </row>
    <row r="573" spans="1:18">
      <c r="A573" s="14"/>
      <c r="B573" s="9"/>
      <c r="C573" s="10" t="str">
        <f t="shared" si="102"/>
        <v>ASSET COORDINATOR</v>
      </c>
      <c r="D573" s="9"/>
      <c r="E573" s="9" t="str">
        <f t="shared" si="103"/>
        <v>CHUTCHAPHOL KHANTASOPHON</v>
      </c>
      <c r="F573" s="9"/>
      <c r="G573" s="3"/>
      <c r="H573" s="13"/>
      <c r="I573" s="36" t="s">
        <v>543</v>
      </c>
      <c r="J573" s="3"/>
      <c r="K573" s="31" t="s">
        <v>544</v>
      </c>
      <c r="L573" s="3"/>
      <c r="M573" s="8"/>
      <c r="N573" s="13"/>
      <c r="O573" s="36" t="s">
        <v>543</v>
      </c>
      <c r="P573" s="3"/>
      <c r="Q573" s="31" t="s">
        <v>544</v>
      </c>
      <c r="R573" s="3"/>
    </row>
    <row r="574" spans="1:18">
      <c r="A574" s="14"/>
      <c r="B574" s="9"/>
      <c r="C574" s="10" t="str">
        <f t="shared" si="102"/>
        <v/>
      </c>
      <c r="D574" s="9"/>
      <c r="E574" s="9" t="str">
        <f t="shared" si="103"/>
        <v>WARISSARA PETSAKUL</v>
      </c>
      <c r="F574" s="9"/>
      <c r="G574" s="3"/>
      <c r="H574" s="13"/>
      <c r="I574" s="36"/>
      <c r="J574" s="3"/>
      <c r="K574" s="31" t="s">
        <v>545</v>
      </c>
      <c r="L574" s="3"/>
      <c r="M574" s="63"/>
      <c r="N574" s="13"/>
      <c r="O574" s="36"/>
      <c r="P574" s="3"/>
      <c r="Q574" s="31" t="s">
        <v>545</v>
      </c>
      <c r="R574" s="3"/>
    </row>
    <row r="575" spans="1:18">
      <c r="A575" s="14"/>
      <c r="B575" s="9"/>
      <c r="C575" s="10" t="str">
        <f t="shared" si="102"/>
        <v>LAYOUT COORDINATOR</v>
      </c>
      <c r="D575" s="9"/>
      <c r="E575" s="9" t="str">
        <f t="shared" si="103"/>
        <v>PATSAWAN CHUASRITRAKUL</v>
      </c>
      <c r="F575" s="9"/>
      <c r="G575" s="3"/>
      <c r="H575" s="13"/>
      <c r="I575" s="36" t="s">
        <v>546</v>
      </c>
      <c r="J575" s="3"/>
      <c r="K575" s="31" t="s">
        <v>547</v>
      </c>
      <c r="L575" s="3"/>
      <c r="M575" s="8"/>
      <c r="N575" s="13"/>
      <c r="O575" s="36" t="s">
        <v>546</v>
      </c>
      <c r="P575" s="3"/>
      <c r="Q575" s="31" t="s">
        <v>547</v>
      </c>
      <c r="R575" s="3"/>
    </row>
    <row r="576" spans="1:18">
      <c r="A576" s="14"/>
      <c r="B576" s="9"/>
      <c r="C576" s="10" t="str">
        <f t="shared" si="102"/>
        <v>ANIMATION COORDINATOR</v>
      </c>
      <c r="D576" s="9"/>
      <c r="E576" s="9" t="str">
        <f t="shared" si="103"/>
        <v>SAWITA STARPITCHAYANANT</v>
      </c>
      <c r="F576" s="9"/>
      <c r="G576" s="3"/>
      <c r="H576" s="13"/>
      <c r="I576" s="36" t="s">
        <v>548</v>
      </c>
      <c r="J576" s="3"/>
      <c r="K576" s="31" t="s">
        <v>549</v>
      </c>
      <c r="L576" s="3"/>
      <c r="M576" s="8"/>
      <c r="N576" s="13"/>
      <c r="O576" s="36" t="s">
        <v>548</v>
      </c>
      <c r="P576" s="3"/>
      <c r="Q576" s="31" t="s">
        <v>549</v>
      </c>
      <c r="R576" s="3"/>
    </row>
    <row r="577" spans="1:18">
      <c r="A577" s="14"/>
      <c r="B577" s="9"/>
      <c r="C577" s="10" t="str">
        <f t="shared" si="102"/>
        <v/>
      </c>
      <c r="D577" s="9"/>
      <c r="E577" s="9" t="str">
        <f t="shared" si="103"/>
        <v>KUNLAPHAT JEERAMANEEMAI</v>
      </c>
      <c r="F577" s="9"/>
      <c r="G577" s="3"/>
      <c r="H577" s="13"/>
      <c r="I577" s="36"/>
      <c r="J577" s="3"/>
      <c r="K577" s="31" t="s">
        <v>550</v>
      </c>
      <c r="L577" s="3"/>
      <c r="M577" s="8"/>
      <c r="N577" s="13"/>
      <c r="O577" s="36"/>
      <c r="P577" s="3"/>
      <c r="Q577" s="31" t="s">
        <v>550</v>
      </c>
      <c r="R577" s="3"/>
    </row>
    <row r="578" spans="1:18">
      <c r="A578" s="14"/>
      <c r="B578" s="9"/>
      <c r="C578" s="10" t="str">
        <f t="shared" si="102"/>
        <v/>
      </c>
      <c r="D578" s="9"/>
      <c r="E578" s="9" t="str">
        <f t="shared" si="103"/>
        <v>PUNYAWEE TUNGJAISUE</v>
      </c>
      <c r="F578" s="9"/>
      <c r="G578" s="3"/>
      <c r="H578" s="13"/>
      <c r="I578" s="36"/>
      <c r="J578" s="3"/>
      <c r="K578" s="31" t="s">
        <v>551</v>
      </c>
      <c r="L578" s="3"/>
      <c r="M578" s="8"/>
      <c r="N578" s="13"/>
      <c r="O578" s="36"/>
      <c r="P578" s="3"/>
      <c r="Q578" s="31" t="s">
        <v>551</v>
      </c>
      <c r="R578" s="3"/>
    </row>
    <row r="579" spans="1:18">
      <c r="A579" s="14"/>
      <c r="B579" s="9"/>
      <c r="C579" s="10" t="str">
        <f t="shared" si="102"/>
        <v/>
      </c>
      <c r="D579" s="9"/>
      <c r="E579" s="9" t="str">
        <f t="shared" si="103"/>
        <v>GOH SHU LI</v>
      </c>
      <c r="F579" s="9"/>
      <c r="G579" s="3"/>
      <c r="H579" s="13"/>
      <c r="I579" s="36"/>
      <c r="J579" s="3"/>
      <c r="K579" s="22" t="s">
        <v>729</v>
      </c>
      <c r="L579" s="3"/>
      <c r="M579" s="8"/>
      <c r="N579" s="13"/>
      <c r="O579" s="36"/>
      <c r="P579" s="3"/>
      <c r="Q579" s="22" t="s">
        <v>729</v>
      </c>
      <c r="R579" s="3"/>
    </row>
    <row r="580" spans="1:18">
      <c r="A580" s="14"/>
      <c r="B580" s="9"/>
      <c r="C580" s="10" t="str">
        <f t="shared" si="102"/>
        <v>FX COORDINATOR</v>
      </c>
      <c r="D580" s="9"/>
      <c r="E580" s="9" t="str">
        <f t="shared" si="103"/>
        <v>NAVIPAS SUTTICHONSAKUL</v>
      </c>
      <c r="F580" s="9"/>
      <c r="G580" s="3"/>
      <c r="H580" s="13"/>
      <c r="I580" s="36" t="s">
        <v>552</v>
      </c>
      <c r="J580" s="3"/>
      <c r="K580" s="31" t="s">
        <v>553</v>
      </c>
      <c r="L580" s="3"/>
      <c r="M580" s="8"/>
      <c r="N580" s="13"/>
      <c r="O580" s="36" t="s">
        <v>552</v>
      </c>
      <c r="P580" s="3"/>
      <c r="Q580" s="31" t="s">
        <v>553</v>
      </c>
      <c r="R580" s="3"/>
    </row>
    <row r="581" spans="1:18">
      <c r="A581" s="14"/>
      <c r="B581" s="9"/>
      <c r="C581" s="10" t="str">
        <f t="shared" si="102"/>
        <v>LRC COORDINATOR</v>
      </c>
      <c r="D581" s="9"/>
      <c r="E581" s="9" t="str">
        <f t="shared" si="103"/>
        <v>SUNIDA DANGTHONGKUM</v>
      </c>
      <c r="F581" s="9"/>
      <c r="G581" s="3"/>
      <c r="H581" s="13"/>
      <c r="I581" s="36" t="s">
        <v>554</v>
      </c>
      <c r="J581" s="3"/>
      <c r="K581" s="31" t="s">
        <v>555</v>
      </c>
      <c r="L581" s="3"/>
      <c r="M581" s="8"/>
      <c r="N581" s="13"/>
      <c r="O581" s="36" t="s">
        <v>554</v>
      </c>
      <c r="P581" s="3"/>
      <c r="Q581" s="31" t="s">
        <v>555</v>
      </c>
      <c r="R581" s="3"/>
    </row>
    <row r="582" spans="1:18">
      <c r="A582" s="14"/>
      <c r="B582" s="9"/>
      <c r="C582" s="10" t="str">
        <f t="shared" si="102"/>
        <v>PIPELINE&amp;TD COORDINATOR</v>
      </c>
      <c r="D582" s="9"/>
      <c r="E582" s="9" t="str">
        <f t="shared" si="103"/>
        <v>DANUPHOL JONGARIYAKUL</v>
      </c>
      <c r="F582" s="9"/>
      <c r="G582" s="3"/>
      <c r="H582" s="13"/>
      <c r="I582" s="36" t="s">
        <v>556</v>
      </c>
      <c r="J582" s="3"/>
      <c r="K582" s="31" t="s">
        <v>557</v>
      </c>
      <c r="L582" s="3"/>
      <c r="M582" s="8"/>
      <c r="N582" s="13"/>
      <c r="O582" s="36" t="s">
        <v>556</v>
      </c>
      <c r="P582" s="3"/>
      <c r="Q582" s="31" t="s">
        <v>557</v>
      </c>
      <c r="R582" s="3"/>
    </row>
    <row r="583" spans="1:18">
      <c r="A583" s="14"/>
      <c r="B583" s="9"/>
      <c r="C583" s="10"/>
      <c r="D583" s="9"/>
      <c r="E583" s="9"/>
      <c r="F583" s="9"/>
      <c r="G583" s="3"/>
      <c r="H583" s="13"/>
      <c r="I583" s="36"/>
      <c r="J583" s="3"/>
      <c r="K583" s="31"/>
      <c r="L583" s="3"/>
      <c r="M583" s="8"/>
      <c r="N583" s="13"/>
      <c r="O583" s="8"/>
      <c r="P583" s="3"/>
      <c r="Q583" s="13"/>
      <c r="R583" s="3"/>
    </row>
    <row r="584" spans="1:18">
      <c r="A584" s="14"/>
      <c r="B584" s="11"/>
      <c r="C584" s="12" t="str">
        <f>UPPER(I584)</f>
        <v/>
      </c>
      <c r="D584" s="11"/>
      <c r="E584" s="11" t="str">
        <f>UPPER(K584)</f>
        <v/>
      </c>
      <c r="F584" s="11"/>
      <c r="G584" s="3"/>
      <c r="H584" s="13"/>
      <c r="I584" s="8"/>
      <c r="J584" s="3"/>
      <c r="K584" s="13"/>
      <c r="L584" s="3"/>
      <c r="M584" s="8"/>
      <c r="N584" s="8"/>
      <c r="O584" s="8"/>
      <c r="P584" s="3"/>
      <c r="Q584" s="3"/>
      <c r="R584" s="3"/>
    </row>
    <row r="585" spans="1:18">
      <c r="A585" s="14"/>
      <c r="B585" s="6"/>
      <c r="C585" s="6"/>
      <c r="D585" s="6"/>
      <c r="E585" s="6"/>
      <c r="F585" s="6"/>
      <c r="G585" s="3"/>
      <c r="H585" s="74"/>
      <c r="I585" s="5"/>
      <c r="J585" s="5"/>
      <c r="K585" s="5"/>
      <c r="L585" s="74"/>
      <c r="M585" s="8"/>
      <c r="N585" s="8"/>
      <c r="O585" s="8"/>
      <c r="P585" s="3"/>
      <c r="Q585" s="3"/>
      <c r="R585" s="3"/>
    </row>
    <row r="586" spans="1:18">
      <c r="A586" s="14"/>
      <c r="B586" s="143" t="str">
        <f t="shared" ref="B586:B587" si="104">UPPER(H586)</f>
        <v>PRODUCTION SERVICES PROVIDED BY</v>
      </c>
      <c r="C586" s="141"/>
      <c r="D586" s="141"/>
      <c r="E586" s="141"/>
      <c r="F586" s="141"/>
      <c r="G586" s="3"/>
      <c r="H586" s="145" t="s">
        <v>530</v>
      </c>
      <c r="I586" s="141"/>
      <c r="J586" s="141"/>
      <c r="K586" s="141"/>
      <c r="L586" s="141"/>
      <c r="M586" s="8"/>
      <c r="N586" s="145" t="s">
        <v>940</v>
      </c>
      <c r="O586" s="141"/>
      <c r="P586" s="141"/>
      <c r="Q586" s="141"/>
      <c r="R586" s="141"/>
    </row>
    <row r="587" spans="1:18">
      <c r="A587" s="14"/>
      <c r="B587" s="146" t="str">
        <f t="shared" si="104"/>
        <v>THE MONK STUDIOS</v>
      </c>
      <c r="C587" s="141"/>
      <c r="D587" s="141"/>
      <c r="E587" s="141"/>
      <c r="F587" s="141"/>
      <c r="G587" s="8"/>
      <c r="H587" s="149" t="s">
        <v>202</v>
      </c>
      <c r="I587" s="141"/>
      <c r="J587" s="141"/>
      <c r="K587" s="141"/>
      <c r="L587" s="141"/>
      <c r="M587" s="8"/>
      <c r="N587" s="149" t="s">
        <v>202</v>
      </c>
      <c r="O587" s="141"/>
      <c r="P587" s="141"/>
      <c r="Q587" s="141"/>
      <c r="R587" s="141"/>
    </row>
    <row r="588" spans="1:18">
      <c r="A588" s="14"/>
      <c r="B588" s="6"/>
      <c r="C588" s="6"/>
      <c r="D588" s="6"/>
      <c r="E588" s="6"/>
      <c r="F588" s="6"/>
      <c r="G588" s="3"/>
      <c r="H588" s="74"/>
      <c r="I588" s="5"/>
      <c r="J588" s="5"/>
      <c r="K588" s="5"/>
      <c r="L588" s="74"/>
      <c r="M588" s="8"/>
      <c r="N588" s="74"/>
      <c r="O588" s="5"/>
      <c r="P588" s="5"/>
      <c r="Q588" s="5"/>
      <c r="R588" s="74"/>
    </row>
    <row r="589" spans="1:18">
      <c r="A589" s="14"/>
      <c r="B589" s="146" t="str">
        <f>UPPER(H589)</f>
        <v>PIPELINE &amp; TD</v>
      </c>
      <c r="C589" s="141"/>
      <c r="D589" s="141"/>
      <c r="E589" s="141"/>
      <c r="F589" s="141"/>
      <c r="G589" s="3"/>
      <c r="H589" s="151" t="s">
        <v>558</v>
      </c>
      <c r="I589" s="141"/>
      <c r="J589" s="141"/>
      <c r="K589" s="141"/>
      <c r="L589" s="141"/>
      <c r="M589" s="8"/>
      <c r="N589" s="151" t="s">
        <v>558</v>
      </c>
      <c r="O589" s="141"/>
      <c r="P589" s="141"/>
      <c r="Q589" s="141"/>
      <c r="R589" s="141"/>
    </row>
    <row r="590" spans="1:18">
      <c r="A590" s="14"/>
      <c r="B590" s="9"/>
      <c r="C590" s="10" t="str">
        <f>UPPER(I590)</f>
        <v>HEAD OF PIPELINE</v>
      </c>
      <c r="D590" s="9"/>
      <c r="E590" s="9" t="str">
        <f t="shared" ref="E590:E608" si="105">UPPER(K590)</f>
        <v>MICHAEL ISARASAK KHANTHAROD</v>
      </c>
      <c r="F590" s="9"/>
      <c r="G590" s="3"/>
      <c r="H590" s="13"/>
      <c r="I590" s="36" t="s">
        <v>561</v>
      </c>
      <c r="J590" s="3"/>
      <c r="K590" s="31" t="s">
        <v>562</v>
      </c>
      <c r="L590" s="3"/>
      <c r="M590" s="8"/>
      <c r="N590" s="13"/>
      <c r="O590" s="36" t="s">
        <v>561</v>
      </c>
      <c r="P590" s="3"/>
      <c r="Q590" s="31" t="s">
        <v>562</v>
      </c>
      <c r="R590" s="3"/>
    </row>
    <row r="591" spans="1:18">
      <c r="A591" s="14"/>
      <c r="B591" s="9"/>
      <c r="C591" s="10"/>
      <c r="D591" s="9"/>
      <c r="E591" s="9" t="str">
        <f t="shared" si="105"/>
        <v/>
      </c>
      <c r="F591" s="9"/>
      <c r="G591" s="3"/>
      <c r="H591" s="13"/>
      <c r="I591" s="36"/>
      <c r="J591" s="3"/>
      <c r="K591" s="31"/>
      <c r="L591" s="3"/>
      <c r="M591" s="8"/>
      <c r="N591" s="13"/>
      <c r="O591" s="36"/>
      <c r="P591" s="3"/>
      <c r="Q591" s="31"/>
      <c r="R591" s="3"/>
    </row>
    <row r="592" spans="1:18">
      <c r="A592" s="14"/>
      <c r="B592" s="9"/>
      <c r="C592" s="10" t="str">
        <f>UPPER(I592)</f>
        <v>LEAD PIPELINE</v>
      </c>
      <c r="D592" s="9"/>
      <c r="E592" s="9" t="str">
        <f t="shared" si="105"/>
        <v>SARINPORN PINTUSOPON</v>
      </c>
      <c r="F592" s="9"/>
      <c r="G592" s="3"/>
      <c r="H592" s="13"/>
      <c r="I592" s="36" t="s">
        <v>563</v>
      </c>
      <c r="J592" s="3"/>
      <c r="K592" s="31" t="s">
        <v>564</v>
      </c>
      <c r="L592" s="3"/>
      <c r="M592" s="8"/>
      <c r="N592" s="13"/>
      <c r="O592" s="36" t="s">
        <v>563</v>
      </c>
      <c r="P592" s="3"/>
      <c r="Q592" s="31" t="s">
        <v>564</v>
      </c>
      <c r="R592" s="3"/>
    </row>
    <row r="593" spans="1:18">
      <c r="A593" s="14"/>
      <c r="B593" s="9"/>
      <c r="C593" s="10"/>
      <c r="D593" s="9"/>
      <c r="E593" s="9" t="str">
        <f t="shared" si="105"/>
        <v/>
      </c>
      <c r="F593" s="9"/>
      <c r="G593" s="3"/>
      <c r="H593" s="13"/>
      <c r="I593" s="36"/>
      <c r="J593" s="3"/>
      <c r="K593" s="31"/>
      <c r="L593" s="3"/>
      <c r="M593" s="8"/>
      <c r="N593" s="13"/>
      <c r="O593" s="36"/>
      <c r="P593" s="3"/>
      <c r="Q593" s="31"/>
      <c r="R593" s="3"/>
    </row>
    <row r="594" spans="1:18">
      <c r="A594" s="14"/>
      <c r="B594" s="9"/>
      <c r="C594" s="10" t="str">
        <f>UPPER(I594)</f>
        <v>PIPELINE DEVELOPER</v>
      </c>
      <c r="D594" s="9"/>
      <c r="E594" s="9" t="str">
        <f t="shared" si="105"/>
        <v>TANARAT LUANG-ON</v>
      </c>
      <c r="F594" s="9"/>
      <c r="G594" s="3"/>
      <c r="H594" s="13"/>
      <c r="I594" s="36" t="s">
        <v>565</v>
      </c>
      <c r="J594" s="3"/>
      <c r="K594" s="31" t="s">
        <v>566</v>
      </c>
      <c r="L594" s="3"/>
      <c r="M594" s="8"/>
      <c r="N594" s="13"/>
      <c r="O594" s="36" t="s">
        <v>565</v>
      </c>
      <c r="P594" s="3"/>
      <c r="Q594" s="31" t="s">
        <v>566</v>
      </c>
      <c r="R594" s="3"/>
    </row>
    <row r="595" spans="1:18">
      <c r="A595" s="14"/>
      <c r="B595" s="9"/>
      <c r="C595" s="10"/>
      <c r="D595" s="9"/>
      <c r="E595" s="9" t="str">
        <f t="shared" si="105"/>
        <v>THANYATHON TAYANGKHANON</v>
      </c>
      <c r="F595" s="9"/>
      <c r="G595" s="3"/>
      <c r="H595" s="13"/>
      <c r="I595" s="36"/>
      <c r="J595" s="3"/>
      <c r="K595" s="31" t="s">
        <v>567</v>
      </c>
      <c r="L595" s="3"/>
      <c r="M595" s="8"/>
      <c r="N595" s="13"/>
      <c r="O595" s="36"/>
      <c r="P595" s="3"/>
      <c r="Q595" s="31" t="s">
        <v>567</v>
      </c>
      <c r="R595" s="3"/>
    </row>
    <row r="596" spans="1:18">
      <c r="A596" s="14"/>
      <c r="B596" s="9"/>
      <c r="C596" s="10" t="str">
        <f t="shared" ref="C596:C599" si="106">UPPER(I596)</f>
        <v/>
      </c>
      <c r="D596" s="9"/>
      <c r="E596" s="9" t="str">
        <f t="shared" si="105"/>
        <v>NUTTAPON VANAKITTISTIEN</v>
      </c>
      <c r="F596" s="9"/>
      <c r="G596" s="3"/>
      <c r="H596" s="13"/>
      <c r="I596" s="36"/>
      <c r="J596" s="3"/>
      <c r="K596" s="31" t="s">
        <v>568</v>
      </c>
      <c r="L596" s="3"/>
      <c r="M596" s="63"/>
      <c r="N596" s="13"/>
      <c r="O596" s="36"/>
      <c r="P596" s="3"/>
      <c r="Q596" s="31" t="s">
        <v>568</v>
      </c>
      <c r="R596" s="3"/>
    </row>
    <row r="597" spans="1:18">
      <c r="A597" s="14"/>
      <c r="B597" s="9"/>
      <c r="C597" s="10" t="str">
        <f t="shared" si="106"/>
        <v/>
      </c>
      <c r="D597" s="9"/>
      <c r="E597" s="9" t="str">
        <f t="shared" si="105"/>
        <v>APISIT SENLUANG</v>
      </c>
      <c r="F597" s="9"/>
      <c r="G597" s="3"/>
      <c r="H597" s="13"/>
      <c r="I597" s="36"/>
      <c r="J597" s="3"/>
      <c r="K597" s="31" t="s">
        <v>569</v>
      </c>
      <c r="L597" s="3"/>
      <c r="M597" s="8"/>
      <c r="N597" s="13"/>
      <c r="O597" s="36"/>
      <c r="P597" s="3"/>
      <c r="Q597" s="31" t="s">
        <v>569</v>
      </c>
      <c r="R597" s="3"/>
    </row>
    <row r="598" spans="1:18">
      <c r="A598" s="14"/>
      <c r="B598" s="9"/>
      <c r="C598" s="10" t="str">
        <f t="shared" si="106"/>
        <v/>
      </c>
      <c r="D598" s="9"/>
      <c r="E598" s="9" t="str">
        <f t="shared" si="105"/>
        <v/>
      </c>
      <c r="F598" s="9"/>
      <c r="G598" s="3"/>
      <c r="H598" s="13"/>
      <c r="I598" s="36"/>
      <c r="J598" s="3"/>
      <c r="K598" s="31"/>
      <c r="L598" s="3"/>
      <c r="M598" s="8"/>
      <c r="N598" s="13"/>
      <c r="O598" s="36"/>
      <c r="P598" s="3"/>
      <c r="Q598" s="31"/>
      <c r="R598" s="3"/>
    </row>
    <row r="599" spans="1:18">
      <c r="A599" s="14"/>
      <c r="B599" s="9"/>
      <c r="C599" s="10" t="str">
        <f t="shared" si="106"/>
        <v>LEAD TECHNICAL DIRECTOR</v>
      </c>
      <c r="D599" s="9"/>
      <c r="E599" s="9" t="str">
        <f t="shared" si="105"/>
        <v>THANAPAT TUMMATI</v>
      </c>
      <c r="F599" s="9"/>
      <c r="G599" s="3"/>
      <c r="H599" s="13"/>
      <c r="I599" s="36" t="s">
        <v>570</v>
      </c>
      <c r="J599" s="3"/>
      <c r="K599" s="31" t="s">
        <v>571</v>
      </c>
      <c r="L599" s="3"/>
      <c r="M599" s="8"/>
      <c r="N599" s="13"/>
      <c r="O599" s="36" t="s">
        <v>570</v>
      </c>
      <c r="P599" s="3"/>
      <c r="Q599" s="31" t="s">
        <v>571</v>
      </c>
      <c r="R599" s="3"/>
    </row>
    <row r="600" spans="1:18">
      <c r="A600" s="14"/>
      <c r="B600" s="9"/>
      <c r="C600" s="10"/>
      <c r="D600" s="9"/>
      <c r="E600" s="9" t="str">
        <f t="shared" si="105"/>
        <v/>
      </c>
      <c r="F600" s="9"/>
      <c r="G600" s="3"/>
      <c r="H600" s="13"/>
      <c r="I600" s="36"/>
      <c r="J600" s="3"/>
      <c r="K600" s="31"/>
      <c r="L600" s="3"/>
      <c r="M600" s="8"/>
      <c r="N600" s="13"/>
      <c r="O600" s="36"/>
      <c r="P600" s="3"/>
      <c r="Q600" s="31"/>
      <c r="R600" s="3"/>
    </row>
    <row r="601" spans="1:18">
      <c r="A601" s="14"/>
      <c r="B601" s="9"/>
      <c r="C601" s="10" t="str">
        <f>UPPER(I601)</f>
        <v>TECHNICAL DIRECTOR</v>
      </c>
      <c r="D601" s="9"/>
      <c r="E601" s="9" t="str">
        <f t="shared" si="105"/>
        <v>TANAWOOT  SINGTHONGPRASERT</v>
      </c>
      <c r="F601" s="9"/>
      <c r="G601" s="3"/>
      <c r="H601" s="13"/>
      <c r="I601" s="36" t="s">
        <v>572</v>
      </c>
      <c r="J601" s="3"/>
      <c r="K601" s="31" t="s">
        <v>646</v>
      </c>
      <c r="L601" s="3"/>
      <c r="M601" s="8"/>
      <c r="N601" s="13"/>
      <c r="O601" s="36" t="s">
        <v>572</v>
      </c>
      <c r="P601" s="3"/>
      <c r="Q601" s="31" t="s">
        <v>646</v>
      </c>
      <c r="R601" s="3"/>
    </row>
    <row r="602" spans="1:18">
      <c r="A602" s="14"/>
      <c r="B602" s="9"/>
      <c r="C602" s="10"/>
      <c r="D602" s="9"/>
      <c r="E602" s="9" t="str">
        <f t="shared" si="105"/>
        <v>PEERAPAT SRIPENG</v>
      </c>
      <c r="F602" s="9"/>
      <c r="G602" s="3"/>
      <c r="H602" s="13"/>
      <c r="I602" s="36"/>
      <c r="J602" s="3"/>
      <c r="K602" s="31" t="s">
        <v>574</v>
      </c>
      <c r="L602" s="3"/>
      <c r="M602" s="8"/>
      <c r="N602" s="13"/>
      <c r="O602" s="36"/>
      <c r="P602" s="3"/>
      <c r="Q602" s="31" t="s">
        <v>574</v>
      </c>
      <c r="R602" s="3"/>
    </row>
    <row r="603" spans="1:18">
      <c r="A603" s="14"/>
      <c r="B603" s="9"/>
      <c r="C603" s="10" t="str">
        <f t="shared" ref="C603:C607" si="107">UPPER(I603)</f>
        <v/>
      </c>
      <c r="D603" s="9"/>
      <c r="E603" s="9" t="str">
        <f t="shared" si="105"/>
        <v>THIRADA THEETHUM</v>
      </c>
      <c r="F603" s="9"/>
      <c r="G603" s="3"/>
      <c r="H603" s="13"/>
      <c r="I603" s="36"/>
      <c r="J603" s="3"/>
      <c r="K603" s="31" t="s">
        <v>575</v>
      </c>
      <c r="L603" s="3"/>
      <c r="M603" s="8"/>
      <c r="N603" s="13"/>
      <c r="O603" s="36"/>
      <c r="P603" s="3"/>
      <c r="Q603" s="31" t="s">
        <v>575</v>
      </c>
      <c r="R603" s="3"/>
    </row>
    <row r="604" spans="1:18">
      <c r="A604" s="14"/>
      <c r="B604" s="9"/>
      <c r="C604" s="10" t="str">
        <f t="shared" si="107"/>
        <v/>
      </c>
      <c r="D604" s="9"/>
      <c r="E604" s="9" t="str">
        <f t="shared" si="105"/>
        <v>NICHAPAT KACHACHEEWA</v>
      </c>
      <c r="F604" s="9"/>
      <c r="G604" s="3"/>
      <c r="H604" s="13"/>
      <c r="I604" s="36"/>
      <c r="J604" s="3"/>
      <c r="K604" s="31" t="s">
        <v>576</v>
      </c>
      <c r="L604" s="3"/>
      <c r="M604" s="8"/>
      <c r="N604" s="13"/>
      <c r="O604" s="36"/>
      <c r="P604" s="3"/>
      <c r="Q604" s="31" t="s">
        <v>576</v>
      </c>
      <c r="R604" s="3"/>
    </row>
    <row r="605" spans="1:18">
      <c r="A605" s="14"/>
      <c r="B605" s="9"/>
      <c r="C605" s="10" t="str">
        <f t="shared" si="107"/>
        <v/>
      </c>
      <c r="D605" s="9"/>
      <c r="E605" s="9" t="str">
        <f t="shared" si="105"/>
        <v>SUCHADA  KHAMWAN</v>
      </c>
      <c r="F605" s="9"/>
      <c r="G605" s="3"/>
      <c r="H605" s="13"/>
      <c r="I605" s="36"/>
      <c r="J605" s="3"/>
      <c r="K605" s="31" t="s">
        <v>577</v>
      </c>
      <c r="L605" s="3"/>
      <c r="M605" s="8"/>
      <c r="N605" s="13"/>
      <c r="O605" s="36"/>
      <c r="P605" s="3"/>
      <c r="Q605" s="31" t="s">
        <v>577</v>
      </c>
      <c r="R605" s="3"/>
    </row>
    <row r="606" spans="1:18">
      <c r="A606" s="14"/>
      <c r="B606" s="9"/>
      <c r="C606" s="10" t="str">
        <f t="shared" si="107"/>
        <v/>
      </c>
      <c r="D606" s="9"/>
      <c r="E606" s="9" t="str">
        <f t="shared" si="105"/>
        <v/>
      </c>
      <c r="F606" s="9"/>
      <c r="G606" s="3"/>
      <c r="H606" s="13"/>
      <c r="I606" s="36"/>
      <c r="J606" s="3"/>
      <c r="K606" s="31"/>
      <c r="L606" s="3"/>
      <c r="M606" s="8"/>
      <c r="N606" s="13"/>
      <c r="O606" s="36"/>
      <c r="P606" s="3"/>
      <c r="Q606" s="31"/>
      <c r="R606" s="3"/>
    </row>
    <row r="607" spans="1:18">
      <c r="A607" s="14"/>
      <c r="B607" s="9"/>
      <c r="C607" s="10" t="str">
        <f t="shared" si="107"/>
        <v>RIG TECHNICAL DIRECTOR</v>
      </c>
      <c r="D607" s="9"/>
      <c r="E607" s="9" t="str">
        <f t="shared" si="105"/>
        <v>PONGSOPON  SROYSOMWONG</v>
      </c>
      <c r="F607" s="9"/>
      <c r="G607" s="3"/>
      <c r="H607" s="13"/>
      <c r="I607" s="36" t="s">
        <v>578</v>
      </c>
      <c r="J607" s="3"/>
      <c r="K607" s="31" t="s">
        <v>647</v>
      </c>
      <c r="L607" s="3"/>
      <c r="M607" s="8"/>
      <c r="N607" s="13"/>
      <c r="O607" s="36" t="s">
        <v>578</v>
      </c>
      <c r="P607" s="3"/>
      <c r="Q607" s="31" t="s">
        <v>647</v>
      </c>
      <c r="R607" s="3"/>
    </row>
    <row r="608" spans="1:18">
      <c r="A608" s="14"/>
      <c r="B608" s="9"/>
      <c r="C608" s="10"/>
      <c r="D608" s="9"/>
      <c r="E608" s="9" t="str">
        <f t="shared" si="105"/>
        <v>SARAWUT SUWAN</v>
      </c>
      <c r="F608" s="9"/>
      <c r="G608" s="3"/>
      <c r="H608" s="13"/>
      <c r="I608" s="36"/>
      <c r="J608" s="3"/>
      <c r="K608" s="31" t="s">
        <v>580</v>
      </c>
      <c r="L608" s="3"/>
      <c r="M608" s="8"/>
      <c r="N608" s="13"/>
      <c r="O608" s="36"/>
      <c r="P608" s="3"/>
      <c r="Q608" s="31" t="s">
        <v>580</v>
      </c>
      <c r="R608" s="3"/>
    </row>
    <row r="609" spans="1:18">
      <c r="A609" s="14"/>
      <c r="B609" s="6"/>
      <c r="C609" s="6"/>
      <c r="D609" s="6"/>
      <c r="E609" s="6"/>
      <c r="F609" s="6"/>
      <c r="G609" s="3"/>
      <c r="H609" s="74"/>
      <c r="I609" s="5"/>
      <c r="J609" s="5"/>
      <c r="K609" s="5"/>
      <c r="L609" s="74"/>
      <c r="M609" s="8"/>
      <c r="N609" s="13"/>
      <c r="O609" s="8"/>
      <c r="P609" s="3"/>
      <c r="Q609" s="13"/>
      <c r="R609" s="3"/>
    </row>
    <row r="610" spans="1:18">
      <c r="A610" s="14"/>
      <c r="B610" s="26"/>
      <c r="C610" s="26"/>
      <c r="D610" s="26"/>
      <c r="E610" s="26"/>
      <c r="F610" s="26"/>
      <c r="G610" s="3"/>
      <c r="H610" s="74"/>
      <c r="I610" s="5"/>
      <c r="J610" s="5"/>
      <c r="K610" s="5"/>
      <c r="L610" s="74"/>
      <c r="M610" s="8"/>
      <c r="N610" s="13"/>
      <c r="O610" s="8"/>
      <c r="P610" s="3"/>
      <c r="Q610" s="13"/>
      <c r="R610" s="3"/>
    </row>
    <row r="611" spans="1:18">
      <c r="A611" s="14"/>
      <c r="B611" s="6"/>
      <c r="C611" s="6"/>
      <c r="D611" s="6"/>
      <c r="E611" s="6"/>
      <c r="F611" s="6"/>
      <c r="G611" s="3"/>
      <c r="H611" s="74"/>
      <c r="I611" s="5"/>
      <c r="J611" s="5"/>
      <c r="K611" s="5"/>
      <c r="L611" s="74"/>
      <c r="M611" s="8"/>
      <c r="N611" s="13"/>
      <c r="O611" s="8"/>
      <c r="P611" s="3"/>
      <c r="Q611" s="13"/>
      <c r="R611" s="3"/>
    </row>
    <row r="612" spans="1:18">
      <c r="A612" s="14"/>
      <c r="B612" s="143" t="str">
        <f t="shared" ref="B612:B613" si="108">UPPER(H612)</f>
        <v>PRODUCTION SERVICES PROVIDED BY</v>
      </c>
      <c r="C612" s="141"/>
      <c r="D612" s="141"/>
      <c r="E612" s="141"/>
      <c r="F612" s="141"/>
      <c r="G612" s="3"/>
      <c r="H612" s="145" t="s">
        <v>530</v>
      </c>
      <c r="I612" s="141"/>
      <c r="J612" s="141"/>
      <c r="K612" s="141"/>
      <c r="L612" s="141"/>
      <c r="M612" s="8"/>
      <c r="N612" s="145" t="s">
        <v>940</v>
      </c>
      <c r="O612" s="141"/>
      <c r="P612" s="141"/>
      <c r="Q612" s="141"/>
      <c r="R612" s="141"/>
    </row>
    <row r="613" spans="1:18">
      <c r="A613" s="14"/>
      <c r="B613" s="146" t="str">
        <f t="shared" si="108"/>
        <v>THE MONK STUDIOS</v>
      </c>
      <c r="C613" s="141"/>
      <c r="D613" s="141"/>
      <c r="E613" s="141"/>
      <c r="F613" s="141"/>
      <c r="G613" s="8"/>
      <c r="H613" s="149" t="s">
        <v>202</v>
      </c>
      <c r="I613" s="141"/>
      <c r="J613" s="141"/>
      <c r="K613" s="141"/>
      <c r="L613" s="141"/>
      <c r="M613" s="8"/>
      <c r="N613" s="149" t="s">
        <v>202</v>
      </c>
      <c r="O613" s="141"/>
      <c r="P613" s="141"/>
      <c r="Q613" s="141"/>
      <c r="R613" s="141"/>
    </row>
    <row r="614" spans="1:18">
      <c r="A614" s="14"/>
      <c r="B614" s="9"/>
      <c r="C614" s="10"/>
      <c r="D614" s="9"/>
      <c r="E614" s="9"/>
      <c r="F614" s="9"/>
      <c r="G614" s="3"/>
      <c r="H614" s="13"/>
      <c r="I614" s="8"/>
      <c r="J614" s="3"/>
      <c r="K614" s="13"/>
      <c r="L614" s="3"/>
      <c r="M614" s="8"/>
      <c r="N614" s="13"/>
      <c r="O614" s="8"/>
      <c r="P614" s="3"/>
      <c r="Q614" s="13"/>
      <c r="R614" s="3"/>
    </row>
    <row r="615" spans="1:18">
      <c r="A615" s="14"/>
      <c r="B615" s="146" t="str">
        <f>UPPER(H615)</f>
        <v>IT</v>
      </c>
      <c r="C615" s="141"/>
      <c r="D615" s="141"/>
      <c r="E615" s="141"/>
      <c r="F615" s="141"/>
      <c r="G615" s="3"/>
      <c r="H615" s="151" t="s">
        <v>581</v>
      </c>
      <c r="I615" s="141"/>
      <c r="J615" s="141"/>
      <c r="K615" s="141"/>
      <c r="L615" s="141"/>
      <c r="M615" s="8"/>
      <c r="N615" s="151" t="s">
        <v>581</v>
      </c>
      <c r="O615" s="141"/>
      <c r="P615" s="141"/>
      <c r="Q615" s="141"/>
      <c r="R615" s="141"/>
    </row>
    <row r="616" spans="1:18">
      <c r="A616" s="14"/>
      <c r="B616" s="9"/>
      <c r="C616" s="10" t="str">
        <f t="shared" ref="C616:C621" si="109">UPPER(I616)</f>
        <v>IT DIRECTOR</v>
      </c>
      <c r="D616" s="9"/>
      <c r="E616" s="9" t="str">
        <f t="shared" ref="E616:E621" si="110">UPPER(K616)</f>
        <v>PAKORN CHUTINIMITKUL</v>
      </c>
      <c r="F616" s="9"/>
      <c r="G616" s="3"/>
      <c r="H616" s="13"/>
      <c r="I616" s="30" t="s">
        <v>582</v>
      </c>
      <c r="J616" s="3"/>
      <c r="K616" s="22" t="s">
        <v>583</v>
      </c>
      <c r="L616" s="3"/>
      <c r="M616" s="8"/>
      <c r="N616" s="13"/>
      <c r="O616" s="30" t="s">
        <v>582</v>
      </c>
      <c r="P616" s="3"/>
      <c r="Q616" s="22" t="s">
        <v>583</v>
      </c>
      <c r="R616" s="3"/>
    </row>
    <row r="617" spans="1:18">
      <c r="A617" s="14"/>
      <c r="B617" s="9"/>
      <c r="C617" s="10" t="str">
        <f t="shared" si="109"/>
        <v/>
      </c>
      <c r="D617" s="9"/>
      <c r="E617" s="9" t="str">
        <f t="shared" si="110"/>
        <v/>
      </c>
      <c r="F617" s="9"/>
      <c r="G617" s="3"/>
      <c r="H617" s="13"/>
      <c r="I617" s="30"/>
      <c r="J617" s="3"/>
      <c r="K617" s="22"/>
      <c r="L617" s="3"/>
      <c r="M617" s="8"/>
      <c r="N617" s="13"/>
      <c r="O617" s="30"/>
      <c r="P617" s="3"/>
      <c r="Q617" s="22"/>
      <c r="R617" s="3"/>
    </row>
    <row r="618" spans="1:18">
      <c r="A618" s="14"/>
      <c r="B618" s="9"/>
      <c r="C618" s="10" t="str">
        <f t="shared" si="109"/>
        <v>SYSTEM ENGINEER</v>
      </c>
      <c r="D618" s="9"/>
      <c r="E618" s="9" t="str">
        <f t="shared" si="110"/>
        <v>NATEE KOONJATURAPAT</v>
      </c>
      <c r="F618" s="9"/>
      <c r="G618" s="3"/>
      <c r="H618" s="13"/>
      <c r="I618" s="30" t="s">
        <v>584</v>
      </c>
      <c r="J618" s="3"/>
      <c r="K618" s="22" t="s">
        <v>585</v>
      </c>
      <c r="L618" s="3"/>
      <c r="M618" s="8"/>
      <c r="N618" s="13"/>
      <c r="O618" s="30" t="s">
        <v>584</v>
      </c>
      <c r="P618" s="3"/>
      <c r="Q618" s="22" t="s">
        <v>585</v>
      </c>
      <c r="R618" s="3"/>
    </row>
    <row r="619" spans="1:18">
      <c r="A619" s="14"/>
      <c r="B619" s="9"/>
      <c r="C619" s="10" t="str">
        <f t="shared" si="109"/>
        <v/>
      </c>
      <c r="D619" s="9"/>
      <c r="E619" s="9" t="str">
        <f t="shared" si="110"/>
        <v/>
      </c>
      <c r="F619" s="9"/>
      <c r="G619" s="3"/>
      <c r="H619" s="13"/>
      <c r="I619" s="30"/>
      <c r="J619" s="3"/>
      <c r="K619" s="22"/>
      <c r="L619" s="3"/>
      <c r="M619" s="8"/>
      <c r="N619" s="13"/>
      <c r="O619" s="30"/>
      <c r="P619" s="3"/>
      <c r="Q619" s="22"/>
      <c r="R619" s="3"/>
    </row>
    <row r="620" spans="1:18">
      <c r="A620" s="14"/>
      <c r="B620" s="9"/>
      <c r="C620" s="10" t="str">
        <f t="shared" si="109"/>
        <v>IT SUPPORT</v>
      </c>
      <c r="D620" s="9"/>
      <c r="E620" s="9" t="str">
        <f t="shared" si="110"/>
        <v>CHATCHAI LOHSIRI</v>
      </c>
      <c r="F620" s="9"/>
      <c r="G620" s="3"/>
      <c r="H620" s="13"/>
      <c r="I620" s="30" t="s">
        <v>586</v>
      </c>
      <c r="J620" s="3"/>
      <c r="K620" s="22" t="s">
        <v>587</v>
      </c>
      <c r="L620" s="3"/>
      <c r="M620" s="8"/>
      <c r="N620" s="13"/>
      <c r="O620" s="30" t="s">
        <v>586</v>
      </c>
      <c r="P620" s="3"/>
      <c r="Q620" s="22" t="s">
        <v>587</v>
      </c>
      <c r="R620" s="3"/>
    </row>
    <row r="621" spans="1:18">
      <c r="A621" s="14"/>
      <c r="B621" s="9"/>
      <c r="C621" s="10" t="str">
        <f t="shared" si="109"/>
        <v/>
      </c>
      <c r="D621" s="9"/>
      <c r="E621" s="9" t="str">
        <f t="shared" si="110"/>
        <v>WIMONWAN LERTTHONGKAM</v>
      </c>
      <c r="F621" s="9"/>
      <c r="G621" s="3"/>
      <c r="H621" s="13"/>
      <c r="I621" s="30"/>
      <c r="J621" s="3"/>
      <c r="K621" s="22" t="s">
        <v>588</v>
      </c>
      <c r="L621" s="3"/>
      <c r="M621" s="8"/>
      <c r="N621" s="13"/>
      <c r="O621" s="30"/>
      <c r="P621" s="3"/>
      <c r="Q621" s="22" t="s">
        <v>588</v>
      </c>
      <c r="R621" s="3"/>
    </row>
    <row r="622" spans="1:18">
      <c r="A622" s="14"/>
      <c r="B622" s="9"/>
      <c r="C622" s="10"/>
      <c r="D622" s="9"/>
      <c r="E622" s="9"/>
      <c r="F622" s="9"/>
      <c r="G622" s="3"/>
      <c r="H622" s="13"/>
      <c r="I622" s="30"/>
      <c r="J622" s="3"/>
      <c r="K622" s="22"/>
      <c r="L622" s="3"/>
      <c r="M622" s="8"/>
      <c r="N622" s="13"/>
      <c r="O622" s="8"/>
      <c r="P622" s="3"/>
      <c r="Q622" s="76"/>
      <c r="R622" s="3"/>
    </row>
    <row r="623" spans="1:18">
      <c r="A623" s="14"/>
      <c r="B623" s="11"/>
      <c r="C623" s="12" t="str">
        <f>UPPER(I623)</f>
        <v/>
      </c>
      <c r="D623" s="11"/>
      <c r="E623" s="11" t="str">
        <f>UPPER(K623)</f>
        <v/>
      </c>
      <c r="F623" s="11"/>
      <c r="G623" s="3"/>
      <c r="H623" s="3"/>
      <c r="I623" s="8"/>
      <c r="J623" s="3"/>
      <c r="K623" s="13"/>
      <c r="L623" s="3"/>
      <c r="M623" s="8"/>
      <c r="N623" s="8"/>
      <c r="O623" s="8"/>
      <c r="P623" s="3"/>
      <c r="Q623" s="3"/>
      <c r="R623" s="3"/>
    </row>
    <row r="624" spans="1:18">
      <c r="A624" s="14"/>
      <c r="B624" s="61"/>
      <c r="C624" s="61"/>
      <c r="D624" s="61"/>
      <c r="E624" s="61"/>
      <c r="F624" s="61"/>
      <c r="G624" s="3"/>
      <c r="H624" s="7"/>
      <c r="I624" s="7"/>
      <c r="J624" s="7"/>
      <c r="K624" s="7"/>
      <c r="L624" s="7"/>
      <c r="M624" s="8"/>
      <c r="N624" s="8"/>
      <c r="O624" s="8"/>
      <c r="P624" s="3"/>
      <c r="Q624" s="3"/>
      <c r="R624" s="3"/>
    </row>
    <row r="625" spans="1:18">
      <c r="A625" s="14"/>
      <c r="B625" s="143" t="str">
        <f t="shared" ref="B625:B626" si="111">UPPER(H625)</f>
        <v>PRODUCTION SERVICES PROVIDED BY</v>
      </c>
      <c r="C625" s="141"/>
      <c r="D625" s="141"/>
      <c r="E625" s="141"/>
      <c r="F625" s="141"/>
      <c r="G625" s="3"/>
      <c r="H625" s="145" t="s">
        <v>530</v>
      </c>
      <c r="I625" s="141"/>
      <c r="J625" s="141"/>
      <c r="K625" s="141"/>
      <c r="L625" s="141"/>
      <c r="M625" s="8"/>
      <c r="N625" s="145" t="s">
        <v>940</v>
      </c>
      <c r="O625" s="141"/>
      <c r="P625" s="141"/>
      <c r="Q625" s="141"/>
      <c r="R625" s="141"/>
    </row>
    <row r="626" spans="1:18">
      <c r="A626" s="14"/>
      <c r="B626" s="146" t="str">
        <f t="shared" si="111"/>
        <v>STUDIO GOINDOL INC.</v>
      </c>
      <c r="C626" s="141"/>
      <c r="D626" s="141"/>
      <c r="E626" s="141"/>
      <c r="F626" s="141"/>
      <c r="G626" s="3"/>
      <c r="H626" s="149" t="s">
        <v>176</v>
      </c>
      <c r="I626" s="141"/>
      <c r="J626" s="141"/>
      <c r="K626" s="141"/>
      <c r="L626" s="141"/>
      <c r="M626" s="8"/>
      <c r="N626" s="149" t="s">
        <v>176</v>
      </c>
      <c r="O626" s="141"/>
      <c r="P626" s="141"/>
      <c r="Q626" s="141"/>
      <c r="R626" s="141"/>
    </row>
    <row r="627" spans="1:18">
      <c r="A627" s="14"/>
      <c r="B627" s="6"/>
      <c r="C627" s="6"/>
      <c r="D627" s="6"/>
      <c r="E627" s="6"/>
      <c r="F627" s="6"/>
      <c r="G627" s="3"/>
      <c r="H627" s="5"/>
      <c r="I627" s="5"/>
      <c r="J627" s="5"/>
      <c r="K627" s="5"/>
      <c r="L627" s="5"/>
      <c r="M627" s="8"/>
      <c r="N627" s="15"/>
      <c r="O627" s="15"/>
      <c r="P627" s="15"/>
      <c r="Q627" s="15"/>
      <c r="R627" s="15"/>
    </row>
    <row r="628" spans="1:18">
      <c r="A628" s="14"/>
      <c r="B628" s="146" t="str">
        <f>UPPER(H628)</f>
        <v>STORYBOARD &amp; DESIGN</v>
      </c>
      <c r="C628" s="141"/>
      <c r="D628" s="141"/>
      <c r="E628" s="141"/>
      <c r="F628" s="141"/>
      <c r="G628" s="3"/>
      <c r="H628" s="149" t="s">
        <v>589</v>
      </c>
      <c r="I628" s="141"/>
      <c r="J628" s="141"/>
      <c r="K628" s="141"/>
      <c r="L628" s="141"/>
      <c r="M628" s="8"/>
      <c r="N628" s="149" t="s">
        <v>941</v>
      </c>
      <c r="O628" s="141"/>
      <c r="P628" s="141"/>
      <c r="Q628" s="141"/>
      <c r="R628" s="141"/>
    </row>
    <row r="629" spans="1:18">
      <c r="A629" s="14"/>
      <c r="B629" s="9"/>
      <c r="C629" s="10" t="str">
        <f>UPPER(I629)</f>
        <v>CHIEF PRODUCER</v>
      </c>
      <c r="D629" s="9"/>
      <c r="E629" s="9" t="str">
        <f>UPPER(K629)</f>
        <v>JUNGSOO HUR</v>
      </c>
      <c r="F629" s="9"/>
      <c r="G629" s="3"/>
      <c r="H629" s="3"/>
      <c r="I629" s="8" t="s">
        <v>590</v>
      </c>
      <c r="J629" s="3"/>
      <c r="K629" s="3" t="s">
        <v>591</v>
      </c>
      <c r="L629" s="3"/>
      <c r="M629" s="8"/>
      <c r="N629" s="3"/>
      <c r="O629" s="63" t="s">
        <v>772</v>
      </c>
      <c r="P629" s="3"/>
      <c r="Q629" s="3" t="s">
        <v>942</v>
      </c>
      <c r="R629" s="3"/>
    </row>
    <row r="630" spans="1:18">
      <c r="A630" s="14"/>
      <c r="B630" s="9"/>
      <c r="C630" s="10"/>
      <c r="D630" s="9"/>
      <c r="E630" s="9"/>
      <c r="F630" s="9"/>
      <c r="G630" s="3"/>
      <c r="H630" s="3"/>
      <c r="I630" s="8"/>
      <c r="J630" s="3"/>
      <c r="K630" s="3"/>
      <c r="L630" s="3"/>
      <c r="M630" s="8"/>
      <c r="N630" s="3"/>
      <c r="O630" s="8"/>
      <c r="P630" s="3"/>
      <c r="Q630" s="3"/>
      <c r="R630" s="3"/>
    </row>
    <row r="631" spans="1:18">
      <c r="A631" s="14"/>
      <c r="B631" s="9"/>
      <c r="C631" s="10" t="str">
        <f>UPPER(I631)</f>
        <v>PRODUCER</v>
      </c>
      <c r="D631" s="9"/>
      <c r="E631" s="9" t="str">
        <f>UPPER(K631)</f>
        <v>GEUNJEONG KIM</v>
      </c>
      <c r="F631" s="9"/>
      <c r="G631" s="3"/>
      <c r="H631" s="3"/>
      <c r="I631" s="8" t="s">
        <v>504</v>
      </c>
      <c r="J631" s="3"/>
      <c r="K631" s="3" t="s">
        <v>592</v>
      </c>
      <c r="L631" s="3"/>
      <c r="M631" s="8"/>
      <c r="N631" s="3"/>
      <c r="O631" s="8" t="s">
        <v>773</v>
      </c>
      <c r="P631" s="3"/>
      <c r="Q631" s="3" t="s">
        <v>943</v>
      </c>
      <c r="R631" s="3"/>
    </row>
    <row r="632" spans="1:18">
      <c r="A632" s="14"/>
      <c r="B632" s="9"/>
      <c r="C632" s="10"/>
      <c r="D632" s="9"/>
      <c r="E632" s="9"/>
      <c r="F632" s="9"/>
      <c r="G632" s="3"/>
      <c r="H632" s="3"/>
      <c r="I632" s="8"/>
      <c r="J632" s="3"/>
      <c r="K632" s="3"/>
      <c r="L632" s="3"/>
      <c r="M632" s="8"/>
      <c r="N632" s="3"/>
      <c r="O632" s="8"/>
      <c r="P632" s="3"/>
      <c r="Q632" s="3"/>
      <c r="R632" s="3"/>
    </row>
    <row r="633" spans="1:18">
      <c r="A633" s="14"/>
      <c r="B633" s="9"/>
      <c r="C633" s="10" t="str">
        <f>UPPER(I633)</f>
        <v>COORDINATOR</v>
      </c>
      <c r="D633" s="9"/>
      <c r="E633" s="9" t="str">
        <f>UPPER(K633)</f>
        <v>JOWON JUNG</v>
      </c>
      <c r="F633" s="9"/>
      <c r="G633" s="3"/>
      <c r="H633" s="3"/>
      <c r="I633" s="8" t="s">
        <v>593</v>
      </c>
      <c r="J633" s="3"/>
      <c r="K633" s="3" t="s">
        <v>594</v>
      </c>
      <c r="L633" s="3"/>
      <c r="M633" s="8"/>
      <c r="N633" s="3"/>
      <c r="O633" s="8" t="s">
        <v>944</v>
      </c>
      <c r="P633" s="3"/>
      <c r="Q633" s="3" t="s">
        <v>945</v>
      </c>
      <c r="R633" s="3"/>
    </row>
    <row r="634" spans="1:18">
      <c r="A634" s="14"/>
      <c r="B634" s="9"/>
      <c r="C634" s="10"/>
      <c r="D634" s="9"/>
      <c r="E634" s="9"/>
      <c r="F634" s="9"/>
      <c r="G634" s="3"/>
      <c r="H634" s="3"/>
      <c r="I634" s="8"/>
      <c r="J634" s="3"/>
      <c r="K634" s="3"/>
      <c r="L634" s="3"/>
      <c r="M634" s="8"/>
      <c r="N634" s="3"/>
      <c r="O634" s="8"/>
      <c r="P634" s="3"/>
      <c r="Q634" s="3"/>
      <c r="R634" s="3"/>
    </row>
    <row r="635" spans="1:18">
      <c r="A635" s="14"/>
      <c r="B635" s="9"/>
      <c r="C635" s="10" t="str">
        <f t="shared" ref="C635:C641" si="112">UPPER(I635)</f>
        <v>LEAD DESIGNER</v>
      </c>
      <c r="D635" s="9"/>
      <c r="E635" s="9" t="str">
        <f t="shared" ref="E635:E641" si="113">UPPER(K635)</f>
        <v>WOOJIN SEOK</v>
      </c>
      <c r="F635" s="9"/>
      <c r="G635" s="3"/>
      <c r="H635" s="3"/>
      <c r="I635" s="8" t="s">
        <v>595</v>
      </c>
      <c r="J635" s="3"/>
      <c r="K635" s="3" t="s">
        <v>596</v>
      </c>
      <c r="L635" s="3"/>
      <c r="M635" s="8"/>
      <c r="N635" s="3"/>
      <c r="O635" s="8" t="s">
        <v>946</v>
      </c>
      <c r="P635" s="3"/>
      <c r="Q635" s="3" t="s">
        <v>947</v>
      </c>
      <c r="R635" s="3"/>
    </row>
    <row r="636" spans="1:18">
      <c r="A636" s="14"/>
      <c r="B636" s="9"/>
      <c r="C636" s="10" t="str">
        <f t="shared" si="112"/>
        <v/>
      </c>
      <c r="D636" s="9"/>
      <c r="E636" s="9" t="str">
        <f t="shared" si="113"/>
        <v/>
      </c>
      <c r="F636" s="9"/>
      <c r="G636" s="3"/>
      <c r="H636" s="3"/>
      <c r="I636" s="8"/>
      <c r="J636" s="3"/>
      <c r="K636" s="3"/>
      <c r="L636" s="3"/>
      <c r="M636" s="8"/>
      <c r="N636" s="3"/>
      <c r="O636" s="8"/>
      <c r="P636" s="3"/>
      <c r="Q636" s="3"/>
      <c r="R636" s="3"/>
    </row>
    <row r="637" spans="1:18">
      <c r="A637" s="14"/>
      <c r="B637" s="9"/>
      <c r="C637" s="10" t="str">
        <f t="shared" si="112"/>
        <v>DESIGNER</v>
      </c>
      <c r="D637" s="9"/>
      <c r="E637" s="9" t="str">
        <f t="shared" si="113"/>
        <v>JIHYUN KIM</v>
      </c>
      <c r="F637" s="9"/>
      <c r="G637" s="3"/>
      <c r="H637" s="3"/>
      <c r="I637" s="8" t="s">
        <v>597</v>
      </c>
      <c r="J637" s="3"/>
      <c r="K637" s="3" t="s">
        <v>598</v>
      </c>
      <c r="L637" s="3"/>
      <c r="M637" s="8"/>
      <c r="N637" s="3"/>
      <c r="O637" s="8" t="s">
        <v>948</v>
      </c>
      <c r="P637" s="3"/>
      <c r="Q637" s="3" t="s">
        <v>771</v>
      </c>
      <c r="R637" s="3"/>
    </row>
    <row r="638" spans="1:18">
      <c r="A638" s="14"/>
      <c r="B638" s="9"/>
      <c r="C638" s="10" t="str">
        <f t="shared" si="112"/>
        <v/>
      </c>
      <c r="D638" s="9"/>
      <c r="E638" s="9" t="str">
        <f t="shared" si="113"/>
        <v>MINCHANG KIM</v>
      </c>
      <c r="F638" s="9"/>
      <c r="G638" s="3"/>
      <c r="H638" s="3"/>
      <c r="I638" s="8"/>
      <c r="J638" s="3"/>
      <c r="K638" s="3" t="s">
        <v>599</v>
      </c>
      <c r="L638" s="3"/>
      <c r="M638" s="8"/>
      <c r="N638" s="3"/>
      <c r="O638" s="3"/>
      <c r="P638" s="3"/>
      <c r="Q638" s="3" t="s">
        <v>949</v>
      </c>
      <c r="R638" s="3"/>
    </row>
    <row r="639" spans="1:18">
      <c r="A639" s="14"/>
      <c r="B639" s="9"/>
      <c r="C639" s="10" t="str">
        <f t="shared" si="112"/>
        <v/>
      </c>
      <c r="D639" s="9"/>
      <c r="E639" s="9" t="str">
        <f t="shared" si="113"/>
        <v>JAEWOOK JOO</v>
      </c>
      <c r="F639" s="9"/>
      <c r="G639" s="3"/>
      <c r="H639" s="3"/>
      <c r="I639" s="8"/>
      <c r="J639" s="3"/>
      <c r="K639" s="3" t="s">
        <v>600</v>
      </c>
      <c r="L639" s="3"/>
      <c r="M639" s="8"/>
      <c r="N639" s="3"/>
      <c r="O639" s="3"/>
      <c r="P639" s="3"/>
      <c r="Q639" s="3" t="s">
        <v>950</v>
      </c>
      <c r="R639" s="3"/>
    </row>
    <row r="640" spans="1:18">
      <c r="A640" s="14"/>
      <c r="B640" s="9"/>
      <c r="C640" s="10" t="str">
        <f t="shared" si="112"/>
        <v/>
      </c>
      <c r="D640" s="9"/>
      <c r="E640" s="9" t="str">
        <f t="shared" si="113"/>
        <v>NAMOK EU</v>
      </c>
      <c r="F640" s="9"/>
      <c r="G640" s="3"/>
      <c r="H640" s="3"/>
      <c r="I640" s="8"/>
      <c r="J640" s="3"/>
      <c r="K640" s="3" t="s">
        <v>601</v>
      </c>
      <c r="L640" s="3"/>
      <c r="M640" s="8"/>
      <c r="N640" s="3"/>
      <c r="O640" s="3"/>
      <c r="P640" s="3"/>
      <c r="Q640" s="3" t="s">
        <v>951</v>
      </c>
      <c r="R640" s="3"/>
    </row>
    <row r="641" spans="1:18">
      <c r="A641" s="14"/>
      <c r="B641" s="9"/>
      <c r="C641" s="10" t="str">
        <f t="shared" si="112"/>
        <v/>
      </c>
      <c r="D641" s="9"/>
      <c r="E641" s="9" t="str">
        <f t="shared" si="113"/>
        <v>DAI JEONG</v>
      </c>
      <c r="F641" s="9"/>
      <c r="G641" s="3"/>
      <c r="H641" s="3"/>
      <c r="I641" s="8"/>
      <c r="J641" s="3"/>
      <c r="K641" s="3" t="s">
        <v>602</v>
      </c>
      <c r="L641" s="3"/>
      <c r="M641" s="8"/>
      <c r="N641" s="3"/>
      <c r="O641" s="3"/>
      <c r="P641" s="3"/>
      <c r="Q641" s="3" t="s">
        <v>952</v>
      </c>
      <c r="R641" s="3"/>
    </row>
    <row r="642" spans="1:18">
      <c r="A642" s="14"/>
      <c r="B642" s="9"/>
      <c r="C642" s="10"/>
      <c r="D642" s="9"/>
      <c r="E642" s="9"/>
      <c r="F642" s="9"/>
      <c r="G642" s="3"/>
      <c r="H642" s="3"/>
      <c r="I642" s="8"/>
      <c r="J642" s="3"/>
      <c r="K642" s="3"/>
      <c r="L642" s="3"/>
      <c r="M642" s="8"/>
      <c r="N642" s="3"/>
      <c r="O642" s="8"/>
      <c r="P642" s="3"/>
      <c r="Q642" s="3"/>
      <c r="R642" s="3"/>
    </row>
    <row r="643" spans="1:18">
      <c r="A643" s="14"/>
      <c r="B643" s="3"/>
      <c r="C643" s="12"/>
      <c r="D643" s="3"/>
      <c r="E643" s="11"/>
      <c r="F643" s="3"/>
      <c r="G643" s="3"/>
      <c r="H643" s="8"/>
      <c r="I643" s="8"/>
      <c r="J643" s="8"/>
      <c r="K643" s="13"/>
      <c r="L643" s="8"/>
      <c r="M643" s="8"/>
      <c r="N643" s="8"/>
      <c r="O643" s="8"/>
      <c r="P643" s="3"/>
      <c r="Q643" s="3"/>
      <c r="R643" s="3"/>
    </row>
    <row r="644" spans="1:18">
      <c r="A644" s="14"/>
      <c r="B644" s="3"/>
      <c r="C644" s="12" t="str">
        <f>UPPER(I644)</f>
        <v/>
      </c>
      <c r="D644" s="11"/>
      <c r="E644" s="11" t="str">
        <f>UPPER(K644)</f>
        <v/>
      </c>
      <c r="F644" s="3"/>
      <c r="G644" s="3"/>
      <c r="H644" s="8"/>
      <c r="I644" s="8"/>
      <c r="J644" s="8"/>
      <c r="K644" s="13"/>
      <c r="L644" s="8"/>
      <c r="M644" s="8"/>
      <c r="N644" s="8"/>
      <c r="O644" s="8"/>
      <c r="P644" s="3"/>
      <c r="Q644" s="3"/>
      <c r="R644" s="3"/>
    </row>
    <row r="645" spans="1:18">
      <c r="A645" s="14"/>
      <c r="B645" s="3"/>
      <c r="C645" s="3"/>
      <c r="D645" s="3"/>
      <c r="E645" s="3"/>
      <c r="F645" s="3"/>
      <c r="G645" s="3"/>
      <c r="H645" s="3"/>
      <c r="I645" s="8"/>
      <c r="J645" s="3"/>
      <c r="K645" s="3"/>
      <c r="L645" s="3"/>
      <c r="M645" s="3"/>
      <c r="N645" s="3"/>
      <c r="O645" s="8"/>
      <c r="P645" s="3"/>
      <c r="Q645" s="3"/>
      <c r="R645" s="3"/>
    </row>
    <row r="646" spans="1:18"/>
    <row r="647" spans="1:18"/>
    <row r="648" spans="1:18"/>
    <row r="649" spans="1:18"/>
    <row r="650" spans="1:18"/>
    <row r="651" spans="1:18"/>
    <row r="652" spans="1:18"/>
    <row r="653" spans="1:18"/>
    <row r="654" spans="1:18"/>
    <row r="655" spans="1:18"/>
    <row r="656" spans="1:18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</sheetData>
  <mergeCells count="206">
    <mergeCell ref="B341:F341"/>
    <mergeCell ref="H341:L341"/>
    <mergeCell ref="N341:R341"/>
    <mergeCell ref="B344:F344"/>
    <mergeCell ref="B358:F358"/>
    <mergeCell ref="N358:R358"/>
    <mergeCell ref="B359:F359"/>
    <mergeCell ref="N359:R359"/>
    <mergeCell ref="H358:L358"/>
    <mergeCell ref="H359:L359"/>
    <mergeCell ref="B381:F381"/>
    <mergeCell ref="H381:L381"/>
    <mergeCell ref="N381:R381"/>
    <mergeCell ref="B397:F397"/>
    <mergeCell ref="H397:L397"/>
    <mergeCell ref="H258:L258"/>
    <mergeCell ref="N258:R258"/>
    <mergeCell ref="B245:F245"/>
    <mergeCell ref="H245:L245"/>
    <mergeCell ref="N245:R245"/>
    <mergeCell ref="B246:F246"/>
    <mergeCell ref="H246:L246"/>
    <mergeCell ref="N246:R246"/>
    <mergeCell ref="B258:F258"/>
    <mergeCell ref="H287:L287"/>
    <mergeCell ref="N287:R287"/>
    <mergeCell ref="B272:F272"/>
    <mergeCell ref="H272:L272"/>
    <mergeCell ref="N272:R272"/>
    <mergeCell ref="B273:F273"/>
    <mergeCell ref="H273:L273"/>
    <mergeCell ref="N273:R273"/>
    <mergeCell ref="B287:F287"/>
    <mergeCell ref="N299:R299"/>
    <mergeCell ref="N462:R462"/>
    <mergeCell ref="B444:F444"/>
    <mergeCell ref="H444:L444"/>
    <mergeCell ref="N444:R444"/>
    <mergeCell ref="B462:F462"/>
    <mergeCell ref="H462:L462"/>
    <mergeCell ref="H410:L410"/>
    <mergeCell ref="N410:R410"/>
    <mergeCell ref="N397:R397"/>
    <mergeCell ref="N402:R402"/>
    <mergeCell ref="B403:F403"/>
    <mergeCell ref="H403:L403"/>
    <mergeCell ref="N403:R403"/>
    <mergeCell ref="N408:R408"/>
    <mergeCell ref="B410:F410"/>
    <mergeCell ref="H443:L443"/>
    <mergeCell ref="N463:R463"/>
    <mergeCell ref="H589:L589"/>
    <mergeCell ref="N589:R589"/>
    <mergeCell ref="B586:F586"/>
    <mergeCell ref="H586:L586"/>
    <mergeCell ref="N586:R586"/>
    <mergeCell ref="B587:F587"/>
    <mergeCell ref="H587:L587"/>
    <mergeCell ref="N587:R587"/>
    <mergeCell ref="B589:F589"/>
    <mergeCell ref="B463:F463"/>
    <mergeCell ref="B464:F464"/>
    <mergeCell ref="N464:R464"/>
    <mergeCell ref="N474:R474"/>
    <mergeCell ref="N475:R475"/>
    <mergeCell ref="N487:R487"/>
    <mergeCell ref="N488:R488"/>
    <mergeCell ref="N489:R489"/>
    <mergeCell ref="N505:R505"/>
    <mergeCell ref="H463:L463"/>
    <mergeCell ref="H464:L464"/>
    <mergeCell ref="H467:L467"/>
    <mergeCell ref="B474:F474"/>
    <mergeCell ref="H474:L474"/>
    <mergeCell ref="H615:L615"/>
    <mergeCell ref="N615:R615"/>
    <mergeCell ref="B612:F612"/>
    <mergeCell ref="H612:L612"/>
    <mergeCell ref="N612:R612"/>
    <mergeCell ref="B613:F613"/>
    <mergeCell ref="H613:L613"/>
    <mergeCell ref="N613:R613"/>
    <mergeCell ref="B615:F615"/>
    <mergeCell ref="N517:R517"/>
    <mergeCell ref="B531:F531"/>
    <mergeCell ref="H475:L475"/>
    <mergeCell ref="H478:L478"/>
    <mergeCell ref="B475:F475"/>
    <mergeCell ref="B487:F487"/>
    <mergeCell ref="H487:L487"/>
    <mergeCell ref="B488:F488"/>
    <mergeCell ref="H488:L488"/>
    <mergeCell ref="B505:F505"/>
    <mergeCell ref="H505:L505"/>
    <mergeCell ref="H628:L628"/>
    <mergeCell ref="N628:R628"/>
    <mergeCell ref="B625:F625"/>
    <mergeCell ref="H625:L625"/>
    <mergeCell ref="N625:R625"/>
    <mergeCell ref="B626:F626"/>
    <mergeCell ref="H626:L626"/>
    <mergeCell ref="N626:R626"/>
    <mergeCell ref="B628:F628"/>
    <mergeCell ref="N155:R155"/>
    <mergeCell ref="N156:R156"/>
    <mergeCell ref="B134:F134"/>
    <mergeCell ref="H134:L134"/>
    <mergeCell ref="N134:R134"/>
    <mergeCell ref="B155:F155"/>
    <mergeCell ref="H155:L155"/>
    <mergeCell ref="B156:F156"/>
    <mergeCell ref="H156:L156"/>
    <mergeCell ref="B175:F175"/>
    <mergeCell ref="H175:L175"/>
    <mergeCell ref="N175:R175"/>
    <mergeCell ref="B176:F176"/>
    <mergeCell ref="H176:L176"/>
    <mergeCell ref="N176:R176"/>
    <mergeCell ref="N187:R187"/>
    <mergeCell ref="B188:F188"/>
    <mergeCell ref="H188:L188"/>
    <mergeCell ref="B192:F192"/>
    <mergeCell ref="H192:L192"/>
    <mergeCell ref="N192:R192"/>
    <mergeCell ref="H205:L205"/>
    <mergeCell ref="N205:R205"/>
    <mergeCell ref="A1:R2"/>
    <mergeCell ref="B4:F4"/>
    <mergeCell ref="H4:L4"/>
    <mergeCell ref="N4:R4"/>
    <mergeCell ref="B27:F27"/>
    <mergeCell ref="H27:L27"/>
    <mergeCell ref="N27:R27"/>
    <mergeCell ref="B53:F53"/>
    <mergeCell ref="H53:L53"/>
    <mergeCell ref="N53:R53"/>
    <mergeCell ref="B54:F54"/>
    <mergeCell ref="H54:L54"/>
    <mergeCell ref="N54:R54"/>
    <mergeCell ref="B71:F71"/>
    <mergeCell ref="H93:L93"/>
    <mergeCell ref="N93:R93"/>
    <mergeCell ref="B72:F72"/>
    <mergeCell ref="H72:L72"/>
    <mergeCell ref="N72:R72"/>
    <mergeCell ref="B84:F84"/>
    <mergeCell ref="H84:L84"/>
    <mergeCell ref="N84:R84"/>
    <mergeCell ref="B93:F93"/>
    <mergeCell ref="H133:L133"/>
    <mergeCell ref="N133:R133"/>
    <mergeCell ref="B106:F106"/>
    <mergeCell ref="H106:L106"/>
    <mergeCell ref="N106:R106"/>
    <mergeCell ref="B107:F107"/>
    <mergeCell ref="H107:L107"/>
    <mergeCell ref="N107:R107"/>
    <mergeCell ref="B133:F133"/>
    <mergeCell ref="B205:F205"/>
    <mergeCell ref="B221:F221"/>
    <mergeCell ref="H221:L221"/>
    <mergeCell ref="N221:R221"/>
    <mergeCell ref="B222:F222"/>
    <mergeCell ref="H222:L222"/>
    <mergeCell ref="N222:R222"/>
    <mergeCell ref="H335:L335"/>
    <mergeCell ref="N335:R335"/>
    <mergeCell ref="B323:F323"/>
    <mergeCell ref="H323:L323"/>
    <mergeCell ref="N323:R323"/>
    <mergeCell ref="B324:F324"/>
    <mergeCell ref="H324:L324"/>
    <mergeCell ref="N324:R324"/>
    <mergeCell ref="B335:F335"/>
    <mergeCell ref="N300:R300"/>
    <mergeCell ref="B288:F288"/>
    <mergeCell ref="H288:L288"/>
    <mergeCell ref="N288:R288"/>
    <mergeCell ref="B299:F299"/>
    <mergeCell ref="H299:L299"/>
    <mergeCell ref="B300:F300"/>
    <mergeCell ref="H300:L300"/>
    <mergeCell ref="N443:R443"/>
    <mergeCell ref="B423:F423"/>
    <mergeCell ref="H423:L423"/>
    <mergeCell ref="N423:R423"/>
    <mergeCell ref="B424:F424"/>
    <mergeCell ref="H424:L424"/>
    <mergeCell ref="N424:R424"/>
    <mergeCell ref="B443:F443"/>
    <mergeCell ref="H559:L559"/>
    <mergeCell ref="N559:R559"/>
    <mergeCell ref="B556:F556"/>
    <mergeCell ref="H556:L556"/>
    <mergeCell ref="N556:R556"/>
    <mergeCell ref="B557:F557"/>
    <mergeCell ref="H557:L557"/>
    <mergeCell ref="N557:R557"/>
    <mergeCell ref="B559:F559"/>
    <mergeCell ref="H531:L531"/>
    <mergeCell ref="N531:R531"/>
    <mergeCell ref="B516:F516"/>
    <mergeCell ref="H516:L516"/>
    <mergeCell ref="N516:R516"/>
    <mergeCell ref="B517:F517"/>
    <mergeCell ref="H517:L517"/>
  </mergeCells>
  <phoneticPr fontId="5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R774"/>
  <sheetViews>
    <sheetView workbookViewId="0">
      <pane ySplit="2" topLeftCell="A3" activePane="bottomLeft" state="frozen"/>
      <selection pane="bottomLeft" sqref="A1:R2"/>
    </sheetView>
  </sheetViews>
  <sheetFormatPr defaultColWidth="12.5703125" defaultRowHeight="15.75" customHeight="1"/>
  <cols>
    <col min="1" max="1" width="2.5703125" customWidth="1"/>
    <col min="2" max="3" width="18.85546875" customWidth="1"/>
    <col min="4" max="4" width="1.42578125" customWidth="1"/>
    <col min="5" max="6" width="18.85546875" customWidth="1"/>
    <col min="7" max="7" width="1.42578125" customWidth="1"/>
    <col min="8" max="9" width="18.85546875" customWidth="1"/>
    <col min="10" max="10" width="1.42578125" customWidth="1"/>
    <col min="11" max="12" width="18.85546875" customWidth="1"/>
    <col min="13" max="13" width="1.42578125" customWidth="1"/>
    <col min="16" max="16" width="1.42578125" customWidth="1"/>
  </cols>
  <sheetData>
    <row r="1" spans="1:18" ht="12.75">
      <c r="A1" s="152" t="s">
        <v>730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</row>
    <row r="2" spans="1:18" ht="12.75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</row>
    <row r="3" spans="1:18" ht="12.75">
      <c r="A3" s="1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72"/>
      <c r="P3" s="5"/>
      <c r="Q3" s="5"/>
      <c r="R3" s="5"/>
    </row>
    <row r="4" spans="1:18" ht="18">
      <c r="A4" s="14"/>
      <c r="B4" s="150" t="str">
        <f>UPPER(H4)</f>
        <v>VOICE</v>
      </c>
      <c r="C4" s="141"/>
      <c r="D4" s="141"/>
      <c r="E4" s="141"/>
      <c r="F4" s="141"/>
      <c r="G4" s="18"/>
      <c r="H4" s="167" t="s">
        <v>157</v>
      </c>
      <c r="I4" s="141"/>
      <c r="J4" s="141"/>
      <c r="K4" s="141"/>
      <c r="L4" s="141"/>
      <c r="M4" s="18"/>
      <c r="N4" s="149" t="s">
        <v>777</v>
      </c>
      <c r="O4" s="141"/>
      <c r="P4" s="141"/>
      <c r="Q4" s="141"/>
      <c r="R4" s="141"/>
    </row>
    <row r="5" spans="1:18" ht="12.75">
      <c r="A5" s="14"/>
      <c r="B5" s="9"/>
      <c r="C5" s="10" t="str">
        <f t="shared" ref="C5:C22" si="0">UPPER(I5)</f>
        <v>MICHAEL</v>
      </c>
      <c r="D5" s="9"/>
      <c r="E5" s="9" t="str">
        <f t="shared" ref="E5:E22" si="1">UPPER(K5)</f>
        <v>MARC THOMPSON</v>
      </c>
      <c r="F5" s="9"/>
      <c r="G5" s="3"/>
      <c r="H5" s="3"/>
      <c r="I5" s="8" t="s">
        <v>158</v>
      </c>
      <c r="J5" s="3"/>
      <c r="K5" s="2" t="s">
        <v>10</v>
      </c>
      <c r="L5" s="3"/>
      <c r="M5" s="8"/>
      <c r="N5" s="8"/>
      <c r="O5" s="8" t="s">
        <v>778</v>
      </c>
      <c r="P5" s="3"/>
      <c r="Q5" s="3" t="s">
        <v>117</v>
      </c>
      <c r="R5" s="3"/>
    </row>
    <row r="6" spans="1:18" ht="12.75">
      <c r="A6" s="14"/>
      <c r="B6" s="9"/>
      <c r="C6" s="10" t="str">
        <f t="shared" si="0"/>
        <v>LUCY</v>
      </c>
      <c r="D6" s="9"/>
      <c r="E6" s="9" t="str">
        <f t="shared" si="1"/>
        <v>SAMANTHA COOPER</v>
      </c>
      <c r="F6" s="9"/>
      <c r="G6" s="3"/>
      <c r="H6" s="3"/>
      <c r="I6" s="8" t="s">
        <v>159</v>
      </c>
      <c r="J6" s="3"/>
      <c r="K6" s="2" t="s">
        <v>37</v>
      </c>
      <c r="L6" s="3"/>
      <c r="M6" s="8"/>
      <c r="N6" s="8"/>
      <c r="O6" s="8" t="s">
        <v>779</v>
      </c>
      <c r="P6" s="3"/>
      <c r="Q6" s="3" t="s">
        <v>118</v>
      </c>
      <c r="R6" s="3"/>
    </row>
    <row r="7" spans="1:18" ht="12.75">
      <c r="A7" s="14"/>
      <c r="B7" s="9"/>
      <c r="C7" s="10" t="str">
        <f t="shared" si="0"/>
        <v>NICK</v>
      </c>
      <c r="D7" s="9"/>
      <c r="E7" s="9" t="str">
        <f t="shared" si="1"/>
        <v>JAMES BROWN JR</v>
      </c>
      <c r="F7" s="9"/>
      <c r="G7" s="3"/>
      <c r="H7" s="3"/>
      <c r="I7" s="8" t="s">
        <v>42</v>
      </c>
      <c r="J7" s="3"/>
      <c r="K7" s="2" t="s">
        <v>43</v>
      </c>
      <c r="L7" s="3"/>
      <c r="M7" s="8"/>
      <c r="N7" s="8"/>
      <c r="O7" s="8" t="s">
        <v>119</v>
      </c>
      <c r="P7" s="3"/>
      <c r="Q7" s="3" t="s">
        <v>120</v>
      </c>
      <c r="R7" s="3"/>
    </row>
    <row r="8" spans="1:18" ht="12.75">
      <c r="A8" s="14"/>
      <c r="B8" s="9"/>
      <c r="C8" s="10" t="str">
        <f t="shared" si="0"/>
        <v>KRISTA</v>
      </c>
      <c r="D8" s="9"/>
      <c r="E8" s="9" t="str">
        <f t="shared" si="1"/>
        <v>ZURI WASHINGTON</v>
      </c>
      <c r="F8" s="9"/>
      <c r="G8" s="3"/>
      <c r="H8" s="3"/>
      <c r="I8" s="30" t="s">
        <v>163</v>
      </c>
      <c r="J8" s="24"/>
      <c r="K8" s="24" t="s">
        <v>47</v>
      </c>
      <c r="L8" s="3"/>
      <c r="M8" s="8"/>
      <c r="N8" s="8"/>
      <c r="O8" s="8" t="s">
        <v>123</v>
      </c>
      <c r="P8" s="3"/>
      <c r="Q8" s="3" t="s">
        <v>87</v>
      </c>
      <c r="R8" s="3"/>
    </row>
    <row r="9" spans="1:18" ht="12.75">
      <c r="A9" s="14"/>
      <c r="B9" s="9"/>
      <c r="C9" s="10" t="str">
        <f t="shared" si="0"/>
        <v>TIMO</v>
      </c>
      <c r="D9" s="9"/>
      <c r="E9" s="9" t="str">
        <f t="shared" si="1"/>
        <v>AMANDA HUFFORD</v>
      </c>
      <c r="F9" s="9"/>
      <c r="G9" s="3"/>
      <c r="H9" s="3"/>
      <c r="I9" s="30" t="s">
        <v>46</v>
      </c>
      <c r="J9" s="14"/>
      <c r="K9" s="24" t="s">
        <v>18</v>
      </c>
      <c r="L9" s="3"/>
      <c r="M9" s="8"/>
      <c r="N9" s="8"/>
      <c r="O9" s="8" t="s">
        <v>122</v>
      </c>
      <c r="P9" s="3"/>
      <c r="Q9" s="3" t="s">
        <v>87</v>
      </c>
      <c r="R9" s="3"/>
    </row>
    <row r="10" spans="1:18" ht="12.75">
      <c r="A10" s="14"/>
      <c r="B10" s="9"/>
      <c r="C10" s="10" t="str">
        <f t="shared" si="0"/>
        <v>LEORA</v>
      </c>
      <c r="D10" s="9"/>
      <c r="E10" s="9" t="str">
        <f t="shared" si="1"/>
        <v>AMANDA HUFFORD</v>
      </c>
      <c r="F10" s="9"/>
      <c r="G10" s="3"/>
      <c r="H10" s="3"/>
      <c r="I10" s="8" t="s">
        <v>17</v>
      </c>
      <c r="J10" s="3"/>
      <c r="K10" s="22" t="s">
        <v>18</v>
      </c>
      <c r="L10" s="3"/>
      <c r="M10" s="8"/>
      <c r="N10" s="8"/>
      <c r="O10" s="8" t="s">
        <v>91</v>
      </c>
      <c r="P10" s="3"/>
      <c r="Q10" s="3" t="s">
        <v>92</v>
      </c>
      <c r="R10" s="3"/>
    </row>
    <row r="11" spans="1:18" ht="12.75">
      <c r="A11" s="14"/>
      <c r="B11" s="9"/>
      <c r="C11" s="10" t="str">
        <f t="shared" si="0"/>
        <v>JELLY KING</v>
      </c>
      <c r="D11" s="9"/>
      <c r="E11" s="9" t="str">
        <f t="shared" si="1"/>
        <v>MARC THOMPSON</v>
      </c>
      <c r="F11" s="9"/>
      <c r="G11" s="3"/>
      <c r="H11" s="3"/>
      <c r="I11" s="30" t="s">
        <v>29</v>
      </c>
      <c r="J11" s="24"/>
      <c r="K11" s="24" t="s">
        <v>10</v>
      </c>
      <c r="L11" s="3"/>
      <c r="M11" s="8"/>
      <c r="N11" s="8"/>
      <c r="O11" s="8" t="s">
        <v>105</v>
      </c>
      <c r="P11" s="3"/>
      <c r="Q11" s="3" t="s">
        <v>79</v>
      </c>
      <c r="R11" s="3"/>
    </row>
    <row r="12" spans="1:18" ht="12.75">
      <c r="A12" s="14"/>
      <c r="B12" s="9"/>
      <c r="C12" s="10" t="str">
        <f t="shared" si="0"/>
        <v>BIT DAVE</v>
      </c>
      <c r="D12" s="9"/>
      <c r="E12" s="9" t="str">
        <f t="shared" si="1"/>
        <v>PETE ZARUSTICA</v>
      </c>
      <c r="F12" s="9"/>
      <c r="G12" s="3"/>
      <c r="H12" s="3"/>
      <c r="I12" s="8" t="s">
        <v>35</v>
      </c>
      <c r="J12" s="3"/>
      <c r="K12" s="2" t="s">
        <v>26</v>
      </c>
      <c r="L12" s="3"/>
      <c r="M12" s="8"/>
      <c r="N12" s="8"/>
      <c r="O12" s="8" t="s">
        <v>970</v>
      </c>
      <c r="P12" s="3"/>
      <c r="Q12" s="3" t="s">
        <v>113</v>
      </c>
      <c r="R12" s="3"/>
    </row>
    <row r="13" spans="1:18" ht="12.75">
      <c r="A13" s="14"/>
      <c r="B13" s="9"/>
      <c r="C13" s="10" t="str">
        <f t="shared" si="0"/>
        <v>KING BLOCKBUSTER</v>
      </c>
      <c r="D13" s="9"/>
      <c r="E13" s="9" t="str">
        <f t="shared" si="1"/>
        <v>BRENT MUKAI</v>
      </c>
      <c r="F13" s="9"/>
      <c r="G13" s="3"/>
      <c r="H13" s="3"/>
      <c r="I13" s="30" t="s">
        <v>56</v>
      </c>
      <c r="J13" s="24"/>
      <c r="K13" s="24" t="s">
        <v>57</v>
      </c>
      <c r="L13" s="3"/>
      <c r="M13" s="8"/>
      <c r="N13" s="8"/>
      <c r="O13" s="8" t="s">
        <v>134</v>
      </c>
      <c r="P13" s="3"/>
      <c r="Q13" s="3" t="s">
        <v>100</v>
      </c>
      <c r="R13" s="3"/>
    </row>
    <row r="14" spans="1:18" ht="12.75">
      <c r="A14" s="14"/>
      <c r="B14" s="9"/>
      <c r="C14" s="10" t="str">
        <f t="shared" si="0"/>
        <v>HOT BUTTON 81</v>
      </c>
      <c r="D14" s="9"/>
      <c r="E14" s="9" t="str">
        <f t="shared" si="1"/>
        <v>GIANNI MATRAGRANO</v>
      </c>
      <c r="F14" s="9"/>
      <c r="G14" s="3"/>
      <c r="H14" s="3"/>
      <c r="I14" s="30" t="s">
        <v>51</v>
      </c>
      <c r="J14" s="24"/>
      <c r="K14" s="24" t="s">
        <v>32</v>
      </c>
      <c r="L14" s="3"/>
      <c r="M14" s="8"/>
      <c r="N14" s="8"/>
      <c r="O14" s="8" t="s">
        <v>131</v>
      </c>
      <c r="P14" s="3"/>
      <c r="Q14" s="3" t="s">
        <v>102</v>
      </c>
      <c r="R14" s="3"/>
    </row>
    <row r="15" spans="1:18" ht="12.75">
      <c r="A15" s="14"/>
      <c r="B15" s="9"/>
      <c r="C15" s="10" t="str">
        <f t="shared" si="0"/>
        <v>25 CENT</v>
      </c>
      <c r="D15" s="9"/>
      <c r="E15" s="9" t="str">
        <f t="shared" si="1"/>
        <v>BARRETT LEDDY</v>
      </c>
      <c r="F15" s="9"/>
      <c r="G15" s="3"/>
      <c r="H15" s="3"/>
      <c r="I15" s="44" t="s">
        <v>30</v>
      </c>
      <c r="J15" s="14"/>
      <c r="K15" s="24" t="s">
        <v>1</v>
      </c>
      <c r="L15" s="3"/>
      <c r="M15" s="8"/>
      <c r="N15" s="8"/>
      <c r="O15" s="8" t="s">
        <v>106</v>
      </c>
      <c r="P15" s="3"/>
      <c r="Q15" s="3" t="s">
        <v>104</v>
      </c>
      <c r="R15" s="3"/>
    </row>
    <row r="16" spans="1:18" ht="12.75">
      <c r="A16" s="14"/>
      <c r="B16" s="9"/>
      <c r="C16" s="10" t="str">
        <f t="shared" si="0"/>
        <v>KUNG-FU 7</v>
      </c>
      <c r="D16" s="9"/>
      <c r="E16" s="9" t="str">
        <f t="shared" si="1"/>
        <v xml:space="preserve">ALLEN WINTER </v>
      </c>
      <c r="F16" s="9"/>
      <c r="G16" s="3"/>
      <c r="H16" s="3"/>
      <c r="I16" s="36" t="s">
        <v>731</v>
      </c>
      <c r="J16" s="3"/>
      <c r="K16" s="23" t="s">
        <v>34</v>
      </c>
      <c r="L16" s="3"/>
      <c r="M16" s="8"/>
      <c r="N16" s="8"/>
      <c r="O16" s="8" t="s">
        <v>112</v>
      </c>
      <c r="P16" s="3"/>
      <c r="Q16" s="3" t="s">
        <v>100</v>
      </c>
      <c r="R16" s="3"/>
    </row>
    <row r="17" spans="1:18" ht="12.75">
      <c r="A17" s="14"/>
      <c r="B17" s="9"/>
      <c r="C17" s="10" t="str">
        <f t="shared" si="0"/>
        <v>SCOTT</v>
      </c>
      <c r="D17" s="9"/>
      <c r="E17" s="9" t="str">
        <f t="shared" si="1"/>
        <v>ADIN RUDD</v>
      </c>
      <c r="F17" s="9"/>
      <c r="G17" s="3"/>
      <c r="H17" s="3"/>
      <c r="I17" s="8" t="s">
        <v>50</v>
      </c>
      <c r="J17" s="3"/>
      <c r="K17" s="22" t="s">
        <v>14</v>
      </c>
      <c r="L17" s="3"/>
      <c r="M17" s="8"/>
      <c r="N17" s="8"/>
      <c r="O17" s="8" t="s">
        <v>128</v>
      </c>
      <c r="P17" s="3"/>
      <c r="Q17" s="3" t="s">
        <v>79</v>
      </c>
      <c r="R17" s="3"/>
    </row>
    <row r="18" spans="1:18" ht="12.75">
      <c r="A18" s="14"/>
      <c r="B18" s="9"/>
      <c r="C18" s="10" t="str">
        <f t="shared" si="0"/>
        <v>SUPER SCOTT</v>
      </c>
      <c r="D18" s="9"/>
      <c r="E18" s="9" t="str">
        <f t="shared" si="1"/>
        <v>ADIN RUDD</v>
      </c>
      <c r="F18" s="9"/>
      <c r="G18" s="3"/>
      <c r="H18" s="3"/>
      <c r="I18" s="8" t="s">
        <v>13</v>
      </c>
      <c r="J18" s="3"/>
      <c r="K18" s="22" t="s">
        <v>14</v>
      </c>
      <c r="L18" s="3"/>
      <c r="M18" s="8"/>
      <c r="N18" s="8"/>
      <c r="O18" s="8" t="s">
        <v>88</v>
      </c>
      <c r="P18" s="3"/>
      <c r="Q18" s="3" t="s">
        <v>79</v>
      </c>
      <c r="R18" s="3"/>
    </row>
    <row r="19" spans="1:18" ht="12.75">
      <c r="A19" s="14"/>
      <c r="B19" s="9"/>
      <c r="C19" s="10" t="str">
        <f t="shared" si="0"/>
        <v>CYNTHIA</v>
      </c>
      <c r="D19" s="9"/>
      <c r="E19" s="9" t="str">
        <f t="shared" si="1"/>
        <v>MARY O'BRADY</v>
      </c>
      <c r="F19" s="9"/>
      <c r="G19" s="3"/>
      <c r="H19" s="3"/>
      <c r="I19" s="36" t="s">
        <v>68</v>
      </c>
      <c r="J19" s="2"/>
      <c r="K19" s="2" t="s">
        <v>69</v>
      </c>
      <c r="L19" s="3"/>
      <c r="M19" s="8"/>
      <c r="N19" s="8"/>
      <c r="O19" s="8" t="s">
        <v>143</v>
      </c>
      <c r="P19" s="3"/>
      <c r="Q19" s="3" t="s">
        <v>83</v>
      </c>
      <c r="R19" s="3"/>
    </row>
    <row r="20" spans="1:18" ht="12.75">
      <c r="A20" s="14"/>
      <c r="B20" s="9"/>
      <c r="C20" s="10" t="str">
        <f t="shared" si="0"/>
        <v>ARCADE TROLL</v>
      </c>
      <c r="D20" s="9"/>
      <c r="E20" s="9" t="str">
        <f t="shared" si="1"/>
        <v>TOM WAYLAND</v>
      </c>
      <c r="F20" s="9"/>
      <c r="G20" s="3"/>
      <c r="H20" s="3"/>
      <c r="I20" s="8" t="s">
        <v>732</v>
      </c>
      <c r="J20" s="3"/>
      <c r="K20" s="24" t="s">
        <v>58</v>
      </c>
      <c r="L20" s="3"/>
      <c r="M20" s="8"/>
      <c r="N20" s="8"/>
      <c r="O20" s="8" t="s">
        <v>971</v>
      </c>
      <c r="P20" s="3"/>
      <c r="Q20" s="3" t="s">
        <v>120</v>
      </c>
      <c r="R20" s="3"/>
    </row>
    <row r="21" spans="1:18" ht="12.75">
      <c r="A21" s="14"/>
      <c r="B21" s="9"/>
      <c r="C21" s="10" t="str">
        <f t="shared" si="0"/>
        <v>DONNY</v>
      </c>
      <c r="D21" s="9"/>
      <c r="E21" s="9" t="str">
        <f t="shared" si="1"/>
        <v>LUCAS SCHUNEMAN</v>
      </c>
      <c r="F21" s="9"/>
      <c r="G21" s="3"/>
      <c r="H21" s="3"/>
      <c r="I21" s="36" t="s">
        <v>73</v>
      </c>
      <c r="J21" s="3"/>
      <c r="K21" s="24" t="s">
        <v>4</v>
      </c>
      <c r="L21" s="3"/>
      <c r="M21" s="8"/>
      <c r="N21" s="8"/>
      <c r="O21" s="8" t="s">
        <v>147</v>
      </c>
      <c r="P21" s="3"/>
      <c r="Q21" s="3" t="s">
        <v>81</v>
      </c>
      <c r="R21" s="3"/>
    </row>
    <row r="22" spans="1:18" ht="12.75">
      <c r="A22" s="14"/>
      <c r="B22" s="9"/>
      <c r="C22" s="10" t="str">
        <f t="shared" si="0"/>
        <v/>
      </c>
      <c r="D22" s="9"/>
      <c r="E22" s="9" t="str">
        <f t="shared" si="1"/>
        <v/>
      </c>
      <c r="F22" s="9"/>
      <c r="G22" s="3"/>
      <c r="H22" s="3"/>
      <c r="I22" s="36"/>
      <c r="J22" s="3"/>
      <c r="K22" s="85"/>
      <c r="L22" s="3"/>
      <c r="M22" s="8"/>
      <c r="N22" s="8"/>
      <c r="O22" s="8"/>
      <c r="P22" s="3"/>
      <c r="Q22" s="3"/>
      <c r="R22" s="3"/>
    </row>
    <row r="23" spans="1:18" ht="14.25">
      <c r="A23" s="14"/>
      <c r="B23" s="11"/>
      <c r="C23" s="12"/>
      <c r="D23" s="11"/>
      <c r="E23" s="11"/>
      <c r="F23" s="11"/>
      <c r="G23" s="3"/>
      <c r="H23" s="3"/>
      <c r="I23" s="8"/>
      <c r="J23" s="3"/>
      <c r="K23" s="25"/>
      <c r="L23" s="3"/>
      <c r="M23" s="8"/>
      <c r="N23" s="8"/>
      <c r="O23" s="8"/>
      <c r="P23" s="3"/>
      <c r="Q23" s="3"/>
      <c r="R23" s="3"/>
    </row>
    <row r="24" spans="1:18" ht="14.25">
      <c r="A24" s="14"/>
      <c r="B24" s="9"/>
      <c r="C24" s="10"/>
      <c r="D24" s="9"/>
      <c r="E24" s="9"/>
      <c r="F24" s="9"/>
      <c r="G24" s="3"/>
      <c r="H24" s="3"/>
      <c r="I24" s="8"/>
      <c r="J24" s="3"/>
      <c r="K24" s="25"/>
      <c r="L24" s="3"/>
      <c r="M24" s="8"/>
      <c r="N24" s="8"/>
      <c r="O24" s="8"/>
      <c r="P24" s="3"/>
      <c r="Q24" s="3"/>
      <c r="R24" s="3"/>
    </row>
    <row r="25" spans="1:18" ht="18">
      <c r="A25" s="14"/>
      <c r="B25" s="150" t="str">
        <f>UPPER(H25)</f>
        <v>VOICE</v>
      </c>
      <c r="C25" s="141"/>
      <c r="D25" s="141"/>
      <c r="E25" s="141"/>
      <c r="F25" s="141"/>
      <c r="G25" s="18"/>
      <c r="H25" s="167" t="s">
        <v>157</v>
      </c>
      <c r="I25" s="141"/>
      <c r="J25" s="141"/>
      <c r="K25" s="141"/>
      <c r="L25" s="141"/>
      <c r="M25" s="18"/>
      <c r="N25" s="149" t="s">
        <v>777</v>
      </c>
      <c r="O25" s="141"/>
      <c r="P25" s="141"/>
      <c r="Q25" s="141"/>
      <c r="R25" s="141"/>
    </row>
    <row r="26" spans="1:18" ht="12.75">
      <c r="A26" s="14"/>
      <c r="B26" s="9"/>
      <c r="C26" s="10" t="str">
        <f t="shared" ref="C26:C32" si="2">UPPER(I26)</f>
        <v>OTHER VOICES</v>
      </c>
      <c r="D26" s="9"/>
      <c r="E26" s="9" t="str">
        <f t="shared" ref="E26:E33" si="3">UPPER(K26)</f>
        <v>SAMANTHA COOPER</v>
      </c>
      <c r="F26" s="9"/>
      <c r="G26" s="3"/>
      <c r="H26" s="3"/>
      <c r="I26" s="8" t="s">
        <v>165</v>
      </c>
      <c r="J26" s="3"/>
      <c r="K26" s="2" t="s">
        <v>37</v>
      </c>
      <c r="L26" s="3"/>
      <c r="M26" s="8"/>
      <c r="N26" s="8"/>
      <c r="O26" s="8" t="s">
        <v>782</v>
      </c>
      <c r="P26" s="3"/>
      <c r="Q26" s="3" t="s">
        <v>104</v>
      </c>
      <c r="R26" s="3"/>
    </row>
    <row r="27" spans="1:18" ht="12.75">
      <c r="A27" s="14"/>
      <c r="B27" s="9"/>
      <c r="C27" s="10" t="str">
        <f t="shared" si="2"/>
        <v/>
      </c>
      <c r="D27" s="9"/>
      <c r="E27" s="9" t="str">
        <f t="shared" si="3"/>
        <v>BRENT MUKAI</v>
      </c>
      <c r="F27" s="9"/>
      <c r="G27" s="3"/>
      <c r="H27" s="3"/>
      <c r="I27" s="8"/>
      <c r="J27" s="3"/>
      <c r="K27" s="24" t="s">
        <v>57</v>
      </c>
      <c r="L27" s="3"/>
      <c r="M27" s="8"/>
      <c r="N27" s="8"/>
      <c r="O27" s="8"/>
      <c r="P27" s="3"/>
      <c r="Q27" s="3" t="s">
        <v>79</v>
      </c>
      <c r="R27" s="3"/>
    </row>
    <row r="28" spans="1:18" ht="12.75">
      <c r="A28" s="14"/>
      <c r="B28" s="9"/>
      <c r="C28" s="10" t="str">
        <f t="shared" si="2"/>
        <v/>
      </c>
      <c r="D28" s="9"/>
      <c r="E28" s="9" t="str">
        <f t="shared" si="3"/>
        <v>BARRETT LEDDY</v>
      </c>
      <c r="F28" s="9"/>
      <c r="G28" s="3"/>
      <c r="H28" s="3"/>
      <c r="I28" s="8"/>
      <c r="J28" s="3"/>
      <c r="K28" s="24" t="s">
        <v>1</v>
      </c>
      <c r="L28" s="3"/>
      <c r="M28" s="8"/>
      <c r="N28" s="8"/>
      <c r="O28" s="8"/>
      <c r="P28" s="3"/>
      <c r="Q28" s="3" t="s">
        <v>113</v>
      </c>
      <c r="R28" s="3"/>
    </row>
    <row r="29" spans="1:18" ht="12.75">
      <c r="A29" s="14"/>
      <c r="B29" s="9"/>
      <c r="C29" s="10" t="str">
        <f t="shared" si="2"/>
        <v/>
      </c>
      <c r="D29" s="9"/>
      <c r="E29" s="9" t="str">
        <f t="shared" si="3"/>
        <v>JASON GRIFFITH</v>
      </c>
      <c r="F29" s="9"/>
      <c r="G29" s="3"/>
      <c r="H29" s="3"/>
      <c r="I29" s="8"/>
      <c r="J29" s="3"/>
      <c r="K29" s="24" t="s">
        <v>23</v>
      </c>
      <c r="L29" s="3"/>
      <c r="M29" s="8"/>
      <c r="N29" s="8"/>
      <c r="O29" s="8"/>
      <c r="P29" s="3"/>
      <c r="Q29" s="3" t="s">
        <v>92</v>
      </c>
      <c r="R29" s="3"/>
    </row>
    <row r="30" spans="1:18" ht="12.75">
      <c r="A30" s="14"/>
      <c r="B30" s="9"/>
      <c r="C30" s="10" t="str">
        <f t="shared" si="2"/>
        <v/>
      </c>
      <c r="D30" s="9"/>
      <c r="E30" s="9" t="str">
        <f t="shared" si="3"/>
        <v>BARRON BASS</v>
      </c>
      <c r="F30" s="9"/>
      <c r="G30" s="3"/>
      <c r="H30" s="3"/>
      <c r="I30" s="8"/>
      <c r="J30" s="3"/>
      <c r="K30" s="3" t="s">
        <v>59</v>
      </c>
      <c r="L30" s="3"/>
      <c r="M30" s="8"/>
      <c r="N30" s="8"/>
      <c r="O30" s="8"/>
      <c r="P30" s="3"/>
      <c r="Q30" s="3" t="s">
        <v>102</v>
      </c>
      <c r="R30" s="3"/>
    </row>
    <row r="31" spans="1:18" ht="12.75">
      <c r="A31" s="14"/>
      <c r="B31" s="9"/>
      <c r="C31" s="10" t="str">
        <f t="shared" si="2"/>
        <v/>
      </c>
      <c r="D31" s="9"/>
      <c r="E31" s="9" t="str">
        <f t="shared" si="3"/>
        <v xml:space="preserve">ALLEN WINTER </v>
      </c>
      <c r="F31" s="9"/>
      <c r="G31" s="3"/>
      <c r="H31" s="3"/>
      <c r="I31" s="8"/>
      <c r="J31" s="3"/>
      <c r="K31" s="23" t="s">
        <v>34</v>
      </c>
      <c r="L31" s="3"/>
      <c r="M31" s="8"/>
      <c r="N31" s="8"/>
      <c r="O31" s="8"/>
      <c r="P31" s="3"/>
      <c r="Q31" s="3"/>
      <c r="R31" s="3"/>
    </row>
    <row r="32" spans="1:18" ht="12.75">
      <c r="A32" s="14"/>
      <c r="B32" s="9"/>
      <c r="C32" s="10" t="str">
        <f t="shared" si="2"/>
        <v/>
      </c>
      <c r="D32" s="9"/>
      <c r="E32" s="9" t="str">
        <f t="shared" si="3"/>
        <v/>
      </c>
      <c r="F32" s="9"/>
      <c r="G32" s="3"/>
      <c r="H32" s="3"/>
      <c r="I32" s="8"/>
      <c r="J32" s="3"/>
      <c r="K32" s="14"/>
      <c r="L32" s="3"/>
      <c r="M32" s="8"/>
      <c r="N32" s="8"/>
      <c r="O32" s="8"/>
      <c r="P32" s="3"/>
      <c r="Q32" s="3"/>
      <c r="R32" s="3"/>
    </row>
    <row r="33" spans="1:18" ht="12.75">
      <c r="A33" s="14"/>
      <c r="B33" s="11" t="str">
        <f t="shared" ref="B33:C33" si="4">UPPER(H33)</f>
        <v/>
      </c>
      <c r="C33" s="12" t="str">
        <f t="shared" si="4"/>
        <v/>
      </c>
      <c r="D33" s="11"/>
      <c r="E33" s="11" t="str">
        <f t="shared" si="3"/>
        <v/>
      </c>
      <c r="F33" s="11"/>
      <c r="G33" s="3"/>
      <c r="H33" s="3"/>
      <c r="I33" s="8"/>
      <c r="J33" s="3"/>
      <c r="K33" s="13"/>
      <c r="L33" s="3"/>
      <c r="M33" s="8"/>
      <c r="N33" s="8"/>
      <c r="O33" s="8"/>
      <c r="P33" s="3"/>
      <c r="Q33" s="3"/>
      <c r="R33" s="3"/>
    </row>
    <row r="34" spans="1:18" ht="12.75">
      <c r="A34" s="14"/>
      <c r="B34" s="9"/>
      <c r="C34" s="10"/>
      <c r="D34" s="9"/>
      <c r="E34" s="9"/>
      <c r="F34" s="9"/>
      <c r="G34" s="3"/>
      <c r="H34" s="3"/>
      <c r="I34" s="8"/>
      <c r="J34" s="3"/>
      <c r="K34" s="3"/>
      <c r="L34" s="3"/>
      <c r="M34" s="8"/>
      <c r="N34" s="8"/>
      <c r="O34" s="8" t="s">
        <v>783</v>
      </c>
      <c r="P34" s="3"/>
      <c r="Q34" s="3" t="s">
        <v>769</v>
      </c>
      <c r="R34" s="3"/>
    </row>
    <row r="35" spans="1:18" ht="12.75">
      <c r="A35" s="14"/>
      <c r="B35" s="9"/>
      <c r="C35" s="10" t="str">
        <f t="shared" ref="C35:C49" si="5">UPPER(I35)</f>
        <v>DIRECTOR</v>
      </c>
      <c r="D35" s="9"/>
      <c r="E35" s="9" t="str">
        <f t="shared" ref="E35:E49" si="6">UPPER(K35)</f>
        <v>JOOGONG MAENG</v>
      </c>
      <c r="F35" s="9"/>
      <c r="G35" s="3"/>
      <c r="H35" s="3"/>
      <c r="I35" s="8" t="s">
        <v>168</v>
      </c>
      <c r="J35" s="3"/>
      <c r="K35" s="3" t="s">
        <v>148</v>
      </c>
      <c r="L35" s="3"/>
      <c r="M35" s="8"/>
      <c r="N35" s="8"/>
      <c r="O35" s="3"/>
      <c r="P35" s="3"/>
      <c r="Q35" s="3"/>
      <c r="R35" s="3"/>
    </row>
    <row r="36" spans="1:18" ht="12.75">
      <c r="A36" s="14"/>
      <c r="B36" s="9"/>
      <c r="C36" s="10" t="str">
        <f t="shared" si="5"/>
        <v/>
      </c>
      <c r="D36" s="9"/>
      <c r="E36" s="9" t="str">
        <f t="shared" si="6"/>
        <v/>
      </c>
      <c r="F36" s="9"/>
      <c r="G36" s="3"/>
      <c r="H36" s="3"/>
      <c r="I36" s="8"/>
      <c r="J36" s="3"/>
      <c r="K36" s="13"/>
      <c r="L36" s="3"/>
      <c r="M36" s="8"/>
      <c r="N36" s="8"/>
      <c r="O36" s="8" t="s">
        <v>784</v>
      </c>
      <c r="P36" s="3"/>
      <c r="Q36" s="3" t="s">
        <v>770</v>
      </c>
      <c r="R36" s="3"/>
    </row>
    <row r="37" spans="1:18" ht="12.75">
      <c r="A37" s="14"/>
      <c r="B37" s="9"/>
      <c r="C37" s="10" t="str">
        <f t="shared" si="5"/>
        <v>CO-DIRECTOR</v>
      </c>
      <c r="D37" s="9"/>
      <c r="E37" s="9" t="str">
        <f t="shared" si="6"/>
        <v>TAEWOOK KOH</v>
      </c>
      <c r="F37" s="9"/>
      <c r="G37" s="3"/>
      <c r="H37" s="3"/>
      <c r="I37" s="8" t="s">
        <v>169</v>
      </c>
      <c r="J37" s="3"/>
      <c r="K37" s="13" t="s">
        <v>149</v>
      </c>
      <c r="L37" s="3"/>
      <c r="M37" s="8"/>
      <c r="N37" s="8"/>
      <c r="O37" s="3"/>
      <c r="P37" s="3"/>
      <c r="Q37" s="3"/>
      <c r="R37" s="3"/>
    </row>
    <row r="38" spans="1:18" ht="12.75">
      <c r="A38" s="14"/>
      <c r="B38" s="9"/>
      <c r="C38" s="10" t="str">
        <f t="shared" si="5"/>
        <v/>
      </c>
      <c r="D38" s="9"/>
      <c r="E38" s="9" t="str">
        <f t="shared" si="6"/>
        <v/>
      </c>
      <c r="F38" s="9"/>
      <c r="G38" s="3"/>
      <c r="H38" s="3"/>
      <c r="I38" s="8"/>
      <c r="J38" s="3"/>
      <c r="K38" s="13"/>
      <c r="L38" s="3"/>
      <c r="M38" s="8"/>
      <c r="N38" s="8"/>
      <c r="O38" s="8" t="s">
        <v>785</v>
      </c>
      <c r="P38" s="3"/>
      <c r="Q38" s="3" t="s">
        <v>771</v>
      </c>
      <c r="R38" s="3"/>
    </row>
    <row r="39" spans="1:18" ht="12.75">
      <c r="A39" s="14"/>
      <c r="B39" s="9"/>
      <c r="C39" s="10" t="str">
        <f t="shared" si="5"/>
        <v>ASSISTANT DIRECTOR</v>
      </c>
      <c r="D39" s="9"/>
      <c r="E39" s="9" t="str">
        <f t="shared" si="6"/>
        <v>JEEHYUN KIM</v>
      </c>
      <c r="F39" s="9"/>
      <c r="G39" s="3"/>
      <c r="H39" s="3"/>
      <c r="I39" s="8" t="s">
        <v>170</v>
      </c>
      <c r="J39" s="3"/>
      <c r="K39" s="13" t="s">
        <v>150</v>
      </c>
      <c r="L39" s="3"/>
      <c r="M39" s="8"/>
      <c r="N39" s="8"/>
      <c r="O39" s="3"/>
      <c r="P39" s="3"/>
      <c r="Q39" s="3"/>
      <c r="R39" s="3"/>
    </row>
    <row r="40" spans="1:18" ht="12.75">
      <c r="A40" s="14"/>
      <c r="B40" s="9"/>
      <c r="C40" s="10" t="str">
        <f t="shared" si="5"/>
        <v/>
      </c>
      <c r="D40" s="9"/>
      <c r="E40" s="9" t="str">
        <f t="shared" si="6"/>
        <v/>
      </c>
      <c r="F40" s="9"/>
      <c r="G40" s="3"/>
      <c r="H40" s="3"/>
      <c r="I40" s="8"/>
      <c r="J40" s="3"/>
      <c r="K40" s="13"/>
      <c r="L40" s="3"/>
      <c r="M40" s="8"/>
      <c r="N40" s="8"/>
      <c r="O40" s="8" t="s">
        <v>786</v>
      </c>
      <c r="P40" s="3"/>
      <c r="Q40" s="3" t="s">
        <v>770</v>
      </c>
      <c r="R40" s="3"/>
    </row>
    <row r="41" spans="1:18" ht="12.75">
      <c r="A41" s="14"/>
      <c r="B41" s="9"/>
      <c r="C41" s="10" t="str">
        <f t="shared" si="5"/>
        <v>STORY SUPERVISOR</v>
      </c>
      <c r="D41" s="9"/>
      <c r="E41" s="9" t="str">
        <f t="shared" si="6"/>
        <v>TAEWOOK KOH</v>
      </c>
      <c r="F41" s="9"/>
      <c r="G41" s="3"/>
      <c r="H41" s="3"/>
      <c r="I41" s="8" t="s">
        <v>171</v>
      </c>
      <c r="J41" s="3"/>
      <c r="K41" s="13" t="s">
        <v>149</v>
      </c>
      <c r="L41" s="3"/>
      <c r="M41" s="3"/>
      <c r="N41" s="3"/>
      <c r="O41" s="3"/>
      <c r="P41" s="3"/>
      <c r="Q41" s="3" t="s">
        <v>771</v>
      </c>
      <c r="R41" s="3"/>
    </row>
    <row r="42" spans="1:18" ht="12.75">
      <c r="A42" s="14"/>
      <c r="B42" s="9"/>
      <c r="C42" s="10" t="str">
        <f t="shared" si="5"/>
        <v/>
      </c>
      <c r="D42" s="9"/>
      <c r="E42" s="9" t="str">
        <f t="shared" si="6"/>
        <v>JEEHYUN KIM</v>
      </c>
      <c r="F42" s="9"/>
      <c r="G42" s="3"/>
      <c r="H42" s="3"/>
      <c r="I42" s="8"/>
      <c r="J42" s="3"/>
      <c r="K42" s="13" t="s">
        <v>150</v>
      </c>
      <c r="L42" s="3"/>
      <c r="M42" s="8"/>
      <c r="N42" s="8"/>
      <c r="O42" s="3"/>
      <c r="P42" s="3"/>
      <c r="Q42" s="3" t="s">
        <v>774</v>
      </c>
      <c r="R42" s="3"/>
    </row>
    <row r="43" spans="1:18" ht="12.75">
      <c r="A43" s="14"/>
      <c r="B43" s="9"/>
      <c r="C43" s="10" t="str">
        <f t="shared" si="5"/>
        <v/>
      </c>
      <c r="D43" s="9"/>
      <c r="E43" s="9" t="str">
        <f t="shared" si="6"/>
        <v>JIWON OH</v>
      </c>
      <c r="F43" s="9"/>
      <c r="G43" s="3"/>
      <c r="H43" s="3"/>
      <c r="I43" s="8"/>
      <c r="J43" s="3"/>
      <c r="K43" s="13" t="s">
        <v>151</v>
      </c>
      <c r="L43" s="3"/>
      <c r="M43" s="8"/>
      <c r="N43" s="8"/>
      <c r="O43" s="3"/>
      <c r="P43" s="3"/>
      <c r="Q43" s="3"/>
      <c r="R43" s="3"/>
    </row>
    <row r="44" spans="1:18" ht="12.75">
      <c r="A44" s="14"/>
      <c r="B44" s="9"/>
      <c r="C44" s="10" t="str">
        <f t="shared" si="5"/>
        <v/>
      </c>
      <c r="D44" s="9"/>
      <c r="E44" s="9" t="str">
        <f t="shared" si="6"/>
        <v/>
      </c>
      <c r="F44" s="9"/>
      <c r="G44" s="3"/>
      <c r="H44" s="3"/>
      <c r="I44" s="8"/>
      <c r="J44" s="3"/>
      <c r="K44" s="13"/>
      <c r="L44" s="3"/>
      <c r="M44" s="8"/>
      <c r="N44" s="8"/>
      <c r="O44" s="8" t="s">
        <v>787</v>
      </c>
      <c r="P44" s="3"/>
      <c r="Q44" s="3" t="s">
        <v>788</v>
      </c>
      <c r="R44" s="3"/>
    </row>
    <row r="45" spans="1:18" ht="12.75">
      <c r="A45" s="14"/>
      <c r="B45" s="9"/>
      <c r="C45" s="10" t="str">
        <f t="shared" si="5"/>
        <v>STORY ARTIST</v>
      </c>
      <c r="D45" s="9"/>
      <c r="E45" s="9" t="str">
        <f t="shared" si="6"/>
        <v>WON HWANG</v>
      </c>
      <c r="F45" s="9"/>
      <c r="G45" s="3"/>
      <c r="H45" s="3"/>
      <c r="I45" s="8" t="s">
        <v>172</v>
      </c>
      <c r="J45" s="3"/>
      <c r="K45" s="13" t="s">
        <v>173</v>
      </c>
      <c r="L45" s="3"/>
      <c r="M45" s="8"/>
      <c r="N45" s="8"/>
      <c r="O45" s="8"/>
      <c r="P45" s="3"/>
      <c r="Q45" s="3"/>
      <c r="R45" s="3"/>
    </row>
    <row r="46" spans="1:18" ht="12.75">
      <c r="A46" s="14"/>
      <c r="B46" s="9"/>
      <c r="C46" s="10" t="str">
        <f t="shared" si="5"/>
        <v/>
      </c>
      <c r="D46" s="9"/>
      <c r="E46" s="9" t="str">
        <f t="shared" si="6"/>
        <v/>
      </c>
      <c r="F46" s="9"/>
      <c r="G46" s="3"/>
      <c r="H46" s="3"/>
      <c r="I46" s="8"/>
      <c r="J46" s="3"/>
      <c r="K46" s="13"/>
      <c r="L46" s="3"/>
      <c r="M46" s="3"/>
      <c r="N46" s="3"/>
      <c r="O46" s="8" t="s">
        <v>789</v>
      </c>
      <c r="P46" s="3"/>
      <c r="Q46" s="3" t="s">
        <v>155</v>
      </c>
      <c r="R46" s="3"/>
    </row>
    <row r="47" spans="1:18" ht="12.75">
      <c r="A47" s="14"/>
      <c r="B47" s="9"/>
      <c r="C47" s="10" t="str">
        <f t="shared" si="5"/>
        <v>STORY EDITOR</v>
      </c>
      <c r="D47" s="9"/>
      <c r="E47" s="9" t="str">
        <f t="shared" si="6"/>
        <v>JAKE GOLDMAN</v>
      </c>
      <c r="F47" s="9"/>
      <c r="G47" s="3"/>
      <c r="H47" s="3"/>
      <c r="I47" s="8" t="s">
        <v>174</v>
      </c>
      <c r="J47" s="3"/>
      <c r="K47" s="13" t="s">
        <v>155</v>
      </c>
      <c r="L47" s="3"/>
      <c r="M47" s="3"/>
      <c r="N47" s="3"/>
      <c r="O47" s="8" t="s">
        <v>790</v>
      </c>
      <c r="P47" s="3"/>
      <c r="Q47" s="2" t="s">
        <v>608</v>
      </c>
      <c r="R47" s="3"/>
    </row>
    <row r="48" spans="1:18" ht="12.75">
      <c r="A48" s="14"/>
      <c r="B48" s="9"/>
      <c r="C48" s="10" t="str">
        <f t="shared" si="5"/>
        <v>WRITTEN BY</v>
      </c>
      <c r="D48" s="9"/>
      <c r="E48" s="9" t="str">
        <f t="shared" si="6"/>
        <v>NICK WATSON</v>
      </c>
      <c r="F48" s="9"/>
      <c r="G48" s="3"/>
      <c r="H48" s="3"/>
      <c r="I48" s="8" t="s">
        <v>154</v>
      </c>
      <c r="J48" s="3"/>
      <c r="K48" s="2" t="s">
        <v>608</v>
      </c>
      <c r="L48" s="3"/>
      <c r="M48" s="3"/>
      <c r="N48" s="3"/>
      <c r="O48" s="8"/>
      <c r="P48" s="3"/>
      <c r="Q48" s="3"/>
      <c r="R48" s="3"/>
    </row>
    <row r="49" spans="1:18" ht="12.75">
      <c r="A49" s="14"/>
      <c r="B49" s="9"/>
      <c r="C49" s="10" t="str">
        <f t="shared" si="5"/>
        <v/>
      </c>
      <c r="D49" s="9"/>
      <c r="E49" s="9" t="str">
        <f t="shared" si="6"/>
        <v/>
      </c>
      <c r="F49" s="9"/>
      <c r="G49" s="3"/>
      <c r="H49" s="3"/>
      <c r="I49" s="8"/>
      <c r="J49" s="3"/>
      <c r="K49" s="13"/>
      <c r="L49" s="3"/>
      <c r="M49" s="3"/>
      <c r="N49" s="3"/>
      <c r="O49" s="8"/>
      <c r="P49" s="3"/>
      <c r="Q49" s="3"/>
      <c r="R49" s="3"/>
    </row>
    <row r="50" spans="1:18" ht="15">
      <c r="A50" s="14"/>
      <c r="B50" s="26"/>
      <c r="C50" s="26"/>
      <c r="D50" s="26"/>
      <c r="E50" s="26"/>
      <c r="F50" s="26"/>
      <c r="G50" s="3"/>
      <c r="H50" s="7"/>
      <c r="I50" s="8"/>
      <c r="J50" s="7"/>
      <c r="K50" s="7"/>
      <c r="L50" s="7"/>
      <c r="M50" s="3"/>
      <c r="N50" s="3"/>
      <c r="O50" s="8"/>
      <c r="P50" s="3"/>
      <c r="Q50" s="3"/>
      <c r="R50" s="3"/>
    </row>
    <row r="51" spans="1:18" ht="15">
      <c r="A51" s="14"/>
      <c r="B51" s="6"/>
      <c r="C51" s="6"/>
      <c r="D51" s="6"/>
      <c r="E51" s="6"/>
      <c r="F51" s="6"/>
      <c r="G51" s="3"/>
      <c r="H51" s="7"/>
      <c r="I51" s="8"/>
      <c r="J51" s="7"/>
      <c r="K51" s="7"/>
      <c r="L51" s="7"/>
      <c r="M51" s="3"/>
      <c r="N51" s="3"/>
      <c r="O51" s="8"/>
      <c r="P51" s="3"/>
      <c r="Q51" s="3"/>
      <c r="R51" s="3"/>
    </row>
    <row r="52" spans="1:18" ht="18">
      <c r="A52" s="14"/>
      <c r="B52" s="150" t="str">
        <f t="shared" ref="B52:B53" si="7">UPPER(H52)</f>
        <v>STORYBOARD</v>
      </c>
      <c r="C52" s="141"/>
      <c r="D52" s="141"/>
      <c r="E52" s="141"/>
      <c r="F52" s="141"/>
      <c r="G52" s="28"/>
      <c r="H52" s="167" t="s">
        <v>175</v>
      </c>
      <c r="I52" s="141"/>
      <c r="J52" s="141"/>
      <c r="K52" s="141"/>
      <c r="L52" s="141"/>
      <c r="M52" s="28"/>
      <c r="N52" s="149" t="s">
        <v>791</v>
      </c>
      <c r="O52" s="141"/>
      <c r="P52" s="141"/>
      <c r="Q52" s="141"/>
      <c r="R52" s="141"/>
    </row>
    <row r="53" spans="1:18" ht="15">
      <c r="A53" s="14"/>
      <c r="B53" s="146" t="str">
        <f t="shared" si="7"/>
        <v/>
      </c>
      <c r="C53" s="141"/>
      <c r="D53" s="141"/>
      <c r="E53" s="141"/>
      <c r="F53" s="141"/>
      <c r="G53" s="3"/>
      <c r="H53" s="149"/>
      <c r="I53" s="141"/>
      <c r="J53" s="141"/>
      <c r="K53" s="141"/>
      <c r="L53" s="141"/>
      <c r="M53" s="3"/>
      <c r="N53" s="149"/>
      <c r="O53" s="141"/>
      <c r="P53" s="141"/>
      <c r="Q53" s="141"/>
      <c r="R53" s="141"/>
    </row>
    <row r="54" spans="1:18" ht="12.75">
      <c r="A54" s="14"/>
      <c r="B54" s="9"/>
      <c r="C54" s="10"/>
      <c r="D54" s="9"/>
      <c r="E54" s="9"/>
      <c r="F54" s="9"/>
      <c r="G54" s="3"/>
      <c r="H54" s="3"/>
      <c r="I54" s="36"/>
      <c r="J54" s="2"/>
      <c r="K54" s="2"/>
      <c r="L54" s="3"/>
      <c r="M54" s="3"/>
      <c r="N54" s="3"/>
      <c r="O54" s="36"/>
      <c r="P54" s="2"/>
      <c r="Q54" s="2"/>
      <c r="R54" s="3"/>
    </row>
    <row r="55" spans="1:18" ht="12.75">
      <c r="A55" s="14"/>
      <c r="B55" s="9"/>
      <c r="C55" s="10" t="str">
        <f>UPPER(I55)</f>
        <v>STORYBOARD DIRECTOR</v>
      </c>
      <c r="D55" s="9"/>
      <c r="E55" s="9" t="str">
        <f>UPPER(K55)</f>
        <v>BUZZ</v>
      </c>
      <c r="F55" s="9"/>
      <c r="G55" s="3"/>
      <c r="H55" s="3"/>
      <c r="I55" s="36" t="s">
        <v>177</v>
      </c>
      <c r="J55" s="2"/>
      <c r="K55" s="2" t="s">
        <v>733</v>
      </c>
      <c r="L55" s="3"/>
      <c r="M55" s="3"/>
      <c r="N55" s="3"/>
      <c r="O55" s="8" t="s">
        <v>793</v>
      </c>
      <c r="P55" s="2"/>
      <c r="Q55" s="2" t="s">
        <v>733</v>
      </c>
      <c r="R55" s="3"/>
    </row>
    <row r="56" spans="1:18" ht="12.75">
      <c r="A56" s="14"/>
      <c r="B56" s="9"/>
      <c r="C56" s="10"/>
      <c r="D56" s="9"/>
      <c r="E56" s="9"/>
      <c r="F56" s="9"/>
      <c r="G56" s="3"/>
      <c r="H56" s="3"/>
      <c r="I56" s="8"/>
      <c r="J56" s="3"/>
      <c r="K56" s="13"/>
      <c r="L56" s="3"/>
      <c r="M56" s="3"/>
      <c r="N56" s="3"/>
      <c r="O56" s="8"/>
      <c r="P56" s="3"/>
      <c r="Q56" s="3"/>
      <c r="R56" s="3"/>
    </row>
    <row r="57" spans="1:18" ht="12.75">
      <c r="A57" s="14"/>
      <c r="B57" s="11" t="str">
        <f t="shared" ref="B57:C57" si="8">UPPER(H57)</f>
        <v/>
      </c>
      <c r="C57" s="12" t="str">
        <f t="shared" si="8"/>
        <v/>
      </c>
      <c r="D57" s="11"/>
      <c r="E57" s="11" t="str">
        <f>UPPER(K57)</f>
        <v/>
      </c>
      <c r="F57" s="11"/>
      <c r="G57" s="3"/>
      <c r="H57" s="3"/>
      <c r="I57" s="8"/>
      <c r="J57" s="3"/>
      <c r="K57" s="13"/>
      <c r="L57" s="3"/>
      <c r="M57" s="3"/>
      <c r="N57" s="3"/>
      <c r="O57" s="8"/>
      <c r="P57" s="3"/>
      <c r="Q57" s="3"/>
      <c r="R57" s="3"/>
    </row>
    <row r="58" spans="1:18" ht="12.75">
      <c r="A58" s="14"/>
      <c r="B58" s="9"/>
      <c r="C58" s="10"/>
      <c r="D58" s="9"/>
      <c r="E58" s="9"/>
      <c r="F58" s="9"/>
      <c r="G58" s="3"/>
      <c r="H58" s="3"/>
      <c r="I58" s="8"/>
      <c r="J58" s="3"/>
      <c r="K58" s="3"/>
      <c r="L58" s="3"/>
      <c r="M58" s="8"/>
      <c r="N58" s="8"/>
      <c r="O58" s="8"/>
      <c r="P58" s="3"/>
      <c r="Q58" s="3"/>
      <c r="R58" s="3"/>
    </row>
    <row r="59" spans="1:18" ht="12.75">
      <c r="A59" s="14"/>
      <c r="B59" s="9"/>
      <c r="C59" s="10" t="str">
        <f t="shared" ref="C59:C66" si="9">UPPER(I59)</f>
        <v>PRODUCTION MANAGER</v>
      </c>
      <c r="D59" s="9"/>
      <c r="E59" s="9" t="str">
        <f t="shared" ref="E59:E66" si="10">UPPER(K59)</f>
        <v>SEMIN SHIN</v>
      </c>
      <c r="F59" s="9"/>
      <c r="G59" s="3"/>
      <c r="H59" s="3"/>
      <c r="I59" s="8" t="s">
        <v>152</v>
      </c>
      <c r="J59" s="3"/>
      <c r="K59" s="3" t="s">
        <v>153</v>
      </c>
      <c r="L59" s="3"/>
      <c r="M59" s="8"/>
      <c r="N59" s="8"/>
      <c r="O59" s="8" t="s">
        <v>775</v>
      </c>
      <c r="P59" s="3"/>
      <c r="Q59" s="3" t="s">
        <v>776</v>
      </c>
      <c r="R59" s="3"/>
    </row>
    <row r="60" spans="1:18" ht="12.75">
      <c r="A60" s="14"/>
      <c r="B60" s="9"/>
      <c r="C60" s="10" t="str">
        <f t="shared" si="9"/>
        <v/>
      </c>
      <c r="D60" s="9"/>
      <c r="E60" s="9" t="str">
        <f t="shared" si="10"/>
        <v/>
      </c>
      <c r="F60" s="9"/>
      <c r="G60" s="3"/>
      <c r="H60" s="3"/>
      <c r="I60" s="8"/>
      <c r="J60" s="3"/>
      <c r="K60" s="3"/>
      <c r="L60" s="3"/>
      <c r="M60" s="8"/>
      <c r="N60" s="8"/>
      <c r="O60" s="8"/>
      <c r="P60" s="3"/>
      <c r="Q60" s="3"/>
      <c r="R60" s="3"/>
    </row>
    <row r="61" spans="1:18" ht="12.75">
      <c r="A61" s="14"/>
      <c r="B61" s="9"/>
      <c r="C61" s="10" t="str">
        <f t="shared" si="9"/>
        <v>PRODUCTION COORDINATOR</v>
      </c>
      <c r="D61" s="9"/>
      <c r="E61" s="9" t="str">
        <f t="shared" si="10"/>
        <v>SEHUI JUNG</v>
      </c>
      <c r="F61" s="9"/>
      <c r="G61" s="3"/>
      <c r="H61" s="3"/>
      <c r="I61" s="63" t="s">
        <v>184</v>
      </c>
      <c r="J61" s="3"/>
      <c r="K61" s="3" t="s">
        <v>185</v>
      </c>
      <c r="L61" s="3"/>
      <c r="M61" s="3"/>
      <c r="N61" s="3"/>
      <c r="O61" s="8" t="s">
        <v>800</v>
      </c>
      <c r="P61" s="3"/>
      <c r="Q61" s="3" t="s">
        <v>801</v>
      </c>
      <c r="R61" s="3"/>
    </row>
    <row r="62" spans="1:18" ht="12.75">
      <c r="A62" s="14"/>
      <c r="B62" s="9"/>
      <c r="C62" s="10" t="str">
        <f t="shared" si="9"/>
        <v/>
      </c>
      <c r="D62" s="9"/>
      <c r="E62" s="9" t="str">
        <f t="shared" si="10"/>
        <v>CHRISTINA YOONJUNG HAN</v>
      </c>
      <c r="F62" s="9"/>
      <c r="G62" s="3"/>
      <c r="H62" s="3"/>
      <c r="I62" s="8"/>
      <c r="J62" s="3"/>
      <c r="K62" s="3" t="s">
        <v>186</v>
      </c>
      <c r="L62" s="3"/>
      <c r="M62" s="8"/>
      <c r="N62" s="8"/>
      <c r="O62" s="3"/>
      <c r="P62" s="3"/>
      <c r="Q62" s="3" t="s">
        <v>802</v>
      </c>
      <c r="R62" s="3"/>
    </row>
    <row r="63" spans="1:18" ht="12.75">
      <c r="A63" s="14"/>
      <c r="B63" s="9"/>
      <c r="C63" s="10" t="str">
        <f t="shared" si="9"/>
        <v/>
      </c>
      <c r="D63" s="9"/>
      <c r="E63" s="9" t="str">
        <f t="shared" si="10"/>
        <v>WOORI KO</v>
      </c>
      <c r="F63" s="9"/>
      <c r="G63" s="3"/>
      <c r="H63" s="3"/>
      <c r="I63" s="8"/>
      <c r="J63" s="3"/>
      <c r="K63" s="3" t="s">
        <v>187</v>
      </c>
      <c r="L63" s="3"/>
      <c r="M63" s="8"/>
      <c r="N63" s="8"/>
      <c r="O63" s="3"/>
      <c r="P63" s="3"/>
      <c r="Q63" s="3" t="s">
        <v>803</v>
      </c>
      <c r="R63" s="3"/>
    </row>
    <row r="64" spans="1:18" ht="12.75">
      <c r="A64" s="14"/>
      <c r="B64" s="9"/>
      <c r="C64" s="10" t="str">
        <f t="shared" si="9"/>
        <v/>
      </c>
      <c r="D64" s="9"/>
      <c r="E64" s="9" t="str">
        <f t="shared" si="10"/>
        <v>EUNHA HWANG</v>
      </c>
      <c r="F64" s="9"/>
      <c r="G64" s="3"/>
      <c r="H64" s="3"/>
      <c r="I64" s="63"/>
      <c r="J64" s="3"/>
      <c r="K64" s="3" t="s">
        <v>188</v>
      </c>
      <c r="L64" s="3"/>
      <c r="M64" s="8"/>
      <c r="N64" s="8"/>
      <c r="O64" s="3"/>
      <c r="P64" s="3"/>
      <c r="Q64" s="3" t="s">
        <v>804</v>
      </c>
      <c r="R64" s="3"/>
    </row>
    <row r="65" spans="1:18" ht="12.75">
      <c r="A65" s="14"/>
      <c r="B65" s="9"/>
      <c r="C65" s="10" t="str">
        <f t="shared" si="9"/>
        <v/>
      </c>
      <c r="D65" s="9"/>
      <c r="E65" s="9" t="str">
        <f t="shared" si="10"/>
        <v>YEONJAE KANG</v>
      </c>
      <c r="F65" s="9"/>
      <c r="G65" s="3"/>
      <c r="H65" s="3"/>
      <c r="I65" s="63"/>
      <c r="J65" s="3"/>
      <c r="K65" s="3" t="s">
        <v>189</v>
      </c>
      <c r="L65" s="3"/>
      <c r="M65" s="8"/>
      <c r="N65" s="8"/>
      <c r="O65" s="3"/>
      <c r="P65" s="3"/>
      <c r="Q65" s="3" t="s">
        <v>805</v>
      </c>
      <c r="R65" s="3"/>
    </row>
    <row r="66" spans="1:18" ht="12.75">
      <c r="A66" s="14"/>
      <c r="B66" s="9"/>
      <c r="C66" s="10" t="str">
        <f t="shared" si="9"/>
        <v/>
      </c>
      <c r="D66" s="9"/>
      <c r="E66" s="9" t="str">
        <f t="shared" si="10"/>
        <v>SKYE YONJI LEE</v>
      </c>
      <c r="F66" s="9"/>
      <c r="G66" s="3"/>
      <c r="H66" s="3"/>
      <c r="I66" s="63"/>
      <c r="J66" s="3"/>
      <c r="K66" s="3" t="s">
        <v>190</v>
      </c>
      <c r="L66" s="3"/>
      <c r="M66" s="8"/>
      <c r="N66" s="8"/>
      <c r="O66" s="3"/>
      <c r="P66" s="3"/>
      <c r="Q66" s="3" t="s">
        <v>806</v>
      </c>
      <c r="R66" s="3"/>
    </row>
    <row r="67" spans="1:18" ht="12.75">
      <c r="A67" s="14"/>
      <c r="B67" s="9"/>
      <c r="C67" s="10"/>
      <c r="D67" s="9"/>
      <c r="E67" s="9"/>
      <c r="F67" s="9"/>
      <c r="G67" s="3"/>
      <c r="H67" s="3"/>
      <c r="I67" s="63"/>
      <c r="J67" s="3"/>
      <c r="K67" s="3"/>
      <c r="L67" s="3"/>
      <c r="M67" s="8"/>
      <c r="N67" s="8"/>
      <c r="O67" s="8"/>
      <c r="P67" s="3"/>
      <c r="Q67" s="3"/>
      <c r="R67" s="3"/>
    </row>
    <row r="68" spans="1:18" ht="12.75">
      <c r="A68" s="14"/>
      <c r="B68" s="11" t="str">
        <f t="shared" ref="B68:C68" si="11">UPPER(H68)</f>
        <v/>
      </c>
      <c r="C68" s="12" t="str">
        <f t="shared" si="11"/>
        <v/>
      </c>
      <c r="D68" s="11"/>
      <c r="E68" s="11" t="str">
        <f>UPPER(K68)</f>
        <v/>
      </c>
      <c r="F68" s="11"/>
      <c r="G68" s="3"/>
      <c r="H68" s="3"/>
      <c r="I68" s="8"/>
      <c r="J68" s="3"/>
      <c r="K68" s="13"/>
      <c r="L68" s="3"/>
      <c r="M68" s="8"/>
      <c r="N68" s="8"/>
      <c r="O68" s="8"/>
      <c r="P68" s="3"/>
      <c r="Q68" s="3"/>
      <c r="R68" s="3"/>
    </row>
    <row r="69" spans="1:18" ht="15">
      <c r="A69" s="14"/>
      <c r="B69" s="146"/>
      <c r="C69" s="141"/>
      <c r="D69" s="141"/>
      <c r="E69" s="141"/>
      <c r="F69" s="141"/>
      <c r="G69" s="3"/>
      <c r="H69" s="3"/>
      <c r="I69" s="63"/>
      <c r="J69" s="3"/>
      <c r="K69" s="3"/>
      <c r="L69" s="3"/>
      <c r="M69" s="8"/>
      <c r="N69" s="8"/>
      <c r="O69" s="8"/>
      <c r="P69" s="3"/>
      <c r="Q69" s="3"/>
      <c r="R69" s="3"/>
    </row>
    <row r="70" spans="1:18" ht="18">
      <c r="A70" s="14"/>
      <c r="B70" s="150" t="str">
        <f>UPPER(H70)</f>
        <v>ART</v>
      </c>
      <c r="C70" s="141"/>
      <c r="D70" s="141"/>
      <c r="E70" s="141"/>
      <c r="F70" s="141"/>
      <c r="G70" s="28"/>
      <c r="H70" s="167" t="s">
        <v>191</v>
      </c>
      <c r="I70" s="141"/>
      <c r="J70" s="141"/>
      <c r="K70" s="141"/>
      <c r="L70" s="141"/>
      <c r="M70" s="29"/>
      <c r="N70" s="149" t="s">
        <v>807</v>
      </c>
      <c r="O70" s="141"/>
      <c r="P70" s="141"/>
      <c r="Q70" s="141"/>
      <c r="R70" s="141"/>
    </row>
    <row r="71" spans="1:18" ht="12.75">
      <c r="A71" s="14"/>
      <c r="B71" s="9"/>
      <c r="C71" s="10" t="str">
        <f t="shared" ref="C71:C74" si="12">UPPER(I71)</f>
        <v>CHARACTER DESIGN</v>
      </c>
      <c r="D71" s="9"/>
      <c r="E71" s="9" t="str">
        <f t="shared" ref="E71:E81" si="13">UPPER(K71)</f>
        <v>NANDABY KWON</v>
      </c>
      <c r="F71" s="9"/>
      <c r="G71" s="3"/>
      <c r="H71" s="3"/>
      <c r="I71" s="8" t="s">
        <v>192</v>
      </c>
      <c r="J71" s="3"/>
      <c r="K71" s="13" t="s">
        <v>193</v>
      </c>
      <c r="L71" s="3"/>
      <c r="M71" s="8"/>
      <c r="N71" s="3"/>
      <c r="O71" s="8" t="s">
        <v>808</v>
      </c>
      <c r="P71" s="3"/>
      <c r="Q71" s="3" t="s">
        <v>809</v>
      </c>
      <c r="R71" s="3"/>
    </row>
    <row r="72" spans="1:18" ht="12.75">
      <c r="A72" s="14"/>
      <c r="B72" s="9"/>
      <c r="C72" s="10" t="str">
        <f t="shared" si="12"/>
        <v/>
      </c>
      <c r="D72" s="9"/>
      <c r="E72" s="9" t="str">
        <f t="shared" si="13"/>
        <v>MANJOONG LEE</v>
      </c>
      <c r="F72" s="9"/>
      <c r="G72" s="3"/>
      <c r="H72" s="3"/>
      <c r="I72" s="8"/>
      <c r="J72" s="3"/>
      <c r="K72" s="13" t="s">
        <v>194</v>
      </c>
      <c r="L72" s="3"/>
      <c r="M72" s="8"/>
      <c r="N72" s="3"/>
      <c r="O72" s="3"/>
      <c r="P72" s="3"/>
      <c r="Q72" s="3" t="s">
        <v>810</v>
      </c>
      <c r="R72" s="3"/>
    </row>
    <row r="73" spans="1:18" ht="12.75">
      <c r="A73" s="14"/>
      <c r="B73" s="9"/>
      <c r="C73" s="10" t="str">
        <f t="shared" si="12"/>
        <v/>
      </c>
      <c r="D73" s="9"/>
      <c r="E73" s="9" t="str">
        <f t="shared" si="13"/>
        <v>HYUNSONG WE</v>
      </c>
      <c r="F73" s="9"/>
      <c r="G73" s="3"/>
      <c r="H73" s="3"/>
      <c r="I73" s="8"/>
      <c r="J73" s="3"/>
      <c r="K73" s="13" t="s">
        <v>195</v>
      </c>
      <c r="L73" s="3"/>
      <c r="M73" s="8"/>
      <c r="N73" s="3"/>
      <c r="O73" s="3"/>
      <c r="P73" s="3"/>
      <c r="Q73" s="3" t="s">
        <v>811</v>
      </c>
      <c r="R73" s="3"/>
    </row>
    <row r="74" spans="1:18" ht="12.75">
      <c r="A74" s="14"/>
      <c r="B74" s="9"/>
      <c r="C74" s="10" t="str">
        <f t="shared" si="12"/>
        <v/>
      </c>
      <c r="D74" s="9"/>
      <c r="E74" s="9" t="str">
        <f t="shared" si="13"/>
        <v>HEEGYEONG JUNG</v>
      </c>
      <c r="F74" s="9"/>
      <c r="G74" s="3"/>
      <c r="H74" s="3"/>
      <c r="I74" s="8"/>
      <c r="J74" s="3"/>
      <c r="K74" s="13" t="s">
        <v>196</v>
      </c>
      <c r="L74" s="3"/>
      <c r="M74" s="8"/>
      <c r="N74" s="3"/>
      <c r="O74" s="3"/>
      <c r="P74" s="3"/>
      <c r="Q74" s="3" t="s">
        <v>812</v>
      </c>
      <c r="R74" s="3"/>
    </row>
    <row r="75" spans="1:18" ht="12.75">
      <c r="A75" s="14"/>
      <c r="B75" s="9"/>
      <c r="C75" s="10"/>
      <c r="D75" s="9"/>
      <c r="E75" s="9" t="str">
        <f t="shared" si="13"/>
        <v>SUNGMIN JUNG</v>
      </c>
      <c r="F75" s="9"/>
      <c r="G75" s="3"/>
      <c r="H75" s="3"/>
      <c r="I75" s="8"/>
      <c r="J75" s="3"/>
      <c r="K75" s="3" t="s">
        <v>197</v>
      </c>
      <c r="L75" s="3"/>
      <c r="M75" s="8"/>
      <c r="N75" s="3"/>
      <c r="O75" s="3"/>
      <c r="P75" s="3"/>
      <c r="Q75" s="3" t="s">
        <v>813</v>
      </c>
      <c r="R75" s="3"/>
    </row>
    <row r="76" spans="1:18" ht="12.75">
      <c r="A76" s="14"/>
      <c r="B76" s="9"/>
      <c r="C76" s="10" t="str">
        <f t="shared" ref="C76:C77" si="14">UPPER(I76)</f>
        <v/>
      </c>
      <c r="D76" s="9"/>
      <c r="E76" s="9" t="str">
        <f t="shared" si="13"/>
        <v/>
      </c>
      <c r="F76" s="9"/>
      <c r="G76" s="3"/>
      <c r="H76" s="3"/>
      <c r="I76" s="8"/>
      <c r="J76" s="3"/>
      <c r="K76" s="13"/>
      <c r="L76" s="3"/>
      <c r="M76" s="8"/>
      <c r="N76" s="3"/>
      <c r="O76" s="8"/>
      <c r="P76" s="3"/>
      <c r="Q76" s="3"/>
      <c r="R76" s="3"/>
    </row>
    <row r="77" spans="1:18" ht="12.75">
      <c r="A77" s="14"/>
      <c r="B77" s="9"/>
      <c r="C77" s="10" t="str">
        <f t="shared" si="14"/>
        <v>SET DESIGN</v>
      </c>
      <c r="D77" s="9"/>
      <c r="E77" s="9" t="str">
        <f t="shared" si="13"/>
        <v>BOMI KIM</v>
      </c>
      <c r="F77" s="9"/>
      <c r="G77" s="3"/>
      <c r="H77" s="3"/>
      <c r="I77" s="8" t="s">
        <v>198</v>
      </c>
      <c r="J77" s="3"/>
      <c r="K77" s="13" t="s">
        <v>199</v>
      </c>
      <c r="L77" s="3"/>
      <c r="M77" s="8"/>
      <c r="N77" s="3"/>
      <c r="O77" s="8" t="s">
        <v>814</v>
      </c>
      <c r="P77" s="3"/>
      <c r="Q77" s="3" t="s">
        <v>815</v>
      </c>
      <c r="R77" s="3"/>
    </row>
    <row r="78" spans="1:18" ht="12.75">
      <c r="A78" s="14"/>
      <c r="B78" s="9"/>
      <c r="C78" s="10"/>
      <c r="D78" s="9"/>
      <c r="E78" s="9" t="str">
        <f t="shared" si="13"/>
        <v>CHANGRAE BAEK</v>
      </c>
      <c r="F78" s="9"/>
      <c r="G78" s="3"/>
      <c r="H78" s="3"/>
      <c r="I78" s="8"/>
      <c r="J78" s="3"/>
      <c r="K78" s="3" t="s">
        <v>200</v>
      </c>
      <c r="L78" s="3"/>
      <c r="M78" s="8"/>
      <c r="N78" s="3"/>
      <c r="O78" s="3"/>
      <c r="P78" s="3"/>
      <c r="Q78" s="3" t="s">
        <v>816</v>
      </c>
      <c r="R78" s="3"/>
    </row>
    <row r="79" spans="1:18" ht="12.75">
      <c r="A79" s="14"/>
      <c r="B79" s="9"/>
      <c r="C79" s="10"/>
      <c r="D79" s="9"/>
      <c r="E79" s="9" t="str">
        <f t="shared" si="13"/>
        <v>SUNYOUNG PARK</v>
      </c>
      <c r="F79" s="9"/>
      <c r="G79" s="3"/>
      <c r="H79" s="3"/>
      <c r="I79" s="8"/>
      <c r="J79" s="3"/>
      <c r="K79" s="3" t="s">
        <v>201</v>
      </c>
      <c r="L79" s="3"/>
      <c r="M79" s="8"/>
      <c r="N79" s="3"/>
      <c r="O79" s="3"/>
      <c r="P79" s="3"/>
      <c r="Q79" s="3" t="s">
        <v>817</v>
      </c>
      <c r="R79" s="3"/>
    </row>
    <row r="80" spans="1:18" ht="12.75">
      <c r="A80" s="14"/>
      <c r="B80" s="9"/>
      <c r="C80" s="10"/>
      <c r="D80" s="9"/>
      <c r="E80" s="9" t="str">
        <f t="shared" si="13"/>
        <v/>
      </c>
      <c r="F80" s="9"/>
      <c r="G80" s="3"/>
      <c r="H80" s="3"/>
      <c r="I80" s="8"/>
      <c r="J80" s="3"/>
      <c r="K80" s="3"/>
      <c r="L80" s="3"/>
      <c r="M80" s="8"/>
      <c r="N80" s="8"/>
      <c r="O80" s="8"/>
      <c r="P80" s="3"/>
      <c r="Q80" s="3"/>
      <c r="R80" s="3"/>
    </row>
    <row r="81" spans="1:18" ht="12.75">
      <c r="A81" s="14"/>
      <c r="B81" s="9"/>
      <c r="C81" s="10" t="str">
        <f>UPPER(I81)</f>
        <v/>
      </c>
      <c r="D81" s="9"/>
      <c r="E81" s="9" t="str">
        <f t="shared" si="13"/>
        <v/>
      </c>
      <c r="F81" s="9"/>
      <c r="G81" s="3"/>
      <c r="H81" s="3"/>
      <c r="I81" s="8"/>
      <c r="J81" s="3"/>
      <c r="K81" s="13"/>
      <c r="L81" s="3"/>
      <c r="M81" s="8"/>
      <c r="N81" s="8"/>
      <c r="O81" s="8"/>
      <c r="P81" s="3"/>
      <c r="Q81" s="3"/>
      <c r="R81" s="3"/>
    </row>
    <row r="82" spans="1:18" ht="15">
      <c r="A82" s="14"/>
      <c r="B82" s="146" t="str">
        <f>UPPER(H82)</f>
        <v>THE MONK STUDIOS</v>
      </c>
      <c r="C82" s="141"/>
      <c r="D82" s="141"/>
      <c r="E82" s="141"/>
      <c r="F82" s="141"/>
      <c r="G82" s="3"/>
      <c r="H82" s="149" t="s">
        <v>202</v>
      </c>
      <c r="I82" s="141"/>
      <c r="J82" s="141"/>
      <c r="K82" s="141"/>
      <c r="L82" s="141"/>
      <c r="M82" s="8"/>
      <c r="N82" s="149" t="s">
        <v>202</v>
      </c>
      <c r="O82" s="141"/>
      <c r="P82" s="141"/>
      <c r="Q82" s="141"/>
      <c r="R82" s="141"/>
    </row>
    <row r="83" spans="1:18" ht="12.75">
      <c r="A83" s="14"/>
      <c r="B83" s="9"/>
      <c r="C83" s="10"/>
      <c r="D83" s="9"/>
      <c r="E83" s="9"/>
      <c r="F83" s="9"/>
      <c r="G83" s="3"/>
      <c r="H83" s="3"/>
      <c r="I83" s="86"/>
      <c r="J83" s="3"/>
      <c r="K83" s="87"/>
      <c r="L83" s="3"/>
      <c r="M83" s="8"/>
      <c r="N83" s="3"/>
      <c r="O83" s="86"/>
      <c r="P83" s="3"/>
      <c r="Q83" s="87"/>
      <c r="R83" s="3"/>
    </row>
    <row r="84" spans="1:18" ht="12.75">
      <c r="A84" s="14"/>
      <c r="B84" s="9"/>
      <c r="C84" s="10" t="str">
        <f t="shared" ref="C84:C87" si="15">UPPER(I84)</f>
        <v>CONCEPT ARTIST</v>
      </c>
      <c r="D84" s="9"/>
      <c r="E84" s="9" t="str">
        <f t="shared" ref="E84:E87" si="16">UPPER(K84)</f>
        <v>WANICHAYA PHRAEJUNYA</v>
      </c>
      <c r="F84" s="9"/>
      <c r="G84" s="3"/>
      <c r="H84" s="3"/>
      <c r="I84" s="88" t="s">
        <v>203</v>
      </c>
      <c r="J84" s="3"/>
      <c r="K84" s="87" t="s">
        <v>610</v>
      </c>
      <c r="L84" s="3"/>
      <c r="M84" s="8"/>
      <c r="N84" s="3"/>
      <c r="O84" s="88" t="s">
        <v>203</v>
      </c>
      <c r="P84" s="3"/>
      <c r="Q84" s="87" t="s">
        <v>610</v>
      </c>
      <c r="R84" s="3"/>
    </row>
    <row r="85" spans="1:18" ht="12.75">
      <c r="A85" s="14"/>
      <c r="B85" s="9"/>
      <c r="C85" s="10" t="str">
        <f t="shared" si="15"/>
        <v/>
      </c>
      <c r="D85" s="9"/>
      <c r="E85" s="9" t="str">
        <f t="shared" si="16"/>
        <v>PAKORN THONGKWANJAI</v>
      </c>
      <c r="F85" s="9"/>
      <c r="G85" s="3"/>
      <c r="H85" s="3"/>
      <c r="I85" s="8"/>
      <c r="J85" s="3"/>
      <c r="K85" s="87" t="s">
        <v>205</v>
      </c>
      <c r="L85" s="3"/>
      <c r="M85" s="8"/>
      <c r="N85" s="3"/>
      <c r="O85" s="8"/>
      <c r="P85" s="3"/>
      <c r="Q85" s="87" t="s">
        <v>205</v>
      </c>
      <c r="R85" s="3"/>
    </row>
    <row r="86" spans="1:18" ht="12.75">
      <c r="A86" s="14"/>
      <c r="B86" s="9"/>
      <c r="C86" s="10" t="str">
        <f t="shared" si="15"/>
        <v/>
      </c>
      <c r="D86" s="9"/>
      <c r="E86" s="9" t="str">
        <f t="shared" si="16"/>
        <v>SURACHART YAMKUNTONG</v>
      </c>
      <c r="F86" s="9"/>
      <c r="G86" s="3"/>
      <c r="H86" s="3"/>
      <c r="I86" s="8"/>
      <c r="J86" s="3"/>
      <c r="K86" s="87" t="s">
        <v>206</v>
      </c>
      <c r="L86" s="3"/>
      <c r="M86" s="8"/>
      <c r="N86" s="3"/>
      <c r="O86" s="8"/>
      <c r="P86" s="3"/>
      <c r="Q86" s="87" t="s">
        <v>206</v>
      </c>
      <c r="R86" s="3"/>
    </row>
    <row r="87" spans="1:18" ht="12.75">
      <c r="A87" s="14"/>
      <c r="B87" s="9"/>
      <c r="C87" s="10" t="str">
        <f t="shared" si="15"/>
        <v/>
      </c>
      <c r="D87" s="9"/>
      <c r="E87" s="9" t="str">
        <f t="shared" si="16"/>
        <v>BURATOUCH THONGPHISITSOMBAT</v>
      </c>
      <c r="F87" s="9"/>
      <c r="G87" s="3"/>
      <c r="H87" s="3"/>
      <c r="I87" s="8"/>
      <c r="J87" s="3"/>
      <c r="K87" s="87" t="s">
        <v>207</v>
      </c>
      <c r="L87" s="3"/>
      <c r="M87" s="8"/>
      <c r="N87" s="3"/>
      <c r="O87" s="8"/>
      <c r="P87" s="3"/>
      <c r="Q87" s="87" t="s">
        <v>207</v>
      </c>
      <c r="R87" s="3"/>
    </row>
    <row r="88" spans="1:18" ht="12.75">
      <c r="A88" s="14"/>
      <c r="B88" s="9"/>
      <c r="C88" s="10"/>
      <c r="D88" s="9"/>
      <c r="E88" s="9"/>
      <c r="F88" s="9"/>
      <c r="G88" s="3"/>
      <c r="H88" s="3"/>
      <c r="I88" s="8"/>
      <c r="J88" s="3"/>
      <c r="K88" s="87"/>
      <c r="L88" s="3"/>
      <c r="M88" s="8"/>
      <c r="N88" s="8"/>
      <c r="O88" s="8"/>
      <c r="P88" s="3"/>
      <c r="Q88" s="3"/>
      <c r="R88" s="3"/>
    </row>
    <row r="89" spans="1:18" ht="15">
      <c r="A89" s="14"/>
      <c r="B89" s="26"/>
      <c r="C89" s="26"/>
      <c r="D89" s="26"/>
      <c r="E89" s="26"/>
      <c r="F89" s="26"/>
      <c r="G89" s="3"/>
      <c r="H89" s="5"/>
      <c r="I89" s="72"/>
      <c r="J89" s="5"/>
      <c r="K89" s="33"/>
      <c r="L89" s="5"/>
      <c r="M89" s="8"/>
      <c r="N89" s="8"/>
      <c r="O89" s="8"/>
      <c r="P89" s="3"/>
      <c r="Q89" s="3"/>
      <c r="R89" s="3"/>
    </row>
    <row r="90" spans="1:18" ht="15">
      <c r="A90" s="14"/>
      <c r="B90" s="6"/>
      <c r="C90" s="6"/>
      <c r="D90" s="6"/>
      <c r="E90" s="6"/>
      <c r="F90" s="6"/>
      <c r="G90" s="3"/>
      <c r="H90" s="5"/>
      <c r="I90" s="72"/>
      <c r="J90" s="5"/>
      <c r="K90" s="33"/>
      <c r="L90" s="5"/>
      <c r="M90" s="8"/>
      <c r="N90" s="8"/>
      <c r="O90" s="8"/>
      <c r="P90" s="3"/>
      <c r="Q90" s="3"/>
      <c r="R90" s="3"/>
    </row>
    <row r="91" spans="1:18" ht="18">
      <c r="A91" s="14"/>
      <c r="B91" s="150" t="str">
        <f>UPPER(H91)</f>
        <v xml:space="preserve">ASSET </v>
      </c>
      <c r="C91" s="141"/>
      <c r="D91" s="141"/>
      <c r="E91" s="141"/>
      <c r="F91" s="141"/>
      <c r="G91" s="28"/>
      <c r="H91" s="167" t="s">
        <v>208</v>
      </c>
      <c r="I91" s="141"/>
      <c r="J91" s="141"/>
      <c r="K91" s="141"/>
      <c r="L91" s="141"/>
      <c r="M91" s="29"/>
      <c r="N91" s="149" t="s">
        <v>818</v>
      </c>
      <c r="O91" s="141"/>
      <c r="P91" s="141"/>
      <c r="Q91" s="141"/>
      <c r="R91" s="141"/>
    </row>
    <row r="92" spans="1:18" ht="12.75">
      <c r="A92" s="14"/>
      <c r="B92" s="9"/>
      <c r="C92" s="10" t="str">
        <f t="shared" ref="C92:C100" si="17">UPPER(I92)</f>
        <v>ASSET SUPERVISOR</v>
      </c>
      <c r="D92" s="9"/>
      <c r="E92" s="9" t="str">
        <f t="shared" ref="E92:E100" si="18">UPPER(K92)</f>
        <v>SANGWOO NAM</v>
      </c>
      <c r="F92" s="9"/>
      <c r="G92" s="3"/>
      <c r="H92" s="3"/>
      <c r="I92" s="8" t="s">
        <v>209</v>
      </c>
      <c r="J92" s="3"/>
      <c r="K92" s="3" t="s">
        <v>210</v>
      </c>
      <c r="L92" s="3"/>
      <c r="M92" s="8"/>
      <c r="N92" s="8"/>
      <c r="O92" s="8" t="s">
        <v>819</v>
      </c>
      <c r="P92" s="3"/>
      <c r="Q92" s="3" t="s">
        <v>820</v>
      </c>
      <c r="R92" s="3"/>
    </row>
    <row r="93" spans="1:18" ht="12.75">
      <c r="A93" s="14"/>
      <c r="B93" s="9"/>
      <c r="C93" s="10" t="str">
        <f t="shared" si="17"/>
        <v/>
      </c>
      <c r="D93" s="9"/>
      <c r="E93" s="9" t="str">
        <f t="shared" si="18"/>
        <v/>
      </c>
      <c r="F93" s="9"/>
      <c r="G93" s="3"/>
      <c r="H93" s="3"/>
      <c r="I93" s="8"/>
      <c r="J93" s="3"/>
      <c r="K93" s="3"/>
      <c r="L93" s="3"/>
      <c r="M93" s="8"/>
      <c r="N93" s="8"/>
      <c r="O93" s="21"/>
      <c r="P93" s="3"/>
      <c r="Q93" s="3"/>
      <c r="R93" s="3"/>
    </row>
    <row r="94" spans="1:18" ht="12.75">
      <c r="A94" s="14"/>
      <c r="B94" s="9"/>
      <c r="C94" s="10" t="str">
        <f t="shared" si="17"/>
        <v>MODELING SUPERVISOR</v>
      </c>
      <c r="D94" s="9"/>
      <c r="E94" s="9" t="str">
        <f t="shared" si="18"/>
        <v>TEAYOUNG KIM</v>
      </c>
      <c r="F94" s="9"/>
      <c r="G94" s="3"/>
      <c r="H94" s="3"/>
      <c r="I94" s="8" t="s">
        <v>211</v>
      </c>
      <c r="J94" s="3"/>
      <c r="K94" s="3" t="s">
        <v>212</v>
      </c>
      <c r="L94" s="3"/>
      <c r="M94" s="8"/>
      <c r="N94" s="8"/>
      <c r="O94" s="8" t="s">
        <v>821</v>
      </c>
      <c r="P94" s="3"/>
      <c r="Q94" s="3" t="s">
        <v>822</v>
      </c>
      <c r="R94" s="3"/>
    </row>
    <row r="95" spans="1:18" ht="12.75">
      <c r="A95" s="14"/>
      <c r="B95" s="9"/>
      <c r="C95" s="10" t="str">
        <f t="shared" si="17"/>
        <v/>
      </c>
      <c r="D95" s="9"/>
      <c r="E95" s="9" t="str">
        <f t="shared" si="18"/>
        <v>JUNGYUN HA</v>
      </c>
      <c r="F95" s="9"/>
      <c r="G95" s="3"/>
      <c r="H95" s="3"/>
      <c r="I95" s="8"/>
      <c r="J95" s="3"/>
      <c r="K95" s="3" t="s">
        <v>213</v>
      </c>
      <c r="L95" s="3"/>
      <c r="M95" s="8"/>
      <c r="N95" s="8"/>
      <c r="O95" s="8"/>
      <c r="P95" s="3"/>
      <c r="Q95" s="3" t="s">
        <v>823</v>
      </c>
      <c r="R95" s="3"/>
    </row>
    <row r="96" spans="1:18" ht="12.75">
      <c r="A96" s="14"/>
      <c r="B96" s="9"/>
      <c r="C96" s="10" t="str">
        <f t="shared" si="17"/>
        <v/>
      </c>
      <c r="D96" s="9"/>
      <c r="E96" s="9" t="str">
        <f t="shared" si="18"/>
        <v>KIPYO KIM</v>
      </c>
      <c r="F96" s="9"/>
      <c r="G96" s="3"/>
      <c r="H96" s="3"/>
      <c r="I96" s="8"/>
      <c r="J96" s="3"/>
      <c r="K96" s="3" t="s">
        <v>214</v>
      </c>
      <c r="L96" s="3"/>
      <c r="M96" s="8"/>
      <c r="N96" s="8"/>
      <c r="O96" s="8"/>
      <c r="P96" s="3"/>
      <c r="Q96" s="3" t="s">
        <v>824</v>
      </c>
      <c r="R96" s="3"/>
    </row>
    <row r="97" spans="1:18" ht="12.75">
      <c r="A97" s="14"/>
      <c r="B97" s="9"/>
      <c r="C97" s="10" t="str">
        <f t="shared" si="17"/>
        <v/>
      </c>
      <c r="D97" s="9"/>
      <c r="E97" s="9" t="str">
        <f t="shared" si="18"/>
        <v/>
      </c>
      <c r="F97" s="9"/>
      <c r="G97" s="3"/>
      <c r="H97" s="3"/>
      <c r="I97" s="8"/>
      <c r="J97" s="3"/>
      <c r="K97" s="3"/>
      <c r="L97" s="3"/>
      <c r="M97" s="8"/>
      <c r="N97" s="8"/>
      <c r="O97" s="8"/>
      <c r="P97" s="3"/>
      <c r="Q97" s="3"/>
      <c r="R97" s="3"/>
    </row>
    <row r="98" spans="1:18" ht="12.75">
      <c r="A98" s="14"/>
      <c r="B98" s="9"/>
      <c r="C98" s="10" t="str">
        <f t="shared" si="17"/>
        <v>LOOKDEV ARTIST</v>
      </c>
      <c r="D98" s="9"/>
      <c r="E98" s="9" t="str">
        <f t="shared" si="18"/>
        <v>YEONJU LEE</v>
      </c>
      <c r="F98" s="9"/>
      <c r="G98" s="3"/>
      <c r="H98" s="3"/>
      <c r="I98" s="63" t="s">
        <v>215</v>
      </c>
      <c r="J98" s="3"/>
      <c r="K98" s="3" t="s">
        <v>216</v>
      </c>
      <c r="L98" s="3"/>
      <c r="M98" s="8"/>
      <c r="N98" s="8"/>
      <c r="O98" s="8" t="s">
        <v>825</v>
      </c>
      <c r="P98" s="3"/>
      <c r="Q98" s="3" t="s">
        <v>826</v>
      </c>
      <c r="R98" s="3"/>
    </row>
    <row r="99" spans="1:18" ht="12.75">
      <c r="A99" s="14"/>
      <c r="B99" s="9"/>
      <c r="C99" s="10" t="str">
        <f t="shared" si="17"/>
        <v/>
      </c>
      <c r="D99" s="9"/>
      <c r="E99" s="9" t="str">
        <f t="shared" si="18"/>
        <v/>
      </c>
      <c r="F99" s="9"/>
      <c r="G99" s="3"/>
      <c r="H99" s="3"/>
      <c r="I99" s="8"/>
      <c r="J99" s="3"/>
      <c r="K99" s="3"/>
      <c r="L99" s="3"/>
      <c r="M99" s="3"/>
      <c r="N99" s="3"/>
      <c r="O99" s="8"/>
      <c r="P99" s="3"/>
      <c r="Q99" s="3"/>
      <c r="R99" s="3"/>
    </row>
    <row r="100" spans="1:18" ht="12.75">
      <c r="A100" s="14"/>
      <c r="B100" s="9"/>
      <c r="C100" s="10" t="str">
        <f t="shared" si="17"/>
        <v>RIGGING</v>
      </c>
      <c r="D100" s="9"/>
      <c r="E100" s="9" t="str">
        <f t="shared" si="18"/>
        <v>MINJU YOO</v>
      </c>
      <c r="F100" s="9"/>
      <c r="G100" s="3"/>
      <c r="H100" s="3"/>
      <c r="I100" s="8" t="s">
        <v>217</v>
      </c>
      <c r="J100" s="3"/>
      <c r="K100" s="3" t="s">
        <v>218</v>
      </c>
      <c r="L100" s="3"/>
      <c r="M100" s="8"/>
      <c r="N100" s="8"/>
      <c r="O100" s="8" t="s">
        <v>827</v>
      </c>
      <c r="P100" s="3"/>
      <c r="Q100" s="3" t="s">
        <v>828</v>
      </c>
      <c r="R100" s="3"/>
    </row>
    <row r="101" spans="1:18" ht="12.75">
      <c r="A101" s="14"/>
      <c r="B101" s="9"/>
      <c r="C101" s="10"/>
      <c r="D101" s="9"/>
      <c r="E101" s="9"/>
      <c r="F101" s="9"/>
      <c r="G101" s="3"/>
      <c r="H101" s="3"/>
      <c r="I101" s="8"/>
      <c r="J101" s="3"/>
      <c r="K101" s="3"/>
      <c r="L101" s="3"/>
      <c r="M101" s="8"/>
      <c r="N101" s="8"/>
      <c r="O101" s="8"/>
      <c r="P101" s="3"/>
      <c r="Q101" s="3"/>
      <c r="R101" s="3"/>
    </row>
    <row r="102" spans="1:18" ht="12.75">
      <c r="A102" s="14"/>
      <c r="B102" s="11"/>
      <c r="C102" s="12" t="str">
        <f>UPPER(I102)</f>
        <v/>
      </c>
      <c r="D102" s="11"/>
      <c r="E102" s="11" t="str">
        <f>UPPER(K102)</f>
        <v/>
      </c>
      <c r="F102" s="11"/>
      <c r="G102" s="3"/>
      <c r="H102" s="3"/>
      <c r="J102" s="3"/>
      <c r="K102" s="3"/>
      <c r="L102" s="3"/>
      <c r="M102" s="8"/>
      <c r="N102" s="8"/>
      <c r="O102" s="8"/>
      <c r="P102" s="3"/>
      <c r="Q102" s="3"/>
      <c r="R102" s="3"/>
    </row>
    <row r="103" spans="1:18" ht="12.75">
      <c r="A103" s="14"/>
      <c r="B103" s="9"/>
      <c r="C103" s="10"/>
      <c r="D103" s="9"/>
      <c r="E103" s="9"/>
      <c r="F103" s="9"/>
      <c r="G103" s="3"/>
      <c r="H103" s="3"/>
      <c r="J103" s="3"/>
      <c r="K103" s="3"/>
      <c r="L103" s="3"/>
      <c r="M103" s="8"/>
      <c r="N103" s="8"/>
      <c r="O103" s="8"/>
      <c r="P103" s="3"/>
      <c r="Q103" s="3"/>
      <c r="R103" s="3"/>
    </row>
    <row r="104" spans="1:18" ht="18">
      <c r="A104" s="14"/>
      <c r="B104" s="150" t="str">
        <f t="shared" ref="B104:B105" si="19">UPPER(H104)</f>
        <v xml:space="preserve">ASSET </v>
      </c>
      <c r="C104" s="141"/>
      <c r="D104" s="141"/>
      <c r="E104" s="141"/>
      <c r="F104" s="141"/>
      <c r="G104" s="28"/>
      <c r="H104" s="167" t="s">
        <v>208</v>
      </c>
      <c r="I104" s="141"/>
      <c r="J104" s="141"/>
      <c r="K104" s="141"/>
      <c r="L104" s="141"/>
      <c r="M104" s="8"/>
      <c r="N104" s="149" t="s">
        <v>818</v>
      </c>
      <c r="O104" s="141"/>
      <c r="P104" s="141"/>
      <c r="Q104" s="141"/>
      <c r="R104" s="141"/>
    </row>
    <row r="105" spans="1:18" ht="15">
      <c r="A105" s="14"/>
      <c r="B105" s="146" t="str">
        <f t="shared" si="19"/>
        <v>THE MONK STUDIOS</v>
      </c>
      <c r="C105" s="141"/>
      <c r="D105" s="141"/>
      <c r="E105" s="141"/>
      <c r="F105" s="141"/>
      <c r="G105" s="3"/>
      <c r="H105" s="149" t="s">
        <v>202</v>
      </c>
      <c r="I105" s="141"/>
      <c r="J105" s="141"/>
      <c r="K105" s="141"/>
      <c r="L105" s="141"/>
      <c r="M105" s="8"/>
      <c r="N105" s="149" t="s">
        <v>202</v>
      </c>
      <c r="O105" s="141"/>
      <c r="P105" s="141"/>
      <c r="Q105" s="141"/>
      <c r="R105" s="141"/>
    </row>
    <row r="106" spans="1:18" ht="12.75">
      <c r="A106" s="14"/>
      <c r="B106" s="9"/>
      <c r="C106" s="10"/>
      <c r="D106" s="9"/>
      <c r="E106" s="9"/>
      <c r="F106" s="9"/>
      <c r="G106" s="3"/>
      <c r="H106" s="3"/>
      <c r="I106" s="8"/>
      <c r="J106" s="2"/>
      <c r="K106" s="34"/>
      <c r="L106" s="2"/>
      <c r="N106" s="3"/>
      <c r="O106" s="8"/>
      <c r="P106" s="2"/>
      <c r="Q106" s="34"/>
      <c r="R106" s="2"/>
    </row>
    <row r="107" spans="1:18" ht="12.75">
      <c r="A107" s="14"/>
      <c r="B107" s="9"/>
      <c r="C107" s="10" t="str">
        <f t="shared" ref="C107:C124" si="20">UPPER(I107)</f>
        <v>ASSET SUPERVISOR</v>
      </c>
      <c r="D107" s="9"/>
      <c r="E107" s="9" t="str">
        <f t="shared" ref="E107:E127" si="21">UPPER(K107)</f>
        <v>ATTAPORN KANJANASAHAS</v>
      </c>
      <c r="F107" s="9"/>
      <c r="G107" s="3"/>
      <c r="H107" s="3"/>
      <c r="I107" s="8" t="s">
        <v>209</v>
      </c>
      <c r="J107" s="2"/>
      <c r="K107" s="34" t="s">
        <v>219</v>
      </c>
      <c r="L107" s="2"/>
      <c r="N107" s="3"/>
      <c r="O107" s="8" t="s">
        <v>209</v>
      </c>
      <c r="P107" s="2"/>
      <c r="Q107" s="34" t="s">
        <v>219</v>
      </c>
      <c r="R107" s="2"/>
    </row>
    <row r="108" spans="1:18" ht="12.75">
      <c r="A108" s="14"/>
      <c r="B108" s="9"/>
      <c r="C108" s="10" t="str">
        <f t="shared" si="20"/>
        <v/>
      </c>
      <c r="D108" s="9"/>
      <c r="E108" s="9" t="str">
        <f t="shared" si="21"/>
        <v/>
      </c>
      <c r="F108" s="9"/>
      <c r="G108" s="3"/>
      <c r="H108" s="3"/>
      <c r="I108" s="2"/>
      <c r="J108" s="2"/>
      <c r="K108" s="35"/>
      <c r="L108" s="2"/>
      <c r="N108" s="3"/>
      <c r="O108" s="2"/>
      <c r="P108" s="2"/>
      <c r="Q108" s="35"/>
      <c r="R108" s="2"/>
    </row>
    <row r="109" spans="1:18" ht="12.75">
      <c r="A109" s="14"/>
      <c r="B109" s="9"/>
      <c r="C109" s="10" t="str">
        <f t="shared" si="20"/>
        <v>MODEL SUPERVISOR</v>
      </c>
      <c r="D109" s="9"/>
      <c r="E109" s="9" t="str">
        <f t="shared" si="21"/>
        <v>THANITTHA PROMPATIMA</v>
      </c>
      <c r="F109" s="9"/>
      <c r="G109" s="3"/>
      <c r="H109" s="3"/>
      <c r="I109" s="36" t="s">
        <v>220</v>
      </c>
      <c r="J109" s="3"/>
      <c r="K109" s="37" t="s">
        <v>221</v>
      </c>
      <c r="L109" s="3"/>
      <c r="M109" s="8"/>
      <c r="N109" s="3"/>
      <c r="O109" s="36" t="s">
        <v>220</v>
      </c>
      <c r="P109" s="3"/>
      <c r="Q109" s="37" t="s">
        <v>221</v>
      </c>
      <c r="R109" s="3"/>
    </row>
    <row r="110" spans="1:18" ht="12.75">
      <c r="A110" s="14"/>
      <c r="B110" s="9"/>
      <c r="C110" s="10" t="str">
        <f t="shared" si="20"/>
        <v/>
      </c>
      <c r="D110" s="9"/>
      <c r="E110" s="9" t="str">
        <f t="shared" si="21"/>
        <v/>
      </c>
      <c r="F110" s="9"/>
      <c r="G110" s="3"/>
      <c r="H110" s="3"/>
      <c r="I110" s="36"/>
      <c r="J110" s="3"/>
      <c r="K110" s="37"/>
      <c r="L110" s="3"/>
      <c r="M110" s="8"/>
      <c r="N110" s="3"/>
      <c r="O110" s="36"/>
      <c r="P110" s="3"/>
      <c r="Q110" s="37"/>
      <c r="R110" s="3"/>
    </row>
    <row r="111" spans="1:18" ht="12.75">
      <c r="A111" s="14"/>
      <c r="B111" s="9"/>
      <c r="C111" s="10" t="str">
        <f t="shared" si="20"/>
        <v>MODELER LEADER</v>
      </c>
      <c r="D111" s="9"/>
      <c r="E111" s="9" t="str">
        <f t="shared" si="21"/>
        <v>YANNAKRON WONGPHUN</v>
      </c>
      <c r="F111" s="9"/>
      <c r="G111" s="3"/>
      <c r="H111" s="3"/>
      <c r="I111" s="36" t="s">
        <v>222</v>
      </c>
      <c r="J111" s="3"/>
      <c r="K111" s="37" t="s">
        <v>223</v>
      </c>
      <c r="L111" s="3"/>
      <c r="M111" s="8"/>
      <c r="N111" s="3"/>
      <c r="O111" s="36" t="s">
        <v>222</v>
      </c>
      <c r="P111" s="3"/>
      <c r="Q111" s="37" t="s">
        <v>223</v>
      </c>
      <c r="R111" s="3"/>
    </row>
    <row r="112" spans="1:18" ht="12.75">
      <c r="A112" s="14"/>
      <c r="B112" s="9"/>
      <c r="C112" s="10" t="str">
        <f t="shared" si="20"/>
        <v/>
      </c>
      <c r="D112" s="9"/>
      <c r="E112" s="9" t="str">
        <f t="shared" si="21"/>
        <v>CHANATITH TAWANMAI</v>
      </c>
      <c r="F112" s="9"/>
      <c r="G112" s="3"/>
      <c r="H112" s="3"/>
      <c r="I112" s="36"/>
      <c r="J112" s="3"/>
      <c r="K112" s="37" t="s">
        <v>224</v>
      </c>
      <c r="L112" s="3"/>
      <c r="M112" s="8"/>
      <c r="N112" s="3"/>
      <c r="O112" s="36"/>
      <c r="P112" s="3"/>
      <c r="Q112" s="37" t="s">
        <v>224</v>
      </c>
      <c r="R112" s="3"/>
    </row>
    <row r="113" spans="1:18" ht="12.75">
      <c r="A113" s="14"/>
      <c r="B113" s="9"/>
      <c r="C113" s="10" t="str">
        <f t="shared" si="20"/>
        <v/>
      </c>
      <c r="D113" s="9"/>
      <c r="E113" s="9" t="str">
        <f t="shared" si="21"/>
        <v/>
      </c>
      <c r="F113" s="9"/>
      <c r="G113" s="3"/>
      <c r="H113" s="3"/>
      <c r="I113" s="36"/>
      <c r="J113" s="3"/>
      <c r="K113" s="37"/>
      <c r="L113" s="3"/>
      <c r="M113" s="8"/>
      <c r="N113" s="3"/>
      <c r="O113" s="36"/>
      <c r="P113" s="3"/>
      <c r="Q113" s="37"/>
      <c r="R113" s="3"/>
    </row>
    <row r="114" spans="1:18" ht="12.75">
      <c r="A114" s="14"/>
      <c r="B114" s="9"/>
      <c r="C114" s="10" t="str">
        <f t="shared" si="20"/>
        <v>MODELER</v>
      </c>
      <c r="D114" s="9"/>
      <c r="E114" s="9" t="str">
        <f t="shared" si="21"/>
        <v>JIRAWAT PANGCHOMPOO</v>
      </c>
      <c r="F114" s="9"/>
      <c r="G114" s="3"/>
      <c r="H114" s="3"/>
      <c r="I114" s="36" t="s">
        <v>225</v>
      </c>
      <c r="J114" s="3"/>
      <c r="K114" s="37" t="s">
        <v>226</v>
      </c>
      <c r="L114" s="3"/>
      <c r="M114" s="8"/>
      <c r="N114" s="3"/>
      <c r="O114" s="36" t="s">
        <v>225</v>
      </c>
      <c r="P114" s="3"/>
      <c r="Q114" s="37" t="s">
        <v>226</v>
      </c>
      <c r="R114" s="3"/>
    </row>
    <row r="115" spans="1:18" ht="12.75">
      <c r="A115" s="14"/>
      <c r="B115" s="9"/>
      <c r="C115" s="10" t="str">
        <f t="shared" si="20"/>
        <v/>
      </c>
      <c r="D115" s="9"/>
      <c r="E115" s="9" t="str">
        <f t="shared" si="21"/>
        <v>TEERAWAT PHO-OB</v>
      </c>
      <c r="F115" s="9"/>
      <c r="G115" s="3"/>
      <c r="H115" s="3"/>
      <c r="I115" s="8"/>
      <c r="J115" s="3"/>
      <c r="K115" s="37" t="s">
        <v>227</v>
      </c>
      <c r="L115" s="3"/>
      <c r="M115" s="8"/>
      <c r="N115" s="3"/>
      <c r="O115" s="8"/>
      <c r="P115" s="3"/>
      <c r="Q115" s="37" t="s">
        <v>227</v>
      </c>
      <c r="R115" s="3"/>
    </row>
    <row r="116" spans="1:18" ht="12.75">
      <c r="A116" s="14"/>
      <c r="B116" s="9"/>
      <c r="C116" s="10" t="str">
        <f t="shared" si="20"/>
        <v/>
      </c>
      <c r="D116" s="9"/>
      <c r="E116" s="9" t="str">
        <f t="shared" si="21"/>
        <v>SUPACHOCK NUAMTHONG</v>
      </c>
      <c r="F116" s="9"/>
      <c r="G116" s="3"/>
      <c r="H116" s="3"/>
      <c r="I116" s="8"/>
      <c r="J116" s="3"/>
      <c r="K116" s="37" t="s">
        <v>228</v>
      </c>
      <c r="L116" s="3"/>
      <c r="M116" s="8"/>
      <c r="N116" s="3"/>
      <c r="O116" s="8"/>
      <c r="P116" s="3"/>
      <c r="Q116" s="37" t="s">
        <v>228</v>
      </c>
      <c r="R116" s="3"/>
    </row>
    <row r="117" spans="1:18" ht="12.75">
      <c r="A117" s="14"/>
      <c r="B117" s="9"/>
      <c r="C117" s="10" t="str">
        <f t="shared" si="20"/>
        <v/>
      </c>
      <c r="D117" s="9"/>
      <c r="E117" s="9" t="str">
        <f t="shared" si="21"/>
        <v>VIPHADA KARNJANAWARIT</v>
      </c>
      <c r="F117" s="9"/>
      <c r="G117" s="3"/>
      <c r="H117" s="3"/>
      <c r="I117" s="8"/>
      <c r="J117" s="3"/>
      <c r="K117" s="37" t="s">
        <v>229</v>
      </c>
      <c r="L117" s="3"/>
      <c r="M117" s="8"/>
      <c r="N117" s="3"/>
      <c r="O117" s="8"/>
      <c r="P117" s="3"/>
      <c r="Q117" s="37" t="s">
        <v>229</v>
      </c>
      <c r="R117" s="3"/>
    </row>
    <row r="118" spans="1:18" ht="12.75">
      <c r="A118" s="14"/>
      <c r="B118" s="9"/>
      <c r="C118" s="10" t="str">
        <f t="shared" si="20"/>
        <v/>
      </c>
      <c r="D118" s="9"/>
      <c r="E118" s="9" t="str">
        <f t="shared" si="21"/>
        <v>TEERAKA KONGPAISAND</v>
      </c>
      <c r="F118" s="9"/>
      <c r="G118" s="3"/>
      <c r="H118" s="3"/>
      <c r="I118" s="8"/>
      <c r="J118" s="3"/>
      <c r="K118" s="37" t="s">
        <v>230</v>
      </c>
      <c r="L118" s="3"/>
      <c r="M118" s="8"/>
      <c r="N118" s="3"/>
      <c r="O118" s="8"/>
      <c r="P118" s="3"/>
      <c r="Q118" s="37" t="s">
        <v>230</v>
      </c>
      <c r="R118" s="3"/>
    </row>
    <row r="119" spans="1:18" ht="12.75">
      <c r="A119" s="14"/>
      <c r="B119" s="9"/>
      <c r="C119" s="10" t="str">
        <f t="shared" si="20"/>
        <v/>
      </c>
      <c r="D119" s="9"/>
      <c r="E119" s="9" t="str">
        <f t="shared" si="21"/>
        <v>NATCHA NUNTANAJAROENKUL</v>
      </c>
      <c r="F119" s="9"/>
      <c r="G119" s="3"/>
      <c r="H119" s="3"/>
      <c r="I119" s="8"/>
      <c r="J119" s="3"/>
      <c r="K119" s="37" t="s">
        <v>231</v>
      </c>
      <c r="L119" s="3"/>
      <c r="M119" s="8"/>
      <c r="N119" s="3"/>
      <c r="O119" s="8"/>
      <c r="P119" s="3"/>
      <c r="Q119" s="37" t="s">
        <v>231</v>
      </c>
      <c r="R119" s="3"/>
    </row>
    <row r="120" spans="1:18" ht="12.75">
      <c r="A120" s="14"/>
      <c r="B120" s="9"/>
      <c r="C120" s="10" t="str">
        <f t="shared" si="20"/>
        <v/>
      </c>
      <c r="D120" s="9"/>
      <c r="E120" s="9" t="str">
        <f t="shared" si="21"/>
        <v>PANUWAT VIVATTANAWONGSIRI</v>
      </c>
      <c r="F120" s="9"/>
      <c r="G120" s="3"/>
      <c r="H120" s="3"/>
      <c r="I120" s="8"/>
      <c r="J120" s="3"/>
      <c r="K120" s="37" t="s">
        <v>232</v>
      </c>
      <c r="L120" s="3"/>
      <c r="M120" s="8"/>
      <c r="N120" s="3"/>
      <c r="O120" s="8"/>
      <c r="P120" s="3"/>
      <c r="Q120" s="37" t="s">
        <v>232</v>
      </c>
      <c r="R120" s="3"/>
    </row>
    <row r="121" spans="1:18" ht="12.75">
      <c r="A121" s="14"/>
      <c r="B121" s="9"/>
      <c r="C121" s="10" t="str">
        <f t="shared" si="20"/>
        <v/>
      </c>
      <c r="D121" s="9"/>
      <c r="E121" s="9" t="str">
        <f t="shared" si="21"/>
        <v>KOTCHAWAN PRADITUKRIT</v>
      </c>
      <c r="F121" s="9"/>
      <c r="G121" s="3"/>
      <c r="H121" s="3"/>
      <c r="I121" s="8"/>
      <c r="J121" s="3"/>
      <c r="K121" s="37" t="s">
        <v>233</v>
      </c>
      <c r="L121" s="3"/>
      <c r="M121" s="8"/>
      <c r="N121" s="3"/>
      <c r="O121" s="8"/>
      <c r="P121" s="3"/>
      <c r="Q121" s="37" t="s">
        <v>233</v>
      </c>
      <c r="R121" s="3"/>
    </row>
    <row r="122" spans="1:18" ht="12.75">
      <c r="A122" s="14"/>
      <c r="B122" s="9"/>
      <c r="C122" s="10" t="str">
        <f t="shared" si="20"/>
        <v/>
      </c>
      <c r="D122" s="9"/>
      <c r="E122" s="9" t="str">
        <f t="shared" si="21"/>
        <v>SUPAPAK SUKWAN</v>
      </c>
      <c r="F122" s="9"/>
      <c r="G122" s="3"/>
      <c r="H122" s="3"/>
      <c r="I122" s="8"/>
      <c r="J122" s="3"/>
      <c r="K122" s="37" t="s">
        <v>234</v>
      </c>
      <c r="L122" s="3"/>
      <c r="M122" s="8"/>
      <c r="N122" s="3"/>
      <c r="O122" s="8"/>
      <c r="P122" s="3"/>
      <c r="Q122" s="37" t="s">
        <v>234</v>
      </c>
      <c r="R122" s="3"/>
    </row>
    <row r="123" spans="1:18" ht="12.75">
      <c r="A123" s="14"/>
      <c r="B123" s="9"/>
      <c r="C123" s="10" t="str">
        <f t="shared" si="20"/>
        <v/>
      </c>
      <c r="D123" s="9"/>
      <c r="E123" s="9" t="str">
        <f t="shared" si="21"/>
        <v>ANURAK WASAENDEE</v>
      </c>
      <c r="F123" s="9"/>
      <c r="G123" s="3"/>
      <c r="H123" s="3"/>
      <c r="I123" s="8"/>
      <c r="J123" s="3"/>
      <c r="K123" s="37" t="s">
        <v>235</v>
      </c>
      <c r="L123" s="3"/>
      <c r="M123" s="8"/>
      <c r="N123" s="3"/>
      <c r="O123" s="8"/>
      <c r="P123" s="3"/>
      <c r="Q123" s="37" t="s">
        <v>235</v>
      </c>
      <c r="R123" s="3"/>
    </row>
    <row r="124" spans="1:18" ht="12.75">
      <c r="A124" s="14"/>
      <c r="B124" s="9"/>
      <c r="C124" s="10" t="str">
        <f t="shared" si="20"/>
        <v/>
      </c>
      <c r="D124" s="9"/>
      <c r="E124" s="9" t="str">
        <f t="shared" si="21"/>
        <v>JAKKRIT THANAPHATTHANAKUL</v>
      </c>
      <c r="F124" s="9"/>
      <c r="G124" s="3"/>
      <c r="H124" s="3"/>
      <c r="I124" s="8"/>
      <c r="J124" s="3"/>
      <c r="K124" s="37" t="s">
        <v>236</v>
      </c>
      <c r="L124" s="3"/>
      <c r="M124" s="8"/>
      <c r="N124" s="3"/>
      <c r="O124" s="8"/>
      <c r="P124" s="3"/>
      <c r="Q124" s="37" t="s">
        <v>236</v>
      </c>
      <c r="R124" s="3"/>
    </row>
    <row r="125" spans="1:18" ht="12.75">
      <c r="A125" s="14"/>
      <c r="B125" s="9"/>
      <c r="C125" s="10"/>
      <c r="D125" s="9"/>
      <c r="E125" s="9" t="str">
        <f t="shared" si="21"/>
        <v>TANAWAT YORIYA</v>
      </c>
      <c r="F125" s="9"/>
      <c r="G125" s="3"/>
      <c r="H125" s="3"/>
      <c r="I125" s="8"/>
      <c r="J125" s="3"/>
      <c r="K125" s="31" t="s">
        <v>237</v>
      </c>
      <c r="L125" s="3"/>
      <c r="M125" s="8"/>
      <c r="N125" s="3"/>
      <c r="O125" s="8"/>
      <c r="P125" s="3"/>
      <c r="Q125" s="31" t="s">
        <v>237</v>
      </c>
      <c r="R125" s="3"/>
    </row>
    <row r="126" spans="1:18" ht="12.75">
      <c r="A126" s="14"/>
      <c r="B126" s="9"/>
      <c r="C126" s="10"/>
      <c r="D126" s="9"/>
      <c r="E126" s="9" t="str">
        <f t="shared" si="21"/>
        <v>WITSANUKORN CHALIAOTHAM</v>
      </c>
      <c r="F126" s="9"/>
      <c r="G126" s="3"/>
      <c r="H126" s="3"/>
      <c r="I126" s="8"/>
      <c r="J126" s="3"/>
      <c r="K126" s="31" t="s">
        <v>238</v>
      </c>
      <c r="L126" s="3"/>
      <c r="M126" s="8"/>
      <c r="N126" s="3"/>
      <c r="O126" s="8"/>
      <c r="P126" s="3"/>
      <c r="Q126" s="31" t="s">
        <v>238</v>
      </c>
      <c r="R126" s="3"/>
    </row>
    <row r="127" spans="1:18" ht="12.75">
      <c r="A127" s="14"/>
      <c r="B127" s="9"/>
      <c r="C127" s="10"/>
      <c r="D127" s="9"/>
      <c r="E127" s="9" t="str">
        <f t="shared" si="21"/>
        <v>CHANBHASAKORN MINGSOMPAN</v>
      </c>
      <c r="F127" s="9"/>
      <c r="G127" s="3"/>
      <c r="H127" s="3"/>
      <c r="I127" s="8"/>
      <c r="J127" s="3"/>
      <c r="K127" s="31" t="s">
        <v>239</v>
      </c>
      <c r="L127" s="3"/>
      <c r="M127" s="8"/>
      <c r="N127" s="3"/>
      <c r="O127" s="8"/>
      <c r="P127" s="3"/>
      <c r="Q127" s="31" t="s">
        <v>239</v>
      </c>
      <c r="R127" s="3"/>
    </row>
    <row r="128" spans="1:18" ht="12.75">
      <c r="A128" s="14"/>
      <c r="B128" s="9"/>
      <c r="C128" s="10"/>
      <c r="D128" s="9"/>
      <c r="E128" s="9"/>
      <c r="F128" s="9"/>
      <c r="G128" s="3"/>
      <c r="H128" s="3"/>
      <c r="I128" s="8"/>
      <c r="J128" s="3"/>
      <c r="K128" s="37"/>
      <c r="L128" s="3"/>
      <c r="M128" s="8"/>
      <c r="N128" s="8"/>
      <c r="O128" s="8"/>
      <c r="P128" s="3"/>
      <c r="Q128" s="3"/>
      <c r="R128" s="3"/>
    </row>
    <row r="129" spans="1:18" ht="12.75">
      <c r="A129" s="14"/>
      <c r="B129" s="11"/>
      <c r="C129" s="12"/>
      <c r="D129" s="11"/>
      <c r="E129" s="11"/>
      <c r="F129" s="11"/>
      <c r="G129" s="3"/>
      <c r="H129" s="3"/>
      <c r="I129" s="8"/>
      <c r="J129" s="3"/>
      <c r="K129" s="31"/>
      <c r="L129" s="3"/>
      <c r="M129" s="8"/>
      <c r="N129" s="8"/>
      <c r="O129" s="8"/>
      <c r="P129" s="3"/>
      <c r="Q129" s="3"/>
      <c r="R129" s="3"/>
    </row>
    <row r="130" spans="1:18" ht="12.75">
      <c r="A130" s="14"/>
      <c r="B130" s="9"/>
      <c r="C130" s="10"/>
      <c r="D130" s="9"/>
      <c r="E130" s="9"/>
      <c r="F130" s="9"/>
      <c r="G130" s="3"/>
      <c r="H130" s="3"/>
      <c r="I130" s="8"/>
      <c r="J130" s="3"/>
      <c r="K130" s="31"/>
      <c r="L130" s="3"/>
      <c r="M130" s="8"/>
      <c r="N130" s="8"/>
      <c r="O130" s="8"/>
      <c r="P130" s="3"/>
      <c r="Q130" s="3"/>
      <c r="R130" s="3"/>
    </row>
    <row r="131" spans="1:18" ht="18">
      <c r="A131" s="14"/>
      <c r="B131" s="150" t="str">
        <f t="shared" ref="B131:B132" si="22">UPPER(H131)</f>
        <v xml:space="preserve">ASSET </v>
      </c>
      <c r="C131" s="141"/>
      <c r="D131" s="141"/>
      <c r="E131" s="141"/>
      <c r="F131" s="141"/>
      <c r="G131" s="28"/>
      <c r="H131" s="167" t="s">
        <v>208</v>
      </c>
      <c r="I131" s="141"/>
      <c r="J131" s="141"/>
      <c r="K131" s="141"/>
      <c r="L131" s="141"/>
      <c r="M131" s="8"/>
      <c r="N131" s="149" t="s">
        <v>818</v>
      </c>
      <c r="O131" s="141"/>
      <c r="P131" s="141"/>
      <c r="Q131" s="141"/>
      <c r="R131" s="141"/>
    </row>
    <row r="132" spans="1:18" ht="15">
      <c r="A132" s="14"/>
      <c r="B132" s="146" t="str">
        <f t="shared" si="22"/>
        <v>THE MONK STUDIOS</v>
      </c>
      <c r="C132" s="141"/>
      <c r="D132" s="141"/>
      <c r="E132" s="141"/>
      <c r="F132" s="141"/>
      <c r="G132" s="3"/>
      <c r="H132" s="149" t="s">
        <v>202</v>
      </c>
      <c r="I132" s="141"/>
      <c r="J132" s="141"/>
      <c r="K132" s="141"/>
      <c r="L132" s="141"/>
      <c r="M132" s="8"/>
      <c r="N132" s="149" t="s">
        <v>202</v>
      </c>
      <c r="O132" s="141"/>
      <c r="P132" s="141"/>
      <c r="Q132" s="141"/>
      <c r="R132" s="141"/>
    </row>
    <row r="133" spans="1:18" ht="12.75">
      <c r="A133" s="14"/>
      <c r="B133" s="38"/>
      <c r="C133" s="38"/>
      <c r="D133" s="38"/>
      <c r="E133" s="38"/>
      <c r="F133" s="38"/>
      <c r="G133" s="3"/>
      <c r="H133" s="5"/>
      <c r="I133" s="5"/>
      <c r="J133" s="5"/>
      <c r="K133" s="5"/>
      <c r="L133" s="5"/>
      <c r="M133" s="3"/>
      <c r="N133" s="5"/>
      <c r="O133" s="5"/>
      <c r="P133" s="5"/>
      <c r="Q133" s="5"/>
      <c r="R133" s="5"/>
    </row>
    <row r="134" spans="1:18" ht="12.75">
      <c r="A134" s="14"/>
      <c r="B134" s="9"/>
      <c r="C134" s="10" t="str">
        <f t="shared" ref="C134:C147" si="23">UPPER(I134)</f>
        <v>TEXTURE SUPERVISOR</v>
      </c>
      <c r="D134" s="9"/>
      <c r="E134" s="9" t="str">
        <f t="shared" ref="E134:E149" si="24">UPPER(K134)</f>
        <v>REWAT SIKHEMNGAM</v>
      </c>
      <c r="F134" s="9"/>
      <c r="G134" s="3"/>
      <c r="H134" s="3"/>
      <c r="I134" s="36" t="s">
        <v>240</v>
      </c>
      <c r="J134" s="3"/>
      <c r="K134" s="89" t="s">
        <v>241</v>
      </c>
      <c r="L134" s="3"/>
      <c r="M134" s="8"/>
      <c r="N134" s="3"/>
      <c r="O134" s="36" t="s">
        <v>240</v>
      </c>
      <c r="P134" s="3"/>
      <c r="Q134" s="89" t="s">
        <v>241</v>
      </c>
      <c r="R134" s="3"/>
    </row>
    <row r="135" spans="1:18" ht="12.75">
      <c r="A135" s="14"/>
      <c r="B135" s="9"/>
      <c r="C135" s="10" t="str">
        <f t="shared" si="23"/>
        <v/>
      </c>
      <c r="D135" s="9"/>
      <c r="E135" s="9" t="str">
        <f t="shared" si="24"/>
        <v/>
      </c>
      <c r="F135" s="9"/>
      <c r="G135" s="3"/>
      <c r="H135" s="3"/>
      <c r="I135" s="36"/>
      <c r="J135" s="3"/>
      <c r="K135" s="89"/>
      <c r="L135" s="3"/>
      <c r="M135" s="8"/>
      <c r="N135" s="3"/>
      <c r="O135" s="36"/>
      <c r="P135" s="3"/>
      <c r="Q135" s="89"/>
      <c r="R135" s="3"/>
    </row>
    <row r="136" spans="1:18" ht="12.75">
      <c r="A136" s="14"/>
      <c r="B136" s="9"/>
      <c r="C136" s="10" t="str">
        <f t="shared" si="23"/>
        <v>TEXTURE LEAD</v>
      </c>
      <c r="D136" s="9"/>
      <c r="E136" s="9" t="str">
        <f t="shared" si="24"/>
        <v>DUANGRUETHAI WONGPHAKHAM</v>
      </c>
      <c r="F136" s="9"/>
      <c r="G136" s="3"/>
      <c r="H136" s="3"/>
      <c r="I136" s="36" t="s">
        <v>242</v>
      </c>
      <c r="J136" s="3"/>
      <c r="K136" s="89" t="s">
        <v>243</v>
      </c>
      <c r="L136" s="3"/>
      <c r="M136" s="8"/>
      <c r="N136" s="3"/>
      <c r="O136" s="36" t="s">
        <v>242</v>
      </c>
      <c r="P136" s="3"/>
      <c r="Q136" s="89" t="s">
        <v>243</v>
      </c>
      <c r="R136" s="3"/>
    </row>
    <row r="137" spans="1:18" ht="12.75">
      <c r="A137" s="14"/>
      <c r="B137" s="9"/>
      <c r="C137" s="10" t="str">
        <f t="shared" si="23"/>
        <v/>
      </c>
      <c r="D137" s="9"/>
      <c r="E137" s="9" t="str">
        <f t="shared" si="24"/>
        <v/>
      </c>
      <c r="F137" s="9"/>
      <c r="G137" s="3"/>
      <c r="H137" s="3"/>
      <c r="I137" s="36"/>
      <c r="J137" s="3"/>
      <c r="K137" s="89"/>
      <c r="L137" s="3"/>
      <c r="M137" s="8"/>
      <c r="N137" s="3"/>
      <c r="O137" s="36"/>
      <c r="P137" s="3"/>
      <c r="Q137" s="89"/>
      <c r="R137" s="3"/>
    </row>
    <row r="138" spans="1:18" ht="12.75">
      <c r="A138" s="14"/>
      <c r="B138" s="9"/>
      <c r="C138" s="10" t="str">
        <f t="shared" si="23"/>
        <v>TEXTURE ARTIST</v>
      </c>
      <c r="D138" s="9"/>
      <c r="E138" s="9" t="str">
        <f t="shared" si="24"/>
        <v>SURANG PASAMLEE</v>
      </c>
      <c r="F138" s="9"/>
      <c r="G138" s="3"/>
      <c r="H138" s="3"/>
      <c r="I138" s="36" t="s">
        <v>244</v>
      </c>
      <c r="J138" s="3"/>
      <c r="K138" s="89" t="s">
        <v>245</v>
      </c>
      <c r="L138" s="3"/>
      <c r="M138" s="8"/>
      <c r="N138" s="3"/>
      <c r="O138" s="36" t="s">
        <v>244</v>
      </c>
      <c r="P138" s="3"/>
      <c r="Q138" s="89" t="s">
        <v>245</v>
      </c>
      <c r="R138" s="3"/>
    </row>
    <row r="139" spans="1:18" ht="12.75">
      <c r="A139" s="14"/>
      <c r="B139" s="9"/>
      <c r="C139" s="10" t="str">
        <f t="shared" si="23"/>
        <v/>
      </c>
      <c r="D139" s="9"/>
      <c r="E139" s="9" t="str">
        <f t="shared" si="24"/>
        <v>RUJIKAN PHENPAIJIT</v>
      </c>
      <c r="F139" s="9"/>
      <c r="G139" s="3"/>
      <c r="H139" s="3"/>
      <c r="I139" s="8"/>
      <c r="J139" s="3"/>
      <c r="K139" s="89" t="s">
        <v>246</v>
      </c>
      <c r="L139" s="3"/>
      <c r="M139" s="8"/>
      <c r="N139" s="3"/>
      <c r="O139" s="8"/>
      <c r="P139" s="3"/>
      <c r="Q139" s="89" t="s">
        <v>246</v>
      </c>
      <c r="R139" s="3"/>
    </row>
    <row r="140" spans="1:18" ht="12.75">
      <c r="A140" s="14"/>
      <c r="B140" s="9"/>
      <c r="C140" s="10" t="str">
        <f t="shared" si="23"/>
        <v/>
      </c>
      <c r="D140" s="9"/>
      <c r="E140" s="9" t="str">
        <f t="shared" si="24"/>
        <v>POONNAWAT SANTIYOTHIN</v>
      </c>
      <c r="F140" s="9"/>
      <c r="G140" s="3"/>
      <c r="H140" s="3"/>
      <c r="I140" s="8"/>
      <c r="J140" s="3"/>
      <c r="K140" s="89" t="s">
        <v>247</v>
      </c>
      <c r="L140" s="3"/>
      <c r="M140" s="8"/>
      <c r="N140" s="3"/>
      <c r="O140" s="8"/>
      <c r="P140" s="3"/>
      <c r="Q140" s="89" t="s">
        <v>247</v>
      </c>
      <c r="R140" s="3"/>
    </row>
    <row r="141" spans="1:18" ht="12.75">
      <c r="A141" s="14"/>
      <c r="B141" s="9"/>
      <c r="C141" s="10" t="str">
        <f t="shared" si="23"/>
        <v/>
      </c>
      <c r="D141" s="9"/>
      <c r="E141" s="9" t="str">
        <f t="shared" si="24"/>
        <v>NUTCHAYA PUENGPREEDA</v>
      </c>
      <c r="F141" s="9"/>
      <c r="G141" s="3"/>
      <c r="H141" s="3"/>
      <c r="I141" s="8"/>
      <c r="J141" s="3"/>
      <c r="K141" s="89" t="s">
        <v>248</v>
      </c>
      <c r="L141" s="3"/>
      <c r="M141" s="8"/>
      <c r="N141" s="3"/>
      <c r="O141" s="8"/>
      <c r="P141" s="3"/>
      <c r="Q141" s="89" t="s">
        <v>248</v>
      </c>
      <c r="R141" s="3"/>
    </row>
    <row r="142" spans="1:18" ht="12.75">
      <c r="A142" s="14"/>
      <c r="B142" s="9"/>
      <c r="C142" s="10" t="str">
        <f t="shared" si="23"/>
        <v/>
      </c>
      <c r="D142" s="9"/>
      <c r="E142" s="9" t="str">
        <f t="shared" si="24"/>
        <v>KANLAYANEE SUWANNABUT</v>
      </c>
      <c r="F142" s="9"/>
      <c r="G142" s="3"/>
      <c r="H142" s="3"/>
      <c r="I142" s="8"/>
      <c r="J142" s="3"/>
      <c r="K142" s="89" t="s">
        <v>249</v>
      </c>
      <c r="L142" s="3"/>
      <c r="M142" s="8"/>
      <c r="N142" s="3"/>
      <c r="O142" s="8"/>
      <c r="P142" s="3"/>
      <c r="Q142" s="89" t="s">
        <v>249</v>
      </c>
      <c r="R142" s="3"/>
    </row>
    <row r="143" spans="1:18" ht="12.75">
      <c r="A143" s="14"/>
      <c r="B143" s="9"/>
      <c r="C143" s="10" t="str">
        <f t="shared" si="23"/>
        <v/>
      </c>
      <c r="D143" s="9"/>
      <c r="E143" s="9" t="str">
        <f t="shared" si="24"/>
        <v>THANAWAT SAWATCHITANG</v>
      </c>
      <c r="F143" s="9"/>
      <c r="G143" s="3"/>
      <c r="H143" s="3"/>
      <c r="I143" s="8"/>
      <c r="J143" s="3"/>
      <c r="K143" s="89" t="s">
        <v>250</v>
      </c>
      <c r="L143" s="3"/>
      <c r="M143" s="8"/>
      <c r="N143" s="3"/>
      <c r="O143" s="8"/>
      <c r="P143" s="3"/>
      <c r="Q143" s="89" t="s">
        <v>250</v>
      </c>
      <c r="R143" s="3"/>
    </row>
    <row r="144" spans="1:18" ht="12.75">
      <c r="A144" s="14"/>
      <c r="B144" s="9"/>
      <c r="C144" s="10" t="str">
        <f t="shared" si="23"/>
        <v/>
      </c>
      <c r="D144" s="9"/>
      <c r="E144" s="9" t="str">
        <f t="shared" si="24"/>
        <v>NATYADA WANGKAHAT</v>
      </c>
      <c r="F144" s="9"/>
      <c r="G144" s="3"/>
      <c r="H144" s="3"/>
      <c r="I144" s="8"/>
      <c r="J144" s="3"/>
      <c r="K144" s="89" t="s">
        <v>251</v>
      </c>
      <c r="L144" s="3"/>
      <c r="M144" s="8"/>
      <c r="N144" s="3"/>
      <c r="O144" s="8"/>
      <c r="P144" s="3"/>
      <c r="Q144" s="89" t="s">
        <v>251</v>
      </c>
      <c r="R144" s="3"/>
    </row>
    <row r="145" spans="1:18" ht="12.75">
      <c r="A145" s="14"/>
      <c r="B145" s="9"/>
      <c r="C145" s="10" t="str">
        <f t="shared" si="23"/>
        <v/>
      </c>
      <c r="D145" s="9"/>
      <c r="E145" s="9" t="str">
        <f t="shared" si="24"/>
        <v>KWANLARB POTJANASUNTORN</v>
      </c>
      <c r="F145" s="9"/>
      <c r="G145" s="3"/>
      <c r="H145" s="3"/>
      <c r="I145" s="8"/>
      <c r="J145" s="3"/>
      <c r="K145" s="89" t="s">
        <v>252</v>
      </c>
      <c r="L145" s="3"/>
      <c r="M145" s="8"/>
      <c r="N145" s="3"/>
      <c r="O145" s="8"/>
      <c r="P145" s="3"/>
      <c r="Q145" s="89" t="s">
        <v>252</v>
      </c>
      <c r="R145" s="3"/>
    </row>
    <row r="146" spans="1:18" ht="12.75">
      <c r="A146" s="14"/>
      <c r="B146" s="9"/>
      <c r="C146" s="10" t="str">
        <f t="shared" si="23"/>
        <v/>
      </c>
      <c r="D146" s="9"/>
      <c r="E146" s="9" t="str">
        <f t="shared" si="24"/>
        <v>KLAORAVEE PANPENG</v>
      </c>
      <c r="F146" s="9"/>
      <c r="G146" s="3"/>
      <c r="H146" s="3"/>
      <c r="I146" s="8"/>
      <c r="J146" s="3"/>
      <c r="K146" s="89" t="s">
        <v>253</v>
      </c>
      <c r="L146" s="3"/>
      <c r="M146" s="8"/>
      <c r="N146" s="3"/>
      <c r="O146" s="8"/>
      <c r="P146" s="3"/>
      <c r="Q146" s="89" t="s">
        <v>253</v>
      </c>
      <c r="R146" s="3"/>
    </row>
    <row r="147" spans="1:18" ht="12.75">
      <c r="A147" s="14"/>
      <c r="B147" s="9"/>
      <c r="C147" s="10" t="str">
        <f t="shared" si="23"/>
        <v/>
      </c>
      <c r="D147" s="9"/>
      <c r="E147" s="9" t="str">
        <f t="shared" si="24"/>
        <v>NATPAPON TITICHOATRATTNA</v>
      </c>
      <c r="F147" s="9"/>
      <c r="G147" s="3"/>
      <c r="H147" s="3"/>
      <c r="I147" s="8"/>
      <c r="J147" s="3"/>
      <c r="K147" s="89" t="s">
        <v>254</v>
      </c>
      <c r="L147" s="3"/>
      <c r="M147" s="8"/>
      <c r="N147" s="3"/>
      <c r="O147" s="8"/>
      <c r="P147" s="3"/>
      <c r="Q147" s="89" t="s">
        <v>254</v>
      </c>
      <c r="R147" s="3"/>
    </row>
    <row r="148" spans="1:18" ht="12.75">
      <c r="A148" s="14"/>
      <c r="B148" s="9"/>
      <c r="C148" s="10"/>
      <c r="D148" s="9"/>
      <c r="E148" s="9" t="str">
        <f t="shared" si="24"/>
        <v>SARUTA SANTIPRAP</v>
      </c>
      <c r="F148" s="9"/>
      <c r="G148" s="3"/>
      <c r="H148" s="3"/>
      <c r="I148" s="8"/>
      <c r="J148" s="3"/>
      <c r="K148" s="89" t="s">
        <v>611</v>
      </c>
      <c r="L148" s="3"/>
      <c r="M148" s="8"/>
      <c r="N148" s="3"/>
      <c r="O148" s="8"/>
      <c r="P148" s="3"/>
      <c r="Q148" s="89" t="s">
        <v>611</v>
      </c>
      <c r="R148" s="3"/>
    </row>
    <row r="149" spans="1:18" ht="12.75">
      <c r="A149" s="14"/>
      <c r="B149" s="9"/>
      <c r="C149" s="10"/>
      <c r="D149" s="9"/>
      <c r="E149" s="9" t="str">
        <f t="shared" si="24"/>
        <v>PHATTARANAN CHAROENKIAT</v>
      </c>
      <c r="F149" s="9"/>
      <c r="G149" s="3"/>
      <c r="H149" s="3"/>
      <c r="I149" s="8"/>
      <c r="J149" s="3"/>
      <c r="K149" s="89" t="s">
        <v>612</v>
      </c>
      <c r="L149" s="3"/>
      <c r="M149" s="8"/>
      <c r="N149" s="3"/>
      <c r="O149" s="8"/>
      <c r="P149" s="3"/>
      <c r="Q149" s="89" t="s">
        <v>612</v>
      </c>
      <c r="R149" s="3"/>
    </row>
    <row r="150" spans="1:18" ht="12.75">
      <c r="A150" s="14"/>
      <c r="B150" s="9"/>
      <c r="C150" s="10"/>
      <c r="D150" s="9"/>
      <c r="E150" s="9"/>
      <c r="F150" s="9"/>
      <c r="G150" s="3"/>
      <c r="H150" s="3"/>
      <c r="I150" s="8"/>
      <c r="J150" s="3"/>
      <c r="K150" s="22"/>
      <c r="L150" s="3"/>
      <c r="M150" s="8"/>
      <c r="N150" s="8"/>
      <c r="O150" s="8"/>
      <c r="P150" s="3"/>
      <c r="Q150" s="3"/>
      <c r="R150" s="3"/>
    </row>
    <row r="151" spans="1:18" ht="12.75">
      <c r="A151" s="14"/>
      <c r="B151" s="11"/>
      <c r="C151" s="12"/>
      <c r="D151" s="11"/>
      <c r="E151" s="11"/>
      <c r="F151" s="11"/>
      <c r="G151" s="3"/>
      <c r="H151" s="3"/>
      <c r="I151" s="8"/>
      <c r="J151" s="3"/>
      <c r="K151" s="22"/>
      <c r="L151" s="3"/>
      <c r="M151" s="8"/>
      <c r="N151" s="8"/>
      <c r="O151" s="8"/>
      <c r="P151" s="3"/>
      <c r="Q151" s="3"/>
      <c r="R151" s="3"/>
    </row>
    <row r="152" spans="1:18" ht="12.75">
      <c r="A152" s="14"/>
      <c r="B152" s="9"/>
      <c r="C152" s="10"/>
      <c r="D152" s="9"/>
      <c r="E152" s="9"/>
      <c r="F152" s="9"/>
      <c r="G152" s="3"/>
      <c r="H152" s="3"/>
      <c r="I152" s="8"/>
      <c r="J152" s="3"/>
      <c r="K152" s="22"/>
      <c r="L152" s="3"/>
      <c r="M152" s="8"/>
      <c r="N152" s="8"/>
      <c r="O152" s="8"/>
      <c r="P152" s="3"/>
      <c r="Q152" s="3"/>
      <c r="R152" s="3"/>
    </row>
    <row r="153" spans="1:18" ht="18">
      <c r="A153" s="14"/>
      <c r="B153" s="150" t="str">
        <f t="shared" ref="B153:B154" si="25">UPPER(H153)</f>
        <v xml:space="preserve">ASSET </v>
      </c>
      <c r="C153" s="141"/>
      <c r="D153" s="141"/>
      <c r="E153" s="141"/>
      <c r="F153" s="141"/>
      <c r="G153" s="28"/>
      <c r="H153" s="167" t="s">
        <v>208</v>
      </c>
      <c r="I153" s="141"/>
      <c r="J153" s="141"/>
      <c r="K153" s="141"/>
      <c r="L153" s="141"/>
      <c r="M153" s="8"/>
      <c r="N153" s="149" t="s">
        <v>818</v>
      </c>
      <c r="O153" s="141"/>
      <c r="P153" s="141"/>
      <c r="Q153" s="141"/>
      <c r="R153" s="141"/>
    </row>
    <row r="154" spans="1:18" ht="15">
      <c r="A154" s="14"/>
      <c r="B154" s="146" t="str">
        <f t="shared" si="25"/>
        <v>THE MONK STUDIOS</v>
      </c>
      <c r="C154" s="141"/>
      <c r="D154" s="141"/>
      <c r="E154" s="141"/>
      <c r="F154" s="141"/>
      <c r="G154" s="3"/>
      <c r="H154" s="149" t="s">
        <v>202</v>
      </c>
      <c r="I154" s="141"/>
      <c r="J154" s="141"/>
      <c r="K154" s="141"/>
      <c r="L154" s="141"/>
      <c r="M154" s="8"/>
      <c r="N154" s="149" t="s">
        <v>202</v>
      </c>
      <c r="O154" s="141"/>
      <c r="P154" s="141"/>
      <c r="Q154" s="141"/>
      <c r="R154" s="141"/>
    </row>
    <row r="155" spans="1:18" ht="12.75">
      <c r="A155" s="14"/>
      <c r="B155" s="9"/>
      <c r="C155" s="10"/>
      <c r="D155" s="9"/>
      <c r="E155" s="9"/>
      <c r="F155" s="9"/>
      <c r="G155" s="3"/>
      <c r="H155" s="3"/>
      <c r="I155" s="36"/>
      <c r="J155" s="3"/>
      <c r="K155" s="22"/>
      <c r="L155" s="3"/>
      <c r="M155" s="8"/>
      <c r="N155" s="3"/>
      <c r="O155" s="36"/>
      <c r="P155" s="3"/>
      <c r="Q155" s="22"/>
      <c r="R155" s="3"/>
    </row>
    <row r="156" spans="1:18" ht="12.75">
      <c r="A156" s="14"/>
      <c r="B156" s="9"/>
      <c r="C156" s="10" t="str">
        <f t="shared" ref="C156:C168" si="26">UPPER(I156)</f>
        <v>RIG SUPERVISOR</v>
      </c>
      <c r="D156" s="9"/>
      <c r="E156" s="9" t="str">
        <f t="shared" ref="E156:E170" si="27">UPPER(K156)</f>
        <v>SORAWIT LIMKERTPOL</v>
      </c>
      <c r="F156" s="9"/>
      <c r="G156" s="3"/>
      <c r="H156" s="3"/>
      <c r="I156" s="90" t="s">
        <v>255</v>
      </c>
      <c r="J156" s="3"/>
      <c r="K156" s="31" t="s">
        <v>256</v>
      </c>
      <c r="L156" s="3"/>
      <c r="M156" s="8"/>
      <c r="N156" s="3"/>
      <c r="O156" s="90" t="s">
        <v>255</v>
      </c>
      <c r="P156" s="3"/>
      <c r="Q156" s="31" t="s">
        <v>256</v>
      </c>
      <c r="R156" s="3"/>
    </row>
    <row r="157" spans="1:18" ht="12.75">
      <c r="A157" s="14"/>
      <c r="B157" s="9"/>
      <c r="C157" s="10" t="str">
        <f t="shared" si="26"/>
        <v/>
      </c>
      <c r="D157" s="9"/>
      <c r="E157" s="9" t="str">
        <f t="shared" si="27"/>
        <v/>
      </c>
      <c r="F157" s="9"/>
      <c r="G157" s="3"/>
      <c r="H157" s="3"/>
      <c r="I157" s="90"/>
      <c r="J157" s="3"/>
      <c r="K157" s="31"/>
      <c r="L157" s="3"/>
      <c r="M157" s="8"/>
      <c r="N157" s="3"/>
      <c r="O157" s="90"/>
      <c r="P157" s="3"/>
      <c r="Q157" s="31"/>
      <c r="R157" s="3"/>
    </row>
    <row r="158" spans="1:18" ht="12.75">
      <c r="A158" s="14"/>
      <c r="B158" s="9"/>
      <c r="C158" s="10" t="str">
        <f t="shared" si="26"/>
        <v>RIG LEAD</v>
      </c>
      <c r="D158" s="9"/>
      <c r="E158" s="9" t="str">
        <f t="shared" si="27"/>
        <v>RATHTY PONGWORAPINIT</v>
      </c>
      <c r="F158" s="9"/>
      <c r="G158" s="3"/>
      <c r="H158" s="3"/>
      <c r="I158" s="90" t="s">
        <v>257</v>
      </c>
      <c r="J158" s="3"/>
      <c r="K158" s="31" t="s">
        <v>258</v>
      </c>
      <c r="L158" s="3"/>
      <c r="M158" s="8"/>
      <c r="N158" s="3"/>
      <c r="O158" s="90" t="s">
        <v>257</v>
      </c>
      <c r="P158" s="3"/>
      <c r="Q158" s="31" t="s">
        <v>258</v>
      </c>
      <c r="R158" s="3"/>
    </row>
    <row r="159" spans="1:18" ht="12.75">
      <c r="A159" s="14"/>
      <c r="B159" s="9"/>
      <c r="C159" s="10" t="str">
        <f t="shared" si="26"/>
        <v/>
      </c>
      <c r="D159" s="9"/>
      <c r="E159" s="9" t="str">
        <f t="shared" si="27"/>
        <v>CHONNIKAN SONSAMRIT</v>
      </c>
      <c r="F159" s="9"/>
      <c r="G159" s="3"/>
      <c r="H159" s="3"/>
      <c r="I159" s="90"/>
      <c r="J159" s="3"/>
      <c r="K159" s="31" t="s">
        <v>259</v>
      </c>
      <c r="L159" s="3"/>
      <c r="M159" s="8"/>
      <c r="N159" s="3"/>
      <c r="O159" s="90"/>
      <c r="P159" s="3"/>
      <c r="Q159" s="31" t="s">
        <v>259</v>
      </c>
      <c r="R159" s="3"/>
    </row>
    <row r="160" spans="1:18" ht="12.75">
      <c r="A160" s="14"/>
      <c r="B160" s="9"/>
      <c r="C160" s="10" t="str">
        <f t="shared" si="26"/>
        <v/>
      </c>
      <c r="D160" s="9"/>
      <c r="E160" s="9" t="str">
        <f t="shared" si="27"/>
        <v/>
      </c>
      <c r="F160" s="9"/>
      <c r="G160" s="3"/>
      <c r="H160" s="3"/>
      <c r="I160" s="90"/>
      <c r="J160" s="3"/>
      <c r="K160" s="31"/>
      <c r="L160" s="3"/>
      <c r="M160" s="8"/>
      <c r="N160" s="3"/>
      <c r="O160" s="90"/>
      <c r="P160" s="3"/>
      <c r="Q160" s="31"/>
      <c r="R160" s="3"/>
    </row>
    <row r="161" spans="1:18" ht="12.75">
      <c r="A161" s="14"/>
      <c r="B161" s="9"/>
      <c r="C161" s="10" t="str">
        <f t="shared" si="26"/>
        <v>RIG ARTIST</v>
      </c>
      <c r="D161" s="9"/>
      <c r="E161" s="9" t="str">
        <f t="shared" si="27"/>
        <v>ALI RAZA</v>
      </c>
      <c r="F161" s="9"/>
      <c r="G161" s="3"/>
      <c r="H161" s="3"/>
      <c r="I161" s="90" t="s">
        <v>260</v>
      </c>
      <c r="J161" s="3"/>
      <c r="K161" s="31" t="s">
        <v>261</v>
      </c>
      <c r="L161" s="3"/>
      <c r="M161" s="8"/>
      <c r="N161" s="3"/>
      <c r="O161" s="90" t="s">
        <v>260</v>
      </c>
      <c r="P161" s="3"/>
      <c r="Q161" s="31" t="s">
        <v>261</v>
      </c>
      <c r="R161" s="3"/>
    </row>
    <row r="162" spans="1:18" ht="12.75">
      <c r="A162" s="14"/>
      <c r="B162" s="9"/>
      <c r="C162" s="10" t="str">
        <f t="shared" si="26"/>
        <v/>
      </c>
      <c r="D162" s="9"/>
      <c r="E162" s="9" t="str">
        <f t="shared" si="27"/>
        <v>BHUMINAT CHATURAMETHANONT</v>
      </c>
      <c r="F162" s="9"/>
      <c r="G162" s="3"/>
      <c r="H162" s="3"/>
      <c r="I162" s="8"/>
      <c r="J162" s="3"/>
      <c r="K162" s="31" t="s">
        <v>262</v>
      </c>
      <c r="L162" s="3"/>
      <c r="M162" s="8"/>
      <c r="N162" s="3"/>
      <c r="O162" s="8"/>
      <c r="P162" s="3"/>
      <c r="Q162" s="31" t="s">
        <v>262</v>
      </c>
      <c r="R162" s="3"/>
    </row>
    <row r="163" spans="1:18" ht="12.75">
      <c r="A163" s="14"/>
      <c r="B163" s="9"/>
      <c r="C163" s="10" t="str">
        <f t="shared" si="26"/>
        <v/>
      </c>
      <c r="D163" s="9"/>
      <c r="E163" s="9" t="str">
        <f t="shared" si="27"/>
        <v>KRITTAPAD DEJJEENMUANG</v>
      </c>
      <c r="F163" s="9"/>
      <c r="G163" s="3"/>
      <c r="H163" s="3"/>
      <c r="I163" s="8"/>
      <c r="J163" s="3"/>
      <c r="K163" s="31" t="s">
        <v>263</v>
      </c>
      <c r="L163" s="3"/>
      <c r="M163" s="8"/>
      <c r="N163" s="3"/>
      <c r="O163" s="8"/>
      <c r="P163" s="3"/>
      <c r="Q163" s="31" t="s">
        <v>263</v>
      </c>
      <c r="R163" s="3"/>
    </row>
    <row r="164" spans="1:18" ht="12.75">
      <c r="A164" s="14"/>
      <c r="B164" s="9"/>
      <c r="C164" s="10" t="str">
        <f t="shared" si="26"/>
        <v/>
      </c>
      <c r="D164" s="9"/>
      <c r="E164" s="9" t="str">
        <f t="shared" si="27"/>
        <v>ANAWIN SARNMOUNG</v>
      </c>
      <c r="F164" s="9"/>
      <c r="G164" s="3"/>
      <c r="H164" s="3"/>
      <c r="I164" s="8"/>
      <c r="J164" s="3"/>
      <c r="K164" s="31" t="s">
        <v>264</v>
      </c>
      <c r="L164" s="3"/>
      <c r="M164" s="8"/>
      <c r="N164" s="3"/>
      <c r="O164" s="8"/>
      <c r="P164" s="3"/>
      <c r="Q164" s="31" t="s">
        <v>264</v>
      </c>
      <c r="R164" s="3"/>
    </row>
    <row r="165" spans="1:18" ht="12.75">
      <c r="A165" s="14"/>
      <c r="B165" s="9"/>
      <c r="C165" s="10" t="str">
        <f t="shared" si="26"/>
        <v/>
      </c>
      <c r="D165" s="9"/>
      <c r="E165" s="9" t="str">
        <f t="shared" si="27"/>
        <v>CHANYA KANICHAPONG</v>
      </c>
      <c r="F165" s="9"/>
      <c r="G165" s="3"/>
      <c r="H165" s="3"/>
      <c r="I165" s="8"/>
      <c r="J165" s="3"/>
      <c r="K165" s="31" t="s">
        <v>265</v>
      </c>
      <c r="L165" s="3"/>
      <c r="M165" s="8"/>
      <c r="N165" s="3"/>
      <c r="O165" s="8"/>
      <c r="P165" s="3"/>
      <c r="Q165" s="31" t="s">
        <v>265</v>
      </c>
      <c r="R165" s="3"/>
    </row>
    <row r="166" spans="1:18" ht="12.75">
      <c r="A166" s="14"/>
      <c r="B166" s="9"/>
      <c r="C166" s="10" t="str">
        <f t="shared" si="26"/>
        <v/>
      </c>
      <c r="D166" s="9"/>
      <c r="E166" s="9" t="str">
        <f t="shared" si="27"/>
        <v>JIRAYUT JAIKLA</v>
      </c>
      <c r="F166" s="9"/>
      <c r="G166" s="3"/>
      <c r="H166" s="3"/>
      <c r="I166" s="8"/>
      <c r="J166" s="3"/>
      <c r="K166" s="31" t="s">
        <v>266</v>
      </c>
      <c r="L166" s="3"/>
      <c r="M166" s="8"/>
      <c r="N166" s="3"/>
      <c r="O166" s="8"/>
      <c r="P166" s="3"/>
      <c r="Q166" s="31" t="s">
        <v>266</v>
      </c>
      <c r="R166" s="3"/>
    </row>
    <row r="167" spans="1:18" ht="12.75">
      <c r="A167" s="14"/>
      <c r="B167" s="9"/>
      <c r="C167" s="10" t="str">
        <f t="shared" si="26"/>
        <v/>
      </c>
      <c r="D167" s="9"/>
      <c r="E167" s="9" t="str">
        <f t="shared" si="27"/>
        <v>NANTAPAK PRUANGKARN</v>
      </c>
      <c r="F167" s="9"/>
      <c r="G167" s="3"/>
      <c r="H167" s="3"/>
      <c r="I167" s="8"/>
      <c r="J167" s="3"/>
      <c r="K167" s="31" t="s">
        <v>267</v>
      </c>
      <c r="L167" s="3"/>
      <c r="M167" s="8"/>
      <c r="N167" s="3"/>
      <c r="O167" s="8"/>
      <c r="P167" s="3"/>
      <c r="Q167" s="31" t="s">
        <v>267</v>
      </c>
      <c r="R167" s="3"/>
    </row>
    <row r="168" spans="1:18" ht="12.75">
      <c r="A168" s="14"/>
      <c r="B168" s="9"/>
      <c r="C168" s="10" t="str">
        <f t="shared" si="26"/>
        <v/>
      </c>
      <c r="D168" s="9"/>
      <c r="E168" s="9" t="str">
        <f t="shared" si="27"/>
        <v>PANCHANOK CHOMCHUEN</v>
      </c>
      <c r="F168" s="9"/>
      <c r="G168" s="3"/>
      <c r="H168" s="3"/>
      <c r="I168" s="8"/>
      <c r="J168" s="3"/>
      <c r="K168" s="31" t="s">
        <v>268</v>
      </c>
      <c r="L168" s="3"/>
      <c r="M168" s="8"/>
      <c r="N168" s="3"/>
      <c r="O168" s="8"/>
      <c r="P168" s="3"/>
      <c r="Q168" s="31" t="s">
        <v>268</v>
      </c>
      <c r="R168" s="3"/>
    </row>
    <row r="169" spans="1:18" ht="12.75">
      <c r="A169" s="14"/>
      <c r="B169" s="9"/>
      <c r="C169" s="10"/>
      <c r="D169" s="9"/>
      <c r="E169" s="9" t="str">
        <f t="shared" si="27"/>
        <v>TAWEEWAT TAWEEPASAS</v>
      </c>
      <c r="F169" s="9"/>
      <c r="G169" s="3"/>
      <c r="H169" s="3"/>
      <c r="I169" s="8"/>
      <c r="J169" s="3"/>
      <c r="K169" s="31" t="s">
        <v>269</v>
      </c>
      <c r="L169" s="3"/>
      <c r="M169" s="8"/>
      <c r="N169" s="3"/>
      <c r="O169" s="8"/>
      <c r="P169" s="3"/>
      <c r="Q169" s="31" t="s">
        <v>269</v>
      </c>
      <c r="R169" s="3"/>
    </row>
    <row r="170" spans="1:18" ht="12.75">
      <c r="A170" s="14"/>
      <c r="B170" s="9"/>
      <c r="C170" s="10"/>
      <c r="D170" s="9"/>
      <c r="E170" s="9" t="str">
        <f t="shared" si="27"/>
        <v/>
      </c>
      <c r="F170" s="9"/>
      <c r="G170" s="3"/>
      <c r="H170" s="3"/>
      <c r="I170" s="8"/>
      <c r="J170" s="3"/>
      <c r="K170" s="31"/>
      <c r="L170" s="3"/>
      <c r="M170" s="8"/>
      <c r="N170" s="8"/>
      <c r="O170" s="8"/>
      <c r="P170" s="3"/>
      <c r="Q170" s="3"/>
      <c r="R170" s="3"/>
    </row>
    <row r="171" spans="1:18" ht="12.75">
      <c r="A171" s="14"/>
      <c r="B171" s="11"/>
      <c r="C171" s="12"/>
      <c r="D171" s="11"/>
      <c r="E171" s="11"/>
      <c r="F171" s="11"/>
      <c r="G171" s="3"/>
      <c r="H171" s="3"/>
      <c r="I171" s="90"/>
      <c r="J171" s="3"/>
      <c r="K171" s="87"/>
      <c r="L171" s="3"/>
      <c r="M171" s="8"/>
      <c r="N171" s="8"/>
      <c r="O171" s="8"/>
      <c r="P171" s="3"/>
      <c r="Q171" s="3"/>
      <c r="R171" s="3"/>
    </row>
    <row r="172" spans="1:18" ht="12.75">
      <c r="A172" s="14"/>
      <c r="B172" s="9"/>
      <c r="C172" s="10"/>
      <c r="D172" s="9"/>
      <c r="E172" s="9"/>
      <c r="F172" s="9"/>
      <c r="G172" s="3"/>
      <c r="H172" s="3"/>
      <c r="I172" s="90"/>
      <c r="J172" s="3"/>
      <c r="K172" s="87"/>
      <c r="L172" s="3"/>
      <c r="M172" s="8"/>
      <c r="N172" s="8"/>
      <c r="O172" s="8"/>
      <c r="P172" s="3"/>
      <c r="Q172" s="3"/>
      <c r="R172" s="3"/>
    </row>
    <row r="173" spans="1:18" ht="18">
      <c r="A173" s="14"/>
      <c r="B173" s="150" t="str">
        <f t="shared" ref="B173:B174" si="28">UPPER(H173)</f>
        <v xml:space="preserve">ASSET </v>
      </c>
      <c r="C173" s="141"/>
      <c r="D173" s="141"/>
      <c r="E173" s="141"/>
      <c r="F173" s="141"/>
      <c r="G173" s="28"/>
      <c r="H173" s="167" t="s">
        <v>208</v>
      </c>
      <c r="I173" s="141"/>
      <c r="J173" s="141"/>
      <c r="K173" s="141"/>
      <c r="L173" s="141"/>
      <c r="M173" s="8"/>
      <c r="N173" s="149" t="s">
        <v>818</v>
      </c>
      <c r="O173" s="141"/>
      <c r="P173" s="141"/>
      <c r="Q173" s="141"/>
      <c r="R173" s="141"/>
    </row>
    <row r="174" spans="1:18" ht="15">
      <c r="A174" s="14"/>
      <c r="B174" s="146" t="str">
        <f t="shared" si="28"/>
        <v>THE MONK STUDIOS</v>
      </c>
      <c r="C174" s="141"/>
      <c r="D174" s="141"/>
      <c r="E174" s="141"/>
      <c r="F174" s="141"/>
      <c r="G174" s="3"/>
      <c r="H174" s="149" t="s">
        <v>202</v>
      </c>
      <c r="I174" s="141"/>
      <c r="J174" s="141"/>
      <c r="K174" s="141"/>
      <c r="L174" s="141"/>
      <c r="M174" s="8"/>
      <c r="N174" s="149" t="s">
        <v>202</v>
      </c>
      <c r="O174" s="141"/>
      <c r="P174" s="141"/>
      <c r="Q174" s="141"/>
      <c r="R174" s="141"/>
    </row>
    <row r="175" spans="1:18" ht="12.75">
      <c r="A175" s="14"/>
      <c r="B175" s="9"/>
      <c r="C175" s="10"/>
      <c r="D175" s="9"/>
      <c r="E175" s="9"/>
      <c r="F175" s="9"/>
      <c r="G175" s="3"/>
      <c r="H175" s="3"/>
      <c r="I175" s="90"/>
      <c r="J175" s="3"/>
      <c r="K175" s="87"/>
      <c r="L175" s="3"/>
      <c r="M175" s="8"/>
      <c r="N175" s="3"/>
      <c r="O175" s="90"/>
      <c r="P175" s="3"/>
      <c r="Q175" s="87"/>
      <c r="R175" s="3"/>
    </row>
    <row r="176" spans="1:18" ht="12.75">
      <c r="A176" s="14"/>
      <c r="B176" s="9"/>
      <c r="C176" s="10" t="str">
        <f>UPPER(I176)</f>
        <v>GROOMING SUPERVISOR</v>
      </c>
      <c r="D176" s="9"/>
      <c r="E176" s="9" t="str">
        <f>UPPER(K176)</f>
        <v>PHURINUT TANGCHAROEN</v>
      </c>
      <c r="F176" s="9"/>
      <c r="G176" s="3"/>
      <c r="H176" s="3"/>
      <c r="I176" s="90" t="s">
        <v>270</v>
      </c>
      <c r="J176" s="3"/>
      <c r="K176" s="87" t="s">
        <v>271</v>
      </c>
      <c r="L176" s="3"/>
      <c r="M176" s="8"/>
      <c r="N176" s="3"/>
      <c r="O176" s="90" t="s">
        <v>270</v>
      </c>
      <c r="P176" s="3"/>
      <c r="Q176" s="87" t="s">
        <v>271</v>
      </c>
      <c r="R176" s="3"/>
    </row>
    <row r="177" spans="1:18" ht="12.75">
      <c r="A177" s="14"/>
      <c r="B177" s="9"/>
      <c r="C177" s="10"/>
      <c r="D177" s="9"/>
      <c r="E177" s="9"/>
      <c r="F177" s="9"/>
      <c r="G177" s="3"/>
      <c r="H177" s="3"/>
      <c r="I177" s="90"/>
      <c r="J177" s="3"/>
      <c r="K177" s="87"/>
      <c r="L177" s="3"/>
      <c r="M177" s="8"/>
      <c r="N177" s="3"/>
      <c r="O177" s="90"/>
      <c r="P177" s="3"/>
      <c r="Q177" s="87"/>
      <c r="R177" s="3"/>
    </row>
    <row r="178" spans="1:18" ht="12.75">
      <c r="A178" s="14"/>
      <c r="B178" s="9"/>
      <c r="C178" s="10" t="str">
        <f t="shared" ref="C178:C181" si="29">UPPER(I178)</f>
        <v>GROOMING ARTIST</v>
      </c>
      <c r="D178" s="9"/>
      <c r="E178" s="9" t="str">
        <f t="shared" ref="E178:E182" si="30">UPPER(K178)</f>
        <v>BUDSARAPORN WAICHUENCHORM</v>
      </c>
      <c r="F178" s="9"/>
      <c r="G178" s="3"/>
      <c r="H178" s="3"/>
      <c r="I178" s="90" t="s">
        <v>272</v>
      </c>
      <c r="J178" s="3"/>
      <c r="K178" s="87" t="s">
        <v>273</v>
      </c>
      <c r="L178" s="3"/>
      <c r="M178" s="8"/>
      <c r="N178" s="3"/>
      <c r="O178" s="90" t="s">
        <v>272</v>
      </c>
      <c r="P178" s="3"/>
      <c r="Q178" s="87" t="s">
        <v>273</v>
      </c>
      <c r="R178" s="3"/>
    </row>
    <row r="179" spans="1:18" ht="14.25">
      <c r="A179" s="14"/>
      <c r="B179" s="9"/>
      <c r="C179" s="10" t="str">
        <f t="shared" si="29"/>
        <v/>
      </c>
      <c r="D179" s="9"/>
      <c r="E179" s="9" t="str">
        <f t="shared" si="30"/>
        <v>PRAEWPAN SAEPUNG</v>
      </c>
      <c r="F179" s="9"/>
      <c r="G179" s="3"/>
      <c r="H179" s="3"/>
      <c r="I179" s="8"/>
      <c r="J179" s="3"/>
      <c r="K179" s="91" t="s">
        <v>274</v>
      </c>
      <c r="L179" s="3"/>
      <c r="M179" s="8"/>
      <c r="N179" s="3"/>
      <c r="O179" s="8"/>
      <c r="P179" s="3"/>
      <c r="Q179" s="91" t="s">
        <v>274</v>
      </c>
      <c r="R179" s="3"/>
    </row>
    <row r="180" spans="1:18" ht="12.75">
      <c r="A180" s="14"/>
      <c r="B180" s="9"/>
      <c r="C180" s="10" t="str">
        <f t="shared" si="29"/>
        <v/>
      </c>
      <c r="D180" s="9"/>
      <c r="E180" s="9" t="str">
        <f t="shared" si="30"/>
        <v>VANLIPHA KAEWKHAO</v>
      </c>
      <c r="F180" s="9"/>
      <c r="G180" s="3"/>
      <c r="H180" s="3"/>
      <c r="I180" s="8"/>
      <c r="J180" s="3"/>
      <c r="K180" s="87" t="s">
        <v>275</v>
      </c>
      <c r="L180" s="3"/>
      <c r="M180" s="8"/>
      <c r="N180" s="3"/>
      <c r="O180" s="8"/>
      <c r="P180" s="3"/>
      <c r="Q180" s="87" t="s">
        <v>275</v>
      </c>
      <c r="R180" s="3"/>
    </row>
    <row r="181" spans="1:18" ht="12.75">
      <c r="A181" s="14"/>
      <c r="B181" s="9"/>
      <c r="C181" s="10" t="str">
        <f t="shared" si="29"/>
        <v/>
      </c>
      <c r="D181" s="9"/>
      <c r="E181" s="9" t="str">
        <f t="shared" si="30"/>
        <v>PATIPARN KAWINCHAN</v>
      </c>
      <c r="F181" s="9"/>
      <c r="G181" s="3"/>
      <c r="H181" s="3"/>
      <c r="I181" s="8"/>
      <c r="J181" s="3"/>
      <c r="K181" s="87" t="s">
        <v>276</v>
      </c>
      <c r="L181" s="3"/>
      <c r="M181" s="8"/>
      <c r="N181" s="3"/>
      <c r="O181" s="8"/>
      <c r="P181" s="3"/>
      <c r="Q181" s="87" t="s">
        <v>276</v>
      </c>
      <c r="R181" s="3"/>
    </row>
    <row r="182" spans="1:18" ht="12.75">
      <c r="A182" s="14"/>
      <c r="B182" s="9"/>
      <c r="C182" s="10"/>
      <c r="D182" s="9"/>
      <c r="E182" s="9" t="str">
        <f t="shared" si="30"/>
        <v>YOTIN TONGBANTURNG</v>
      </c>
      <c r="F182" s="9"/>
      <c r="G182" s="3"/>
      <c r="H182" s="3"/>
      <c r="I182" s="8"/>
      <c r="J182" s="3"/>
      <c r="K182" s="87" t="s">
        <v>277</v>
      </c>
      <c r="L182" s="3"/>
      <c r="M182" s="8"/>
      <c r="N182" s="3"/>
      <c r="O182" s="8"/>
      <c r="P182" s="3"/>
      <c r="Q182" s="87" t="s">
        <v>277</v>
      </c>
      <c r="R182" s="3"/>
    </row>
    <row r="183" spans="1:18" ht="12.75">
      <c r="A183" s="14"/>
      <c r="B183" s="9"/>
      <c r="C183" s="10"/>
      <c r="D183" s="9"/>
      <c r="E183" s="9"/>
      <c r="F183" s="9"/>
      <c r="G183" s="3"/>
      <c r="H183" s="3"/>
      <c r="I183" s="8"/>
      <c r="J183" s="3"/>
      <c r="K183" s="31"/>
      <c r="L183" s="3"/>
      <c r="M183" s="8"/>
      <c r="N183" s="8"/>
      <c r="O183" s="8"/>
      <c r="P183" s="3"/>
      <c r="Q183" s="3"/>
      <c r="R183" s="3"/>
    </row>
    <row r="184" spans="1:18" ht="12.75">
      <c r="A184" s="14"/>
      <c r="B184" s="11"/>
      <c r="C184" s="12"/>
      <c r="D184" s="11"/>
      <c r="E184" s="11"/>
      <c r="F184" s="11"/>
      <c r="G184" s="3"/>
      <c r="H184" s="3"/>
      <c r="I184" s="8"/>
      <c r="J184" s="3"/>
      <c r="K184" s="31"/>
      <c r="L184" s="3"/>
      <c r="M184" s="8"/>
      <c r="N184" s="8"/>
      <c r="O184" s="8"/>
      <c r="P184" s="3"/>
      <c r="Q184" s="3"/>
      <c r="R184" s="3"/>
    </row>
    <row r="185" spans="1:18" ht="12.75">
      <c r="A185" s="14"/>
      <c r="B185" s="9"/>
      <c r="C185" s="10"/>
      <c r="D185" s="9"/>
      <c r="E185" s="9"/>
      <c r="F185" s="9"/>
      <c r="G185" s="3"/>
      <c r="H185" s="3"/>
      <c r="I185" s="8"/>
      <c r="J185" s="3"/>
      <c r="K185" s="31"/>
      <c r="L185" s="3"/>
      <c r="M185" s="8"/>
      <c r="N185" s="8"/>
      <c r="O185" s="8"/>
      <c r="P185" s="3"/>
      <c r="Q185" s="3"/>
      <c r="R185" s="3"/>
    </row>
    <row r="186" spans="1:18" ht="18">
      <c r="A186" s="14"/>
      <c r="B186" s="150" t="str">
        <f>UPPER(H186)</f>
        <v>LAYOUT</v>
      </c>
      <c r="C186" s="141"/>
      <c r="D186" s="141"/>
      <c r="E186" s="141"/>
      <c r="F186" s="141"/>
      <c r="G186" s="28"/>
      <c r="H186" s="167" t="s">
        <v>278</v>
      </c>
      <c r="I186" s="141"/>
      <c r="J186" s="141"/>
      <c r="K186" s="141"/>
      <c r="L186" s="141"/>
      <c r="M186" s="29"/>
      <c r="N186" s="149" t="s">
        <v>829</v>
      </c>
      <c r="O186" s="141"/>
      <c r="P186" s="141"/>
      <c r="Q186" s="141"/>
      <c r="R186" s="141"/>
    </row>
    <row r="187" spans="1:18" ht="12.75">
      <c r="A187" s="14"/>
      <c r="B187" s="9"/>
      <c r="C187" s="10" t="str">
        <f>UPPER(I187)</f>
        <v>LAYOUT DIRECTOR</v>
      </c>
      <c r="D187" s="9"/>
      <c r="E187" s="9" t="str">
        <f>UPPER(K187)</f>
        <v>KYUNGMIN KIM</v>
      </c>
      <c r="F187" s="9"/>
      <c r="G187" s="3"/>
      <c r="H187" s="3"/>
      <c r="I187" s="8" t="s">
        <v>279</v>
      </c>
      <c r="J187" s="3"/>
      <c r="K187" s="3" t="s">
        <v>280</v>
      </c>
      <c r="L187" s="3"/>
      <c r="M187" s="8"/>
      <c r="N187" s="8"/>
      <c r="O187" s="21" t="s">
        <v>830</v>
      </c>
      <c r="P187" s="3"/>
      <c r="Q187" s="3" t="s">
        <v>831</v>
      </c>
      <c r="R187" s="3"/>
    </row>
    <row r="188" spans="1:18" ht="12.75">
      <c r="A188" s="14"/>
      <c r="B188" s="9"/>
      <c r="C188" s="10"/>
      <c r="D188" s="9"/>
      <c r="E188" s="9"/>
      <c r="F188" s="9"/>
      <c r="G188" s="3"/>
      <c r="H188" s="3"/>
      <c r="I188" s="8"/>
      <c r="J188" s="3"/>
      <c r="K188" s="31"/>
      <c r="L188" s="3"/>
      <c r="M188" s="8"/>
      <c r="N188" s="8"/>
      <c r="O188" s="8"/>
      <c r="P188" s="3"/>
      <c r="Q188" s="3"/>
      <c r="R188" s="3"/>
    </row>
    <row r="189" spans="1:18" ht="12.75">
      <c r="A189" s="14"/>
      <c r="B189" s="9"/>
      <c r="C189" s="10"/>
      <c r="D189" s="9"/>
      <c r="E189" s="9"/>
      <c r="F189" s="9"/>
      <c r="G189" s="3"/>
      <c r="H189" s="3"/>
      <c r="I189" s="8"/>
      <c r="J189" s="3"/>
      <c r="K189" s="31"/>
      <c r="L189" s="3"/>
      <c r="M189" s="8"/>
      <c r="N189" s="8"/>
      <c r="O189" s="8"/>
      <c r="P189" s="3"/>
      <c r="Q189" s="3"/>
      <c r="R189" s="3"/>
    </row>
    <row r="190" spans="1:18" ht="15">
      <c r="A190" s="14"/>
      <c r="B190" s="146" t="str">
        <f>UPPER(H190)</f>
        <v>THE MONK STUDIOS</v>
      </c>
      <c r="C190" s="141"/>
      <c r="D190" s="141"/>
      <c r="E190" s="141"/>
      <c r="F190" s="141"/>
      <c r="G190" s="3"/>
      <c r="H190" s="149" t="s">
        <v>202</v>
      </c>
      <c r="I190" s="141"/>
      <c r="J190" s="141"/>
      <c r="K190" s="141"/>
      <c r="L190" s="141"/>
      <c r="M190" s="8"/>
      <c r="N190" s="149" t="s">
        <v>202</v>
      </c>
      <c r="O190" s="141"/>
      <c r="P190" s="141"/>
      <c r="Q190" s="141"/>
      <c r="R190" s="141"/>
    </row>
    <row r="191" spans="1:18" ht="12.75">
      <c r="A191" s="14"/>
      <c r="B191" s="9"/>
      <c r="C191" s="10" t="str">
        <f>UPPER(I191)</f>
        <v>LAYOUT SUPERVISOR</v>
      </c>
      <c r="D191" s="9"/>
      <c r="E191" s="9" t="str">
        <f>UPPER(K191)</f>
        <v>ANUSART SUPCHAROENCHAI</v>
      </c>
      <c r="F191" s="9"/>
      <c r="G191" s="3"/>
      <c r="H191" s="3"/>
      <c r="I191" s="90" t="s">
        <v>281</v>
      </c>
      <c r="J191" s="3"/>
      <c r="K191" s="87" t="s">
        <v>681</v>
      </c>
      <c r="L191" s="3"/>
      <c r="M191" s="8"/>
      <c r="N191" s="3"/>
      <c r="O191" s="90" t="s">
        <v>281</v>
      </c>
      <c r="P191" s="3"/>
      <c r="Q191" s="87" t="s">
        <v>681</v>
      </c>
      <c r="R191" s="3"/>
    </row>
    <row r="192" spans="1:18" ht="12.75">
      <c r="A192" s="14"/>
      <c r="B192" s="9"/>
      <c r="C192" s="10"/>
      <c r="D192" s="9"/>
      <c r="E192" s="9"/>
      <c r="F192" s="9"/>
      <c r="G192" s="3"/>
      <c r="H192" s="3"/>
      <c r="I192" s="90"/>
      <c r="J192" s="3"/>
      <c r="K192" s="87"/>
      <c r="L192" s="3"/>
      <c r="M192" s="8"/>
      <c r="N192" s="3"/>
      <c r="O192" s="90"/>
      <c r="P192" s="3"/>
      <c r="Q192" s="87"/>
      <c r="R192" s="3"/>
    </row>
    <row r="193" spans="1:18" ht="12.75">
      <c r="A193" s="14"/>
      <c r="B193" s="9"/>
      <c r="C193" s="10" t="str">
        <f t="shared" ref="C193:C198" si="31">UPPER(I193)</f>
        <v>LAYOUT ARTIST</v>
      </c>
      <c r="D193" s="9"/>
      <c r="E193" s="9" t="str">
        <f t="shared" ref="E193:E198" si="32">UPPER(K193)</f>
        <v>PHATCHARA CHATTUPOT</v>
      </c>
      <c r="F193" s="9"/>
      <c r="G193" s="3"/>
      <c r="H193" s="3"/>
      <c r="I193" s="90" t="s">
        <v>283</v>
      </c>
      <c r="J193" s="3"/>
      <c r="K193" s="87" t="s">
        <v>682</v>
      </c>
      <c r="L193" s="3"/>
      <c r="M193" s="8"/>
      <c r="N193" s="3"/>
      <c r="O193" s="90" t="s">
        <v>283</v>
      </c>
      <c r="P193" s="3"/>
      <c r="Q193" s="87" t="s">
        <v>682</v>
      </c>
      <c r="R193" s="3"/>
    </row>
    <row r="194" spans="1:18" ht="12.75">
      <c r="A194" s="14"/>
      <c r="B194" s="9"/>
      <c r="C194" s="10" t="str">
        <f t="shared" si="31"/>
        <v/>
      </c>
      <c r="D194" s="9"/>
      <c r="E194" s="9" t="str">
        <f t="shared" si="32"/>
        <v>PHATTARAPON CHOORUJIPORN</v>
      </c>
      <c r="F194" s="9"/>
      <c r="G194" s="3"/>
      <c r="H194" s="3"/>
      <c r="I194" s="8"/>
      <c r="J194" s="3"/>
      <c r="K194" s="87" t="s">
        <v>683</v>
      </c>
      <c r="L194" s="3"/>
      <c r="M194" s="8"/>
      <c r="N194" s="3"/>
      <c r="O194" s="8"/>
      <c r="P194" s="3"/>
      <c r="Q194" s="87" t="s">
        <v>683</v>
      </c>
      <c r="R194" s="3"/>
    </row>
    <row r="195" spans="1:18" ht="12.75">
      <c r="A195" s="14"/>
      <c r="B195" s="9"/>
      <c r="C195" s="10" t="str">
        <f t="shared" si="31"/>
        <v/>
      </c>
      <c r="D195" s="9"/>
      <c r="E195" s="9" t="str">
        <f t="shared" si="32"/>
        <v>WITCHAYUT PIAMBANCHONG</v>
      </c>
      <c r="F195" s="9"/>
      <c r="G195" s="3"/>
      <c r="H195" s="3"/>
      <c r="I195" s="8"/>
      <c r="J195" s="3"/>
      <c r="K195" s="87" t="s">
        <v>684</v>
      </c>
      <c r="L195" s="3"/>
      <c r="M195" s="8"/>
      <c r="N195" s="3"/>
      <c r="O195" s="8"/>
      <c r="P195" s="3"/>
      <c r="Q195" s="87" t="s">
        <v>684</v>
      </c>
      <c r="R195" s="3"/>
    </row>
    <row r="196" spans="1:18" ht="12.75">
      <c r="A196" s="14"/>
      <c r="B196" s="9"/>
      <c r="C196" s="10" t="str">
        <f t="shared" si="31"/>
        <v/>
      </c>
      <c r="D196" s="9"/>
      <c r="E196" s="9" t="str">
        <f t="shared" si="32"/>
        <v>NUTCHA LAOHAPATCHARIN</v>
      </c>
      <c r="F196" s="9"/>
      <c r="G196" s="3"/>
      <c r="H196" s="3"/>
      <c r="I196" s="8"/>
      <c r="J196" s="3"/>
      <c r="K196" s="87" t="s">
        <v>685</v>
      </c>
      <c r="L196" s="3"/>
      <c r="M196" s="8"/>
      <c r="N196" s="3"/>
      <c r="O196" s="8"/>
      <c r="P196" s="3"/>
      <c r="Q196" s="87" t="s">
        <v>685</v>
      </c>
      <c r="R196" s="3"/>
    </row>
    <row r="197" spans="1:18" ht="12.75">
      <c r="A197" s="14"/>
      <c r="B197" s="9"/>
      <c r="C197" s="10" t="str">
        <f t="shared" si="31"/>
        <v/>
      </c>
      <c r="D197" s="9"/>
      <c r="E197" s="9" t="str">
        <f t="shared" si="32"/>
        <v>PHATCHARAPOOM DAIDEE</v>
      </c>
      <c r="F197" s="9"/>
      <c r="G197" s="3"/>
      <c r="H197" s="3"/>
      <c r="I197" s="8"/>
      <c r="J197" s="3"/>
      <c r="K197" s="87" t="s">
        <v>686</v>
      </c>
      <c r="L197" s="3"/>
      <c r="M197" s="8"/>
      <c r="N197" s="3"/>
      <c r="O197" s="8"/>
      <c r="P197" s="3"/>
      <c r="Q197" s="87" t="s">
        <v>686</v>
      </c>
      <c r="R197" s="3"/>
    </row>
    <row r="198" spans="1:18" ht="12.75">
      <c r="A198" s="14"/>
      <c r="B198" s="9"/>
      <c r="C198" s="10" t="str">
        <f t="shared" si="31"/>
        <v/>
      </c>
      <c r="D198" s="9"/>
      <c r="E198" s="9" t="str">
        <f t="shared" si="32"/>
        <v/>
      </c>
      <c r="F198" s="9"/>
      <c r="G198" s="3"/>
      <c r="H198" s="3"/>
      <c r="I198" s="8"/>
      <c r="J198" s="3"/>
      <c r="K198" s="87"/>
      <c r="L198" s="3"/>
      <c r="M198" s="8"/>
      <c r="N198" s="3"/>
      <c r="O198" s="8"/>
      <c r="P198" s="3"/>
      <c r="Q198" s="31" t="s">
        <v>289</v>
      </c>
      <c r="R198" s="3"/>
    </row>
    <row r="199" spans="1:18" ht="12.75">
      <c r="A199" s="14"/>
      <c r="B199" s="11"/>
      <c r="C199" s="12"/>
      <c r="D199" s="11"/>
      <c r="E199" s="11"/>
      <c r="F199" s="11"/>
      <c r="G199" s="3"/>
      <c r="H199" s="3"/>
      <c r="I199" s="8"/>
      <c r="J199" s="3"/>
      <c r="K199" s="13"/>
      <c r="L199" s="3"/>
      <c r="M199" s="8"/>
      <c r="N199" s="8"/>
      <c r="O199" s="8"/>
      <c r="P199" s="3"/>
      <c r="Q199" s="3"/>
      <c r="R199" s="3"/>
    </row>
    <row r="200" spans="1:18" ht="15">
      <c r="A200" s="14"/>
      <c r="B200" s="6"/>
      <c r="C200" s="6"/>
      <c r="D200" s="6"/>
      <c r="E200" s="6"/>
      <c r="F200" s="6"/>
      <c r="G200" s="3"/>
      <c r="H200" s="7"/>
      <c r="I200" s="8"/>
      <c r="J200" s="7"/>
      <c r="K200" s="13"/>
      <c r="L200" s="7"/>
      <c r="M200" s="8"/>
      <c r="N200" s="8"/>
      <c r="O200" s="8"/>
      <c r="P200" s="3"/>
      <c r="Q200" s="3"/>
      <c r="R200" s="3"/>
    </row>
    <row r="201" spans="1:18" ht="18">
      <c r="A201" s="14"/>
      <c r="B201" s="150" t="str">
        <f>UPPER(H201)</f>
        <v>ANIMATION</v>
      </c>
      <c r="C201" s="141"/>
      <c r="D201" s="141"/>
      <c r="E201" s="141"/>
      <c r="F201" s="141"/>
      <c r="G201" s="28"/>
      <c r="H201" s="167" t="s">
        <v>290</v>
      </c>
      <c r="I201" s="141"/>
      <c r="J201" s="141"/>
      <c r="K201" s="141"/>
      <c r="L201" s="141"/>
      <c r="M201" s="29"/>
      <c r="N201" s="149" t="s">
        <v>832</v>
      </c>
      <c r="O201" s="141"/>
      <c r="P201" s="141"/>
      <c r="Q201" s="141"/>
      <c r="R201" s="141"/>
    </row>
    <row r="202" spans="1:18" ht="12.75">
      <c r="A202" s="14"/>
      <c r="B202" s="9"/>
      <c r="C202" s="10" t="str">
        <f>UPPER(I202)</f>
        <v>ANIMATION DIRECTOR</v>
      </c>
      <c r="D202" s="9"/>
      <c r="E202" s="9" t="str">
        <f>UPPER(K202)</f>
        <v>JONGEUN LEE</v>
      </c>
      <c r="F202" s="9"/>
      <c r="G202" s="3"/>
      <c r="H202" s="3"/>
      <c r="I202" s="8" t="s">
        <v>291</v>
      </c>
      <c r="J202" s="3"/>
      <c r="K202" s="3" t="s">
        <v>292</v>
      </c>
      <c r="L202" s="3"/>
      <c r="M202" s="8"/>
      <c r="N202" s="3"/>
      <c r="O202" s="8" t="s">
        <v>833</v>
      </c>
      <c r="P202" s="3"/>
      <c r="Q202" s="3" t="s">
        <v>834</v>
      </c>
      <c r="R202" s="3"/>
    </row>
    <row r="203" spans="1:18" ht="12.75">
      <c r="A203" s="14"/>
      <c r="B203" s="9"/>
      <c r="C203" s="10"/>
      <c r="D203" s="9"/>
      <c r="E203" s="9"/>
      <c r="F203" s="9"/>
      <c r="G203" s="3"/>
      <c r="H203" s="3"/>
      <c r="I203" s="8"/>
      <c r="J203" s="3"/>
      <c r="K203" s="13"/>
      <c r="L203" s="3"/>
      <c r="M203" s="8"/>
      <c r="N203" s="8"/>
      <c r="O203" s="8"/>
      <c r="P203" s="3"/>
      <c r="Q203" s="3"/>
      <c r="R203" s="3"/>
    </row>
    <row r="204" spans="1:18" ht="12.75">
      <c r="A204" s="14"/>
      <c r="B204" s="9"/>
      <c r="C204" s="10" t="str">
        <f>UPPER(I204)</f>
        <v/>
      </c>
      <c r="D204" s="9"/>
      <c r="E204" s="9" t="str">
        <f t="shared" ref="E204:E205" si="33">UPPER(K204)</f>
        <v/>
      </c>
      <c r="F204" s="9"/>
      <c r="G204" s="3"/>
      <c r="H204" s="3"/>
      <c r="I204" s="5"/>
      <c r="J204" s="5"/>
      <c r="K204" s="5"/>
      <c r="L204" s="3"/>
      <c r="M204" s="8"/>
      <c r="N204" s="8"/>
      <c r="O204" s="8"/>
      <c r="P204" s="3"/>
      <c r="Q204" s="3"/>
      <c r="R204" s="3"/>
    </row>
    <row r="205" spans="1:18" ht="12.75">
      <c r="A205" s="14"/>
      <c r="B205" s="9"/>
      <c r="C205" s="10"/>
      <c r="D205" s="9"/>
      <c r="E205" s="9" t="str">
        <f t="shared" si="33"/>
        <v/>
      </c>
      <c r="F205" s="9"/>
      <c r="G205" s="3"/>
      <c r="H205" s="3"/>
      <c r="I205" s="5"/>
      <c r="J205" s="5"/>
      <c r="K205" s="5"/>
      <c r="L205" s="3"/>
      <c r="M205" s="8"/>
      <c r="N205" s="8"/>
      <c r="O205" s="8"/>
      <c r="P205" s="3"/>
      <c r="Q205" s="3"/>
      <c r="R205" s="3"/>
    </row>
    <row r="206" spans="1:18" ht="15">
      <c r="A206" s="14"/>
      <c r="B206" s="146" t="str">
        <f>UPPER(H206)</f>
        <v>THE MONK STUDIOS</v>
      </c>
      <c r="C206" s="141"/>
      <c r="D206" s="141"/>
      <c r="E206" s="141"/>
      <c r="F206" s="141"/>
      <c r="G206" s="3"/>
      <c r="H206" s="149" t="s">
        <v>202</v>
      </c>
      <c r="I206" s="141"/>
      <c r="J206" s="141"/>
      <c r="K206" s="141"/>
      <c r="L206" s="141"/>
      <c r="M206" s="8"/>
      <c r="N206" s="149" t="s">
        <v>202</v>
      </c>
      <c r="O206" s="141"/>
      <c r="P206" s="141"/>
      <c r="Q206" s="141"/>
      <c r="R206" s="141"/>
    </row>
    <row r="207" spans="1:18" ht="12.75">
      <c r="A207" s="14"/>
      <c r="B207" s="9"/>
      <c r="C207" s="10" t="str">
        <f t="shared" ref="C207:C213" si="34">UPPER(I207)</f>
        <v>ANIMATION DIRECTOR</v>
      </c>
      <c r="D207" s="9"/>
      <c r="E207" s="9" t="str">
        <f t="shared" ref="E207:E223" si="35">UPPER(K207)</f>
        <v>SUPAPORN KLONGPHAJONKIT</v>
      </c>
      <c r="F207" s="9"/>
      <c r="G207" s="3"/>
      <c r="H207" s="3"/>
      <c r="I207" s="90" t="s">
        <v>291</v>
      </c>
      <c r="J207" s="3"/>
      <c r="K207" s="87" t="s">
        <v>303</v>
      </c>
      <c r="L207" s="3"/>
      <c r="M207" s="8"/>
      <c r="N207" s="3"/>
      <c r="O207" s="90" t="s">
        <v>291</v>
      </c>
      <c r="P207" s="3"/>
      <c r="Q207" s="87" t="s">
        <v>303</v>
      </c>
      <c r="R207" s="3"/>
    </row>
    <row r="208" spans="1:18" ht="12.75">
      <c r="A208" s="14"/>
      <c r="B208" s="9"/>
      <c r="C208" s="10" t="str">
        <f t="shared" si="34"/>
        <v/>
      </c>
      <c r="D208" s="9"/>
      <c r="E208" s="9" t="str">
        <f t="shared" si="35"/>
        <v/>
      </c>
      <c r="F208" s="9"/>
      <c r="G208" s="3"/>
      <c r="H208" s="3"/>
      <c r="I208" s="90"/>
      <c r="J208" s="3"/>
      <c r="K208" s="87"/>
      <c r="L208" s="3"/>
      <c r="M208" s="8"/>
      <c r="N208" s="3"/>
      <c r="O208" s="90"/>
      <c r="P208" s="3"/>
      <c r="Q208" s="87"/>
      <c r="R208" s="3"/>
    </row>
    <row r="209" spans="1:18" ht="12.75">
      <c r="A209" s="14"/>
      <c r="B209" s="9"/>
      <c r="C209" s="10" t="str">
        <f t="shared" si="34"/>
        <v>ANIMATION SUPERVISOR</v>
      </c>
      <c r="D209" s="9"/>
      <c r="E209" s="9" t="str">
        <f t="shared" si="35"/>
        <v>CHET JEAMKITRUNG</v>
      </c>
      <c r="F209" s="9"/>
      <c r="G209" s="3"/>
      <c r="H209" s="3"/>
      <c r="I209" s="90" t="s">
        <v>293</v>
      </c>
      <c r="J209" s="3"/>
      <c r="K209" s="87" t="s">
        <v>304</v>
      </c>
      <c r="L209" s="3"/>
      <c r="M209" s="8"/>
      <c r="N209" s="3"/>
      <c r="O209" s="90" t="s">
        <v>293</v>
      </c>
      <c r="P209" s="3"/>
      <c r="Q209" s="87" t="s">
        <v>304</v>
      </c>
      <c r="R209" s="3"/>
    </row>
    <row r="210" spans="1:18" ht="12.75">
      <c r="A210" s="14"/>
      <c r="B210" s="9"/>
      <c r="C210" s="10" t="str">
        <f t="shared" si="34"/>
        <v/>
      </c>
      <c r="D210" s="9"/>
      <c r="E210" s="9" t="str">
        <f t="shared" si="35"/>
        <v>DONNAPAT CHANTAVICHANUWONG</v>
      </c>
      <c r="F210" s="9"/>
      <c r="G210" s="3"/>
      <c r="H210" s="3"/>
      <c r="I210" s="90"/>
      <c r="J210" s="3"/>
      <c r="K210" s="87" t="s">
        <v>305</v>
      </c>
      <c r="L210" s="3"/>
      <c r="M210" s="8"/>
      <c r="N210" s="3"/>
      <c r="O210" s="90"/>
      <c r="P210" s="3"/>
      <c r="Q210" s="87" t="s">
        <v>305</v>
      </c>
      <c r="R210" s="3"/>
    </row>
    <row r="211" spans="1:18" ht="12.75">
      <c r="A211" s="14"/>
      <c r="B211" s="9"/>
      <c r="C211" s="10" t="str">
        <f t="shared" si="34"/>
        <v/>
      </c>
      <c r="D211" s="9"/>
      <c r="E211" s="9" t="str">
        <f t="shared" si="35"/>
        <v/>
      </c>
      <c r="F211" s="9"/>
      <c r="G211" s="3"/>
      <c r="H211" s="3"/>
      <c r="I211" s="90"/>
      <c r="J211" s="3"/>
      <c r="K211" s="87"/>
      <c r="L211" s="3"/>
      <c r="M211" s="8"/>
      <c r="N211" s="3"/>
      <c r="O211" s="90"/>
      <c r="P211" s="3"/>
      <c r="Q211" s="87"/>
      <c r="R211" s="3"/>
    </row>
    <row r="212" spans="1:18" ht="12.75">
      <c r="A212" s="14"/>
      <c r="B212" s="9"/>
      <c r="C212" s="10" t="str">
        <f t="shared" si="34"/>
        <v>ANIMATOR</v>
      </c>
      <c r="D212" s="9"/>
      <c r="E212" s="9" t="str">
        <f t="shared" si="35"/>
        <v>WANATCHAPORN JANTARAPITAK</v>
      </c>
      <c r="F212" s="9"/>
      <c r="G212" s="3"/>
      <c r="H212" s="3"/>
      <c r="I212" s="90" t="s">
        <v>296</v>
      </c>
      <c r="J212" s="3"/>
      <c r="K212" s="87" t="s">
        <v>654</v>
      </c>
      <c r="L212" s="3"/>
      <c r="M212" s="8"/>
      <c r="N212" s="3"/>
      <c r="O212" s="90" t="s">
        <v>296</v>
      </c>
      <c r="P212" s="3"/>
      <c r="Q212" s="87" t="s">
        <v>654</v>
      </c>
      <c r="R212" s="3"/>
    </row>
    <row r="213" spans="1:18" ht="12.75">
      <c r="A213" s="14"/>
      <c r="B213" s="9"/>
      <c r="C213" s="10" t="str">
        <f t="shared" si="34"/>
        <v/>
      </c>
      <c r="D213" s="9"/>
      <c r="E213" s="9" t="str">
        <f t="shared" si="35"/>
        <v>SUPICHA SITTI</v>
      </c>
      <c r="F213" s="9"/>
      <c r="G213" s="3"/>
      <c r="H213" s="3"/>
      <c r="I213" s="8"/>
      <c r="J213" s="3"/>
      <c r="K213" s="87" t="s">
        <v>322</v>
      </c>
      <c r="L213" s="3"/>
      <c r="M213" s="8"/>
      <c r="N213" s="3"/>
      <c r="O213" s="8"/>
      <c r="P213" s="3"/>
      <c r="Q213" s="87" t="s">
        <v>322</v>
      </c>
      <c r="R213" s="3"/>
    </row>
    <row r="214" spans="1:18" ht="12.75">
      <c r="A214" s="14"/>
      <c r="B214" s="9"/>
      <c r="C214" s="10"/>
      <c r="D214" s="9"/>
      <c r="E214" s="9" t="str">
        <f t="shared" si="35"/>
        <v>NANTATCHAPORN MATTARAS</v>
      </c>
      <c r="F214" s="9"/>
      <c r="G214" s="3"/>
      <c r="H214" s="3"/>
      <c r="I214" s="8"/>
      <c r="J214" s="3"/>
      <c r="K214" s="87" t="s">
        <v>311</v>
      </c>
      <c r="L214" s="3"/>
      <c r="M214" s="8"/>
      <c r="N214" s="3"/>
      <c r="O214" s="8"/>
      <c r="P214" s="3"/>
      <c r="Q214" s="87" t="s">
        <v>311</v>
      </c>
      <c r="R214" s="3"/>
    </row>
    <row r="215" spans="1:18" ht="12.75">
      <c r="A215" s="14"/>
      <c r="B215" s="9"/>
      <c r="C215" s="10"/>
      <c r="D215" s="9"/>
      <c r="E215" s="9" t="str">
        <f t="shared" si="35"/>
        <v>NATTAWUT TONGPOR</v>
      </c>
      <c r="F215" s="9"/>
      <c r="G215" s="3"/>
      <c r="H215" s="3"/>
      <c r="I215" s="8"/>
      <c r="J215" s="3"/>
      <c r="K215" s="87" t="s">
        <v>314</v>
      </c>
      <c r="L215" s="3"/>
      <c r="M215" s="8"/>
      <c r="N215" s="3"/>
      <c r="O215" s="8"/>
      <c r="P215" s="3"/>
      <c r="Q215" s="87" t="s">
        <v>314</v>
      </c>
      <c r="R215" s="3"/>
    </row>
    <row r="216" spans="1:18" ht="12.75">
      <c r="A216" s="14"/>
      <c r="B216" s="9"/>
      <c r="C216" s="10"/>
      <c r="D216" s="9"/>
      <c r="E216" s="9" t="str">
        <f t="shared" si="35"/>
        <v>KORAPATH WUNCHUM</v>
      </c>
      <c r="F216" s="9"/>
      <c r="G216" s="3"/>
      <c r="H216" s="3"/>
      <c r="I216" s="8"/>
      <c r="J216" s="3"/>
      <c r="K216" s="87" t="s">
        <v>310</v>
      </c>
      <c r="L216" s="3"/>
      <c r="M216" s="8"/>
      <c r="N216" s="3"/>
      <c r="O216" s="8"/>
      <c r="P216" s="3"/>
      <c r="Q216" s="87" t="s">
        <v>310</v>
      </c>
      <c r="R216" s="3"/>
    </row>
    <row r="217" spans="1:18" ht="12.75">
      <c r="A217" s="14"/>
      <c r="B217" s="9"/>
      <c r="C217" s="10"/>
      <c r="D217" s="9"/>
      <c r="E217" s="9" t="str">
        <f t="shared" si="35"/>
        <v>PETCH SORNSIRI</v>
      </c>
      <c r="F217" s="9"/>
      <c r="G217" s="3"/>
      <c r="H217" s="3"/>
      <c r="I217" s="8"/>
      <c r="J217" s="3"/>
      <c r="K217" s="87" t="s">
        <v>318</v>
      </c>
      <c r="L217" s="3"/>
      <c r="M217" s="8"/>
      <c r="N217" s="3"/>
      <c r="O217" s="8"/>
      <c r="P217" s="3"/>
      <c r="Q217" s="87" t="s">
        <v>318</v>
      </c>
      <c r="R217" s="3"/>
    </row>
    <row r="218" spans="1:18" ht="12.75">
      <c r="A218" s="14"/>
      <c r="B218" s="9"/>
      <c r="C218" s="10"/>
      <c r="D218" s="9"/>
      <c r="E218" s="9" t="str">
        <f t="shared" si="35"/>
        <v>KHWANCHANOK LAEPET</v>
      </c>
      <c r="F218" s="9"/>
      <c r="G218" s="3"/>
      <c r="H218" s="3"/>
      <c r="I218" s="8"/>
      <c r="J218" s="3"/>
      <c r="K218" s="87" t="s">
        <v>309</v>
      </c>
      <c r="L218" s="3"/>
      <c r="M218" s="8"/>
      <c r="N218" s="3"/>
      <c r="O218" s="8"/>
      <c r="P218" s="3"/>
      <c r="Q218" s="87" t="s">
        <v>309</v>
      </c>
      <c r="R218" s="3"/>
    </row>
    <row r="219" spans="1:18" ht="12.75">
      <c r="A219" s="14"/>
      <c r="B219" s="9"/>
      <c r="C219" s="10"/>
      <c r="D219" s="9"/>
      <c r="E219" s="9" t="str">
        <f t="shared" si="35"/>
        <v>CHATTRIYA THATAYU</v>
      </c>
      <c r="F219" s="9"/>
      <c r="G219" s="3"/>
      <c r="H219" s="3"/>
      <c r="I219" s="8"/>
      <c r="J219" s="3"/>
      <c r="K219" s="87" t="s">
        <v>306</v>
      </c>
      <c r="L219" s="3"/>
      <c r="M219" s="8"/>
      <c r="N219" s="3"/>
      <c r="O219" s="8"/>
      <c r="P219" s="3"/>
      <c r="Q219" s="87" t="s">
        <v>306</v>
      </c>
      <c r="R219" s="3"/>
    </row>
    <row r="220" spans="1:18" ht="12.75">
      <c r="A220" s="14"/>
      <c r="B220" s="9"/>
      <c r="C220" s="10"/>
      <c r="D220" s="9"/>
      <c r="E220" s="9" t="str">
        <f t="shared" si="35"/>
        <v>SARUT PONGSRI</v>
      </c>
      <c r="F220" s="9"/>
      <c r="G220" s="3"/>
      <c r="H220" s="3"/>
      <c r="I220" s="8"/>
      <c r="J220" s="3"/>
      <c r="K220" s="87" t="s">
        <v>321</v>
      </c>
      <c r="L220" s="3"/>
      <c r="M220" s="8"/>
      <c r="N220" s="3"/>
      <c r="O220" s="8"/>
      <c r="P220" s="3"/>
      <c r="Q220" s="87" t="s">
        <v>321</v>
      </c>
      <c r="R220" s="3"/>
    </row>
    <row r="221" spans="1:18" ht="12.75">
      <c r="A221" s="14"/>
      <c r="B221" s="9"/>
      <c r="C221" s="10"/>
      <c r="D221" s="9"/>
      <c r="E221" s="9" t="str">
        <f t="shared" si="35"/>
        <v>NATTAWAT TADNOOM</v>
      </c>
      <c r="F221" s="9"/>
      <c r="G221" s="3"/>
      <c r="H221" s="3"/>
      <c r="I221" s="8"/>
      <c r="J221" s="3"/>
      <c r="K221" s="87" t="s">
        <v>313</v>
      </c>
      <c r="L221" s="3"/>
      <c r="M221" s="8"/>
      <c r="N221" s="3"/>
      <c r="O221" s="8"/>
      <c r="P221" s="3"/>
      <c r="Q221" s="87" t="s">
        <v>313</v>
      </c>
      <c r="R221" s="3"/>
    </row>
    <row r="222" spans="1:18" ht="12.75">
      <c r="A222" s="14"/>
      <c r="B222" s="9"/>
      <c r="C222" s="10"/>
      <c r="D222" s="9"/>
      <c r="E222" s="9" t="str">
        <f t="shared" si="35"/>
        <v>NATTACHAI KANOKSINSOMBOON</v>
      </c>
      <c r="F222" s="9"/>
      <c r="G222" s="3"/>
      <c r="H222" s="3"/>
      <c r="I222" s="8"/>
      <c r="J222" s="3"/>
      <c r="K222" s="87" t="s">
        <v>312</v>
      </c>
      <c r="L222" s="3"/>
      <c r="M222" s="8"/>
      <c r="N222" s="3"/>
      <c r="O222" s="8"/>
      <c r="P222" s="3"/>
      <c r="Q222" s="87" t="s">
        <v>312</v>
      </c>
      <c r="R222" s="3"/>
    </row>
    <row r="223" spans="1:18" ht="12.75">
      <c r="A223" s="14"/>
      <c r="B223" s="9"/>
      <c r="C223" s="10"/>
      <c r="D223" s="9"/>
      <c r="E223" s="9" t="str">
        <f t="shared" si="35"/>
        <v/>
      </c>
      <c r="F223" s="9"/>
      <c r="G223" s="3"/>
      <c r="H223" s="3"/>
      <c r="I223" s="8"/>
      <c r="J223" s="3"/>
      <c r="K223" s="87"/>
      <c r="L223" s="3"/>
      <c r="M223" s="8"/>
      <c r="N223" s="8"/>
      <c r="O223" s="8"/>
      <c r="P223" s="3"/>
      <c r="Q223" s="3"/>
      <c r="R223" s="3"/>
    </row>
    <row r="224" spans="1:18" ht="15">
      <c r="A224" s="14"/>
      <c r="B224" s="26"/>
      <c r="C224" s="26"/>
      <c r="D224" s="26"/>
      <c r="E224" s="26"/>
      <c r="F224" s="26"/>
      <c r="G224" s="3"/>
      <c r="H224" s="5"/>
      <c r="I224" s="5"/>
      <c r="J224" s="5"/>
      <c r="K224" s="5"/>
      <c r="L224" s="5"/>
      <c r="M224" s="8"/>
      <c r="N224" s="8"/>
      <c r="O224" s="8"/>
      <c r="P224" s="3"/>
      <c r="Q224" s="3"/>
      <c r="R224" s="3"/>
    </row>
    <row r="225" spans="1:18" ht="15">
      <c r="A225" s="14"/>
      <c r="B225" s="6"/>
      <c r="C225" s="6"/>
      <c r="D225" s="6"/>
      <c r="E225" s="6"/>
      <c r="F225" s="6"/>
      <c r="G225" s="3"/>
      <c r="H225" s="5"/>
      <c r="I225" s="5"/>
      <c r="J225" s="5"/>
      <c r="K225" s="5"/>
      <c r="L225" s="5"/>
      <c r="M225" s="8"/>
      <c r="N225" s="8"/>
      <c r="O225" s="8"/>
      <c r="P225" s="3"/>
      <c r="Q225" s="3"/>
      <c r="R225" s="3"/>
    </row>
    <row r="226" spans="1:18" ht="18">
      <c r="A226" s="14"/>
      <c r="B226" s="150" t="str">
        <f t="shared" ref="B226:B227" si="36">UPPER(H226)</f>
        <v>ANIMATION</v>
      </c>
      <c r="C226" s="141"/>
      <c r="D226" s="141"/>
      <c r="E226" s="141"/>
      <c r="F226" s="141"/>
      <c r="G226" s="28"/>
      <c r="H226" s="167" t="s">
        <v>290</v>
      </c>
      <c r="I226" s="141"/>
      <c r="J226" s="141"/>
      <c r="K226" s="141"/>
      <c r="L226" s="141"/>
      <c r="M226" s="8"/>
      <c r="N226" s="149" t="s">
        <v>832</v>
      </c>
      <c r="O226" s="141"/>
      <c r="P226" s="141"/>
      <c r="Q226" s="141"/>
      <c r="R226" s="141"/>
    </row>
    <row r="227" spans="1:18" ht="15">
      <c r="A227" s="14"/>
      <c r="B227" s="146" t="str">
        <f t="shared" si="36"/>
        <v>THE MONK STUDIOS</v>
      </c>
      <c r="C227" s="141"/>
      <c r="D227" s="141"/>
      <c r="E227" s="141"/>
      <c r="F227" s="141"/>
      <c r="G227" s="3"/>
      <c r="H227" s="149" t="s">
        <v>202</v>
      </c>
      <c r="I227" s="141"/>
      <c r="J227" s="141"/>
      <c r="K227" s="141"/>
      <c r="L227" s="141"/>
      <c r="M227" s="8"/>
      <c r="N227" s="149" t="s">
        <v>202</v>
      </c>
      <c r="O227" s="141"/>
      <c r="P227" s="141"/>
      <c r="Q227" s="141"/>
      <c r="R227" s="141"/>
    </row>
    <row r="228" spans="1:18" ht="12.75">
      <c r="A228" s="14"/>
      <c r="B228" s="9"/>
      <c r="C228" s="10"/>
      <c r="D228" s="9"/>
      <c r="E228" s="9"/>
      <c r="F228" s="9"/>
      <c r="G228" s="3"/>
      <c r="H228" s="3"/>
      <c r="I228" s="90"/>
      <c r="J228" s="3"/>
      <c r="K228" s="87"/>
      <c r="L228" s="3"/>
      <c r="M228" s="8"/>
      <c r="N228" s="3"/>
      <c r="O228" s="90"/>
      <c r="P228" s="3"/>
      <c r="Q228" s="87"/>
      <c r="R228" s="3"/>
    </row>
    <row r="229" spans="1:18" ht="12.75">
      <c r="A229" s="14"/>
      <c r="B229" s="9"/>
      <c r="C229" s="10" t="str">
        <f>UPPER(I229)</f>
        <v>ANIMATOR</v>
      </c>
      <c r="D229" s="9"/>
      <c r="E229" s="9" t="str">
        <f t="shared" ref="E229:E249" si="37">UPPER(K229)</f>
        <v>NAVATEP DANKAO</v>
      </c>
      <c r="F229" s="9"/>
      <c r="G229" s="3"/>
      <c r="H229" s="3"/>
      <c r="I229" s="90" t="s">
        <v>296</v>
      </c>
      <c r="J229" s="3"/>
      <c r="K229" s="87" t="s">
        <v>315</v>
      </c>
      <c r="L229" s="3"/>
      <c r="M229" s="8"/>
      <c r="N229" s="3"/>
      <c r="O229" s="90" t="s">
        <v>296</v>
      </c>
      <c r="P229" s="3"/>
      <c r="Q229" s="87" t="s">
        <v>315</v>
      </c>
      <c r="R229" s="3"/>
    </row>
    <row r="230" spans="1:18" ht="12.75">
      <c r="A230" s="14"/>
      <c r="B230" s="9"/>
      <c r="C230" s="10"/>
      <c r="D230" s="9"/>
      <c r="E230" s="9" t="str">
        <f t="shared" si="37"/>
        <v>JATURATHEP KONGKHIAW</v>
      </c>
      <c r="F230" s="9"/>
      <c r="G230" s="3"/>
      <c r="H230" s="3"/>
      <c r="I230" s="8"/>
      <c r="J230" s="3"/>
      <c r="K230" s="87" t="s">
        <v>307</v>
      </c>
      <c r="L230" s="3"/>
      <c r="M230" s="8"/>
      <c r="N230" s="3"/>
      <c r="O230" s="8"/>
      <c r="P230" s="3"/>
      <c r="Q230" s="87" t="s">
        <v>307</v>
      </c>
      <c r="R230" s="3"/>
    </row>
    <row r="231" spans="1:18" ht="12.75">
      <c r="A231" s="14"/>
      <c r="B231" s="9"/>
      <c r="C231" s="10" t="str">
        <f t="shared" ref="C231:C232" si="38">UPPER(I231)</f>
        <v/>
      </c>
      <c r="D231" s="9"/>
      <c r="E231" s="9" t="str">
        <f t="shared" si="37"/>
        <v>PATTARAWUT JARUPRAMOTE</v>
      </c>
      <c r="F231" s="9"/>
      <c r="G231" s="3"/>
      <c r="H231" s="3"/>
      <c r="I231" s="8"/>
      <c r="J231" s="3"/>
      <c r="K231" s="87" t="s">
        <v>317</v>
      </c>
      <c r="L231" s="3"/>
      <c r="M231" s="8"/>
      <c r="N231" s="3"/>
      <c r="O231" s="8"/>
      <c r="P231" s="3"/>
      <c r="Q231" s="87" t="s">
        <v>317</v>
      </c>
      <c r="R231" s="3"/>
    </row>
    <row r="232" spans="1:18" ht="12.75">
      <c r="A232" s="14"/>
      <c r="B232" s="9"/>
      <c r="C232" s="10" t="str">
        <f t="shared" si="38"/>
        <v/>
      </c>
      <c r="D232" s="9"/>
      <c r="E232" s="9" t="str">
        <f t="shared" si="37"/>
        <v>RATCHATA DADUANG</v>
      </c>
      <c r="F232" s="9"/>
      <c r="G232" s="3"/>
      <c r="H232" s="3"/>
      <c r="I232" s="8"/>
      <c r="J232" s="3"/>
      <c r="K232" s="87" t="s">
        <v>319</v>
      </c>
      <c r="L232" s="3"/>
      <c r="M232" s="8"/>
      <c r="N232" s="3"/>
      <c r="O232" s="8"/>
      <c r="P232" s="3"/>
      <c r="Q232" s="87" t="s">
        <v>319</v>
      </c>
      <c r="R232" s="3"/>
    </row>
    <row r="233" spans="1:18" ht="12.75">
      <c r="A233" s="14"/>
      <c r="B233" s="9"/>
      <c r="C233" s="10"/>
      <c r="D233" s="9"/>
      <c r="E233" s="9" t="str">
        <f t="shared" si="37"/>
        <v>THARADON KHONGTHUENG</v>
      </c>
      <c r="F233" s="9"/>
      <c r="G233" s="3"/>
      <c r="H233" s="3"/>
      <c r="I233" s="8"/>
      <c r="J233" s="3"/>
      <c r="K233" s="87" t="s">
        <v>327</v>
      </c>
      <c r="L233" s="3"/>
      <c r="M233" s="8"/>
      <c r="N233" s="3"/>
      <c r="O233" s="8"/>
      <c r="P233" s="3"/>
      <c r="Q233" s="87" t="s">
        <v>327</v>
      </c>
      <c r="R233" s="3"/>
    </row>
    <row r="234" spans="1:18" ht="12.75">
      <c r="A234" s="14"/>
      <c r="B234" s="9"/>
      <c r="C234" s="10" t="str">
        <f t="shared" ref="C234:C246" si="39">UPPER(I234)</f>
        <v/>
      </c>
      <c r="D234" s="9"/>
      <c r="E234" s="9" t="str">
        <f t="shared" si="37"/>
        <v>TANADON SRISOMSONG</v>
      </c>
      <c r="F234" s="9"/>
      <c r="G234" s="3"/>
      <c r="H234" s="3"/>
      <c r="I234" s="8"/>
      <c r="J234" s="3"/>
      <c r="K234" s="87" t="s">
        <v>323</v>
      </c>
      <c r="L234" s="3"/>
      <c r="M234" s="8"/>
      <c r="N234" s="3"/>
      <c r="O234" s="8"/>
      <c r="P234" s="3"/>
      <c r="Q234" s="87" t="s">
        <v>323</v>
      </c>
      <c r="R234" s="3"/>
    </row>
    <row r="235" spans="1:18" ht="12.75">
      <c r="A235" s="14"/>
      <c r="B235" s="9"/>
      <c r="C235" s="10" t="str">
        <f t="shared" si="39"/>
        <v/>
      </c>
      <c r="D235" s="9"/>
      <c r="E235" s="9" t="str">
        <f t="shared" si="37"/>
        <v>KAMPHON NGERNSONG</v>
      </c>
      <c r="F235" s="9"/>
      <c r="G235" s="3"/>
      <c r="H235" s="3"/>
      <c r="I235" s="8"/>
      <c r="J235" s="3"/>
      <c r="K235" s="87" t="s">
        <v>308</v>
      </c>
      <c r="L235" s="3"/>
      <c r="M235" s="8"/>
      <c r="N235" s="3"/>
      <c r="O235" s="8"/>
      <c r="P235" s="3"/>
      <c r="Q235" s="87" t="s">
        <v>308</v>
      </c>
      <c r="R235" s="3"/>
    </row>
    <row r="236" spans="1:18" ht="12.75">
      <c r="A236" s="14"/>
      <c r="B236" s="9"/>
      <c r="C236" s="10" t="str">
        <f t="shared" si="39"/>
        <v/>
      </c>
      <c r="D236" s="9"/>
      <c r="E236" s="9" t="str">
        <f t="shared" si="37"/>
        <v>PARINYA SUPANNO</v>
      </c>
      <c r="F236" s="9"/>
      <c r="G236" s="3"/>
      <c r="H236" s="3"/>
      <c r="I236" s="8"/>
      <c r="J236" s="3"/>
      <c r="K236" s="87" t="s">
        <v>316</v>
      </c>
      <c r="L236" s="3"/>
      <c r="M236" s="8"/>
      <c r="N236" s="3"/>
      <c r="O236" s="8"/>
      <c r="P236" s="3"/>
      <c r="Q236" s="87" t="s">
        <v>316</v>
      </c>
      <c r="R236" s="3"/>
    </row>
    <row r="237" spans="1:18" ht="12.75">
      <c r="A237" s="14"/>
      <c r="B237" s="9"/>
      <c r="C237" s="10" t="str">
        <f t="shared" si="39"/>
        <v/>
      </c>
      <c r="D237" s="9"/>
      <c r="E237" s="9" t="str">
        <f t="shared" si="37"/>
        <v>THANAPHA YANA</v>
      </c>
      <c r="F237" s="9"/>
      <c r="G237" s="3"/>
      <c r="H237" s="3"/>
      <c r="I237" s="8"/>
      <c r="J237" s="3"/>
      <c r="K237" s="87" t="s">
        <v>326</v>
      </c>
      <c r="L237" s="3"/>
      <c r="M237" s="8"/>
      <c r="N237" s="3"/>
      <c r="O237" s="8"/>
      <c r="P237" s="3"/>
      <c r="Q237" s="87" t="s">
        <v>326</v>
      </c>
      <c r="R237" s="3"/>
    </row>
    <row r="238" spans="1:18" ht="12.75">
      <c r="A238" s="14"/>
      <c r="B238" s="9"/>
      <c r="C238" s="10" t="str">
        <f t="shared" si="39"/>
        <v/>
      </c>
      <c r="D238" s="9"/>
      <c r="E238" s="9" t="str">
        <f t="shared" si="37"/>
        <v>JIRAPORN SOONLIANG</v>
      </c>
      <c r="F238" s="9"/>
      <c r="G238" s="3"/>
      <c r="H238" s="3"/>
      <c r="I238" s="8"/>
      <c r="J238" s="3"/>
      <c r="K238" s="87" t="s">
        <v>329</v>
      </c>
      <c r="L238" s="3"/>
      <c r="M238" s="8"/>
      <c r="N238" s="3"/>
      <c r="O238" s="8"/>
      <c r="P238" s="3"/>
      <c r="Q238" s="87" t="s">
        <v>329</v>
      </c>
      <c r="R238" s="3"/>
    </row>
    <row r="239" spans="1:18" ht="12.75">
      <c r="A239" s="14"/>
      <c r="B239" s="9"/>
      <c r="C239" s="10" t="str">
        <f t="shared" si="39"/>
        <v/>
      </c>
      <c r="D239" s="9"/>
      <c r="E239" s="9" t="str">
        <f t="shared" si="37"/>
        <v>MONNATEE KULPANUN</v>
      </c>
      <c r="F239" s="9"/>
      <c r="G239" s="3"/>
      <c r="H239" s="3"/>
      <c r="I239" s="8"/>
      <c r="J239" s="3"/>
      <c r="K239" s="87" t="s">
        <v>328</v>
      </c>
      <c r="L239" s="3"/>
      <c r="M239" s="8"/>
      <c r="N239" s="3"/>
      <c r="O239" s="8"/>
      <c r="P239" s="3"/>
      <c r="Q239" s="87" t="s">
        <v>328</v>
      </c>
      <c r="R239" s="3"/>
    </row>
    <row r="240" spans="1:18" ht="12.75">
      <c r="A240" s="14"/>
      <c r="B240" s="9"/>
      <c r="C240" s="10" t="str">
        <f t="shared" si="39"/>
        <v/>
      </c>
      <c r="D240" s="9"/>
      <c r="E240" s="9" t="str">
        <f t="shared" si="37"/>
        <v>SUTHIROJ JAYASANANON</v>
      </c>
      <c r="F240" s="9"/>
      <c r="G240" s="3"/>
      <c r="H240" s="3"/>
      <c r="I240" s="8"/>
      <c r="J240" s="3"/>
      <c r="K240" s="87" t="s">
        <v>324</v>
      </c>
      <c r="L240" s="3"/>
      <c r="M240" s="8"/>
      <c r="N240" s="3"/>
      <c r="O240" s="8"/>
      <c r="P240" s="3"/>
      <c r="Q240" s="87" t="s">
        <v>324</v>
      </c>
      <c r="R240" s="3"/>
    </row>
    <row r="241" spans="1:18" ht="12.75">
      <c r="A241" s="14"/>
      <c r="B241" s="9"/>
      <c r="C241" s="10" t="str">
        <f t="shared" si="39"/>
        <v/>
      </c>
      <c r="D241" s="9"/>
      <c r="E241" s="9" t="str">
        <f t="shared" si="37"/>
        <v>WORAPON PONCHAICHAROENKIT</v>
      </c>
      <c r="F241" s="9"/>
      <c r="G241" s="3"/>
      <c r="H241" s="3"/>
      <c r="I241" s="8"/>
      <c r="J241" s="3"/>
      <c r="K241" s="87" t="s">
        <v>325</v>
      </c>
      <c r="L241" s="3"/>
      <c r="M241" s="8"/>
      <c r="N241" s="3"/>
      <c r="O241" s="8"/>
      <c r="P241" s="3"/>
      <c r="Q241" s="87" t="s">
        <v>325</v>
      </c>
      <c r="R241" s="3"/>
    </row>
    <row r="242" spans="1:18" ht="12.75">
      <c r="A242" s="14"/>
      <c r="B242" s="9"/>
      <c r="C242" s="10" t="str">
        <f t="shared" si="39"/>
        <v/>
      </c>
      <c r="D242" s="9"/>
      <c r="E242" s="9" t="str">
        <f t="shared" si="37"/>
        <v>TANAKRIT CHANRUNGRUEANG</v>
      </c>
      <c r="F242" s="9"/>
      <c r="G242" s="3"/>
      <c r="H242" s="3"/>
      <c r="I242" s="8"/>
      <c r="J242" s="3"/>
      <c r="K242" s="92" t="s">
        <v>693</v>
      </c>
      <c r="L242" s="3"/>
      <c r="M242" s="8"/>
      <c r="N242" s="3"/>
      <c r="O242" s="8"/>
      <c r="P242" s="3"/>
      <c r="Q242" s="92" t="s">
        <v>693</v>
      </c>
      <c r="R242" s="3"/>
    </row>
    <row r="243" spans="1:18" ht="12.75">
      <c r="A243" s="14"/>
      <c r="B243" s="9"/>
      <c r="C243" s="10" t="str">
        <f t="shared" si="39"/>
        <v/>
      </c>
      <c r="D243" s="9"/>
      <c r="E243" s="9" t="str">
        <f t="shared" si="37"/>
        <v>TANIN SENASUTTIPUN</v>
      </c>
      <c r="F243" s="9"/>
      <c r="G243" s="3"/>
      <c r="H243" s="3"/>
      <c r="I243" s="8"/>
      <c r="J243" s="3"/>
      <c r="K243" s="92" t="s">
        <v>734</v>
      </c>
      <c r="L243" s="3"/>
      <c r="M243" s="8"/>
      <c r="N243" s="3"/>
      <c r="O243" s="8"/>
      <c r="P243" s="3"/>
      <c r="Q243" s="92" t="s">
        <v>734</v>
      </c>
      <c r="R243" s="3"/>
    </row>
    <row r="244" spans="1:18" ht="12.75">
      <c r="A244" s="14"/>
      <c r="B244" s="9"/>
      <c r="C244" s="10" t="str">
        <f t="shared" si="39"/>
        <v/>
      </c>
      <c r="D244" s="9"/>
      <c r="E244" s="9" t="str">
        <f t="shared" si="37"/>
        <v>POKIN MANAUDOMSIN</v>
      </c>
      <c r="F244" s="9"/>
      <c r="G244" s="3"/>
      <c r="H244" s="3"/>
      <c r="I244" s="8"/>
      <c r="J244" s="3"/>
      <c r="K244" s="92" t="s">
        <v>735</v>
      </c>
      <c r="L244" s="3"/>
      <c r="M244" s="8"/>
      <c r="N244" s="3"/>
      <c r="O244" s="8"/>
      <c r="P244" s="3"/>
      <c r="Q244" s="92" t="s">
        <v>735</v>
      </c>
      <c r="R244" s="3"/>
    </row>
    <row r="245" spans="1:18" ht="12.75">
      <c r="A245" s="14"/>
      <c r="B245" s="9"/>
      <c r="C245" s="10" t="str">
        <f t="shared" si="39"/>
        <v/>
      </c>
      <c r="D245" s="9"/>
      <c r="E245" s="9" t="str">
        <f t="shared" si="37"/>
        <v>PASIN NAKIN</v>
      </c>
      <c r="F245" s="9"/>
      <c r="G245" s="3"/>
      <c r="H245" s="3"/>
      <c r="I245" s="8"/>
      <c r="J245" s="3"/>
      <c r="K245" s="89" t="s">
        <v>626</v>
      </c>
      <c r="L245" s="3"/>
      <c r="M245" s="8"/>
      <c r="N245" s="3"/>
      <c r="O245" s="8"/>
      <c r="P245" s="3"/>
      <c r="Q245" s="89" t="s">
        <v>626</v>
      </c>
      <c r="R245" s="3"/>
    </row>
    <row r="246" spans="1:18" ht="12.75">
      <c r="A246" s="14"/>
      <c r="B246" s="9"/>
      <c r="C246" s="10" t="str">
        <f t="shared" si="39"/>
        <v/>
      </c>
      <c r="D246" s="9"/>
      <c r="E246" s="9" t="str">
        <f t="shared" si="37"/>
        <v>CHANIDAPA SRISAWANG</v>
      </c>
      <c r="F246" s="9"/>
      <c r="G246" s="3"/>
      <c r="H246" s="3"/>
      <c r="I246" s="8"/>
      <c r="J246" s="3"/>
      <c r="K246" s="89" t="s">
        <v>687</v>
      </c>
      <c r="L246" s="3"/>
      <c r="M246" s="8"/>
      <c r="N246" s="3"/>
      <c r="O246" s="8"/>
      <c r="P246" s="3"/>
      <c r="Q246" s="89" t="s">
        <v>687</v>
      </c>
      <c r="R246" s="3"/>
    </row>
    <row r="247" spans="1:18" ht="12.75">
      <c r="A247" s="14"/>
      <c r="B247" s="9"/>
      <c r="C247" s="10"/>
      <c r="D247" s="9"/>
      <c r="E247" s="9" t="str">
        <f t="shared" si="37"/>
        <v>NAVARUJ PANYASING</v>
      </c>
      <c r="F247" s="9"/>
      <c r="G247" s="3"/>
      <c r="H247" s="3"/>
      <c r="I247" s="8"/>
      <c r="J247" s="3"/>
      <c r="K247" s="89" t="s">
        <v>690</v>
      </c>
      <c r="L247" s="3"/>
      <c r="M247" s="8"/>
      <c r="N247" s="3"/>
      <c r="O247" s="8"/>
      <c r="P247" s="3"/>
      <c r="Q247" s="89" t="s">
        <v>690</v>
      </c>
      <c r="R247" s="3"/>
    </row>
    <row r="248" spans="1:18" ht="12.75">
      <c r="A248" s="14"/>
      <c r="B248" s="9"/>
      <c r="C248" s="10"/>
      <c r="D248" s="9"/>
      <c r="E248" s="9" t="str">
        <f t="shared" si="37"/>
        <v>PISIT KITTIPUTTAPIM</v>
      </c>
      <c r="F248" s="9"/>
      <c r="G248" s="3"/>
      <c r="H248" s="3"/>
      <c r="I248" s="8"/>
      <c r="J248" s="3"/>
      <c r="K248" s="92" t="s">
        <v>691</v>
      </c>
      <c r="L248" s="3"/>
      <c r="M248" s="8"/>
      <c r="N248" s="3"/>
      <c r="O248" s="8"/>
      <c r="P248" s="3"/>
      <c r="Q248" s="92" t="s">
        <v>691</v>
      </c>
      <c r="R248" s="3"/>
    </row>
    <row r="249" spans="1:18" ht="12.75">
      <c r="A249" s="14"/>
      <c r="B249" s="9"/>
      <c r="C249" s="10"/>
      <c r="D249" s="9"/>
      <c r="E249" s="9" t="str">
        <f t="shared" si="37"/>
        <v>JADSADAPONG CHUNTHP</v>
      </c>
      <c r="F249" s="9"/>
      <c r="G249" s="3"/>
      <c r="H249" s="3"/>
      <c r="I249" s="8"/>
      <c r="J249" s="3"/>
      <c r="K249" s="89" t="s">
        <v>736</v>
      </c>
      <c r="L249" s="3"/>
      <c r="M249" s="8"/>
      <c r="N249" s="3"/>
      <c r="O249" s="8"/>
      <c r="P249" s="3"/>
      <c r="Q249" s="89" t="s">
        <v>736</v>
      </c>
      <c r="R249" s="3"/>
    </row>
    <row r="250" spans="1:18" ht="12.75">
      <c r="A250" s="14"/>
      <c r="B250" s="9"/>
      <c r="C250" s="10"/>
      <c r="D250" s="9"/>
      <c r="E250" s="9"/>
      <c r="F250" s="9"/>
      <c r="G250" s="3"/>
      <c r="H250" s="3"/>
      <c r="I250" s="8"/>
      <c r="J250" s="3"/>
      <c r="K250" s="87"/>
      <c r="L250" s="3"/>
      <c r="M250" s="8"/>
      <c r="N250" s="8"/>
      <c r="O250" s="8"/>
      <c r="P250" s="3"/>
      <c r="Q250" s="3"/>
      <c r="R250" s="3"/>
    </row>
    <row r="251" spans="1:18" ht="12.75">
      <c r="A251" s="14"/>
      <c r="B251" s="11"/>
      <c r="C251" s="12" t="str">
        <f>UPPER(I251)</f>
        <v/>
      </c>
      <c r="D251" s="11"/>
      <c r="E251" s="11" t="str">
        <f>UPPER(K251)</f>
        <v/>
      </c>
      <c r="F251" s="11"/>
      <c r="G251" s="3"/>
      <c r="H251" s="3"/>
      <c r="I251" s="8"/>
      <c r="J251" s="3"/>
      <c r="K251" s="13"/>
      <c r="L251" s="3"/>
      <c r="M251" s="3"/>
      <c r="N251" s="3"/>
      <c r="O251" s="8"/>
      <c r="P251" s="3"/>
      <c r="Q251" s="3"/>
      <c r="R251" s="3"/>
    </row>
    <row r="252" spans="1:18" ht="15">
      <c r="A252" s="14"/>
      <c r="B252" s="6"/>
      <c r="C252" s="6"/>
      <c r="D252" s="6"/>
      <c r="E252" s="6"/>
      <c r="F252" s="6"/>
      <c r="G252" s="3"/>
      <c r="H252" s="7"/>
      <c r="I252" s="8"/>
      <c r="J252" s="7"/>
      <c r="K252" s="13"/>
      <c r="L252" s="7"/>
      <c r="M252" s="8"/>
      <c r="N252" s="8"/>
      <c r="O252" s="8"/>
      <c r="P252" s="3"/>
      <c r="Q252" s="3"/>
      <c r="R252" s="3"/>
    </row>
    <row r="253" spans="1:18" ht="18">
      <c r="A253" s="14"/>
      <c r="B253" s="150" t="str">
        <f>UPPER(H253)</f>
        <v>LIGHTING / VFX / COMPOSITING</v>
      </c>
      <c r="C253" s="141"/>
      <c r="D253" s="141"/>
      <c r="E253" s="141"/>
      <c r="F253" s="141"/>
      <c r="G253" s="28"/>
      <c r="H253" s="167" t="s">
        <v>330</v>
      </c>
      <c r="I253" s="141"/>
      <c r="J253" s="141"/>
      <c r="K253" s="141"/>
      <c r="L253" s="141"/>
      <c r="M253" s="29"/>
      <c r="N253" s="149" t="s">
        <v>845</v>
      </c>
      <c r="O253" s="141"/>
      <c r="P253" s="141"/>
      <c r="Q253" s="141"/>
      <c r="R253" s="141"/>
    </row>
    <row r="254" spans="1:18" ht="12.75">
      <c r="A254" s="14"/>
      <c r="B254" s="9"/>
      <c r="C254" s="10" t="str">
        <f t="shared" ref="C254:C263" si="40">UPPER(I254)</f>
        <v>VFX SUPERVISOR</v>
      </c>
      <c r="D254" s="9"/>
      <c r="E254" s="9" t="str">
        <f t="shared" ref="E254:E263" si="41">UPPER(K254)</f>
        <v>HYEONGKI KIM</v>
      </c>
      <c r="F254" s="9"/>
      <c r="G254" s="3"/>
      <c r="H254" s="3"/>
      <c r="I254" s="8" t="s">
        <v>331</v>
      </c>
      <c r="J254" s="3"/>
      <c r="K254" s="13" t="s">
        <v>332</v>
      </c>
      <c r="L254" s="3"/>
      <c r="M254" s="8"/>
      <c r="N254" s="8"/>
      <c r="O254" s="8" t="s">
        <v>846</v>
      </c>
      <c r="P254" s="3"/>
      <c r="Q254" s="3" t="s">
        <v>847</v>
      </c>
      <c r="R254" s="3"/>
    </row>
    <row r="255" spans="1:18" ht="12.75">
      <c r="A255" s="14"/>
      <c r="B255" s="9"/>
      <c r="C255" s="10" t="str">
        <f t="shared" si="40"/>
        <v/>
      </c>
      <c r="D255" s="9"/>
      <c r="E255" s="9" t="str">
        <f t="shared" si="41"/>
        <v/>
      </c>
      <c r="F255" s="9"/>
      <c r="G255" s="3"/>
      <c r="H255" s="3"/>
      <c r="I255" s="8"/>
      <c r="J255" s="3"/>
      <c r="K255" s="13"/>
      <c r="L255" s="3"/>
      <c r="M255" s="8"/>
      <c r="N255" s="8"/>
      <c r="O255" s="8"/>
      <c r="P255" s="3"/>
      <c r="Q255" s="3"/>
      <c r="R255" s="3"/>
    </row>
    <row r="256" spans="1:18" ht="12.75">
      <c r="A256" s="14"/>
      <c r="B256" s="9"/>
      <c r="C256" s="10" t="str">
        <f t="shared" si="40"/>
        <v>LIGHTING SUPERVISOR</v>
      </c>
      <c r="D256" s="9"/>
      <c r="E256" s="9" t="str">
        <f t="shared" si="41"/>
        <v>TAE-IN LEE</v>
      </c>
      <c r="F256" s="9"/>
      <c r="G256" s="3"/>
      <c r="H256" s="3"/>
      <c r="I256" s="8" t="s">
        <v>333</v>
      </c>
      <c r="J256" s="3"/>
      <c r="K256" s="13" t="s">
        <v>334</v>
      </c>
      <c r="L256" s="3"/>
      <c r="M256" s="8"/>
      <c r="N256" s="8"/>
      <c r="O256" s="8" t="s">
        <v>848</v>
      </c>
      <c r="P256" s="3"/>
      <c r="Q256" s="3" t="s">
        <v>849</v>
      </c>
      <c r="R256" s="3"/>
    </row>
    <row r="257" spans="1:18" ht="12.75">
      <c r="A257" s="14"/>
      <c r="B257" s="9"/>
      <c r="C257" s="10" t="str">
        <f t="shared" si="40"/>
        <v>LIGHTING ARTIST</v>
      </c>
      <c r="D257" s="9"/>
      <c r="E257" s="9" t="str">
        <f t="shared" si="41"/>
        <v>BYEONGHYEON HWANG</v>
      </c>
      <c r="F257" s="9"/>
      <c r="G257" s="3"/>
      <c r="H257" s="3"/>
      <c r="I257" s="8" t="s">
        <v>335</v>
      </c>
      <c r="J257" s="3"/>
      <c r="K257" s="13" t="s">
        <v>336</v>
      </c>
      <c r="L257" s="3"/>
      <c r="M257" s="8"/>
      <c r="N257" s="8"/>
      <c r="O257" s="8" t="s">
        <v>850</v>
      </c>
      <c r="P257" s="3"/>
      <c r="Q257" s="3" t="s">
        <v>851</v>
      </c>
      <c r="R257" s="3"/>
    </row>
    <row r="258" spans="1:18" ht="12.75">
      <c r="A258" s="14"/>
      <c r="B258" s="9"/>
      <c r="C258" s="10" t="str">
        <f t="shared" si="40"/>
        <v/>
      </c>
      <c r="D258" s="9"/>
      <c r="E258" s="9" t="str">
        <f t="shared" si="41"/>
        <v/>
      </c>
      <c r="F258" s="9"/>
      <c r="G258" s="3"/>
      <c r="H258" s="3"/>
      <c r="I258" s="8"/>
      <c r="J258" s="3"/>
      <c r="K258" s="13"/>
      <c r="L258" s="3"/>
      <c r="M258" s="8"/>
      <c r="N258" s="8"/>
      <c r="O258" s="8"/>
      <c r="P258" s="3"/>
      <c r="Q258" s="3"/>
      <c r="R258" s="3"/>
    </row>
    <row r="259" spans="1:18" ht="12.75">
      <c r="A259" s="14"/>
      <c r="B259" s="9"/>
      <c r="C259" s="10" t="str">
        <f t="shared" si="40"/>
        <v>FX SUPERVISOR</v>
      </c>
      <c r="D259" s="9"/>
      <c r="E259" s="9" t="str">
        <f t="shared" si="41"/>
        <v>SEWANG KIM</v>
      </c>
      <c r="F259" s="9"/>
      <c r="G259" s="3"/>
      <c r="H259" s="3"/>
      <c r="I259" s="8" t="s">
        <v>337</v>
      </c>
      <c r="J259" s="3"/>
      <c r="K259" s="13" t="s">
        <v>338</v>
      </c>
      <c r="L259" s="3"/>
      <c r="M259" s="8"/>
      <c r="N259" s="8"/>
      <c r="O259" s="8" t="s">
        <v>852</v>
      </c>
      <c r="P259" s="3"/>
      <c r="Q259" s="3" t="s">
        <v>853</v>
      </c>
      <c r="R259" s="3"/>
    </row>
    <row r="260" spans="1:18" ht="12.75">
      <c r="A260" s="14"/>
      <c r="B260" s="9"/>
      <c r="C260" s="10" t="str">
        <f t="shared" si="40"/>
        <v>FX ARTIST</v>
      </c>
      <c r="D260" s="9"/>
      <c r="E260" s="9" t="str">
        <f t="shared" si="41"/>
        <v>SAEBOM OH</v>
      </c>
      <c r="F260" s="9"/>
      <c r="G260" s="3"/>
      <c r="H260" s="3"/>
      <c r="I260" s="8" t="s">
        <v>339</v>
      </c>
      <c r="J260" s="3"/>
      <c r="K260" s="13" t="s">
        <v>340</v>
      </c>
      <c r="L260" s="3"/>
      <c r="M260" s="8"/>
      <c r="N260" s="8"/>
      <c r="O260" s="8" t="s">
        <v>854</v>
      </c>
      <c r="P260" s="3"/>
      <c r="Q260" s="137" t="s">
        <v>855</v>
      </c>
      <c r="R260" s="3"/>
    </row>
    <row r="261" spans="1:18" ht="12.75">
      <c r="A261" s="14"/>
      <c r="B261" s="9"/>
      <c r="C261" s="10" t="str">
        <f t="shared" si="40"/>
        <v/>
      </c>
      <c r="D261" s="9"/>
      <c r="E261" s="9" t="str">
        <f t="shared" si="41"/>
        <v/>
      </c>
      <c r="F261" s="9"/>
      <c r="G261" s="3"/>
      <c r="H261" s="3"/>
      <c r="I261" s="8"/>
      <c r="J261" s="3"/>
      <c r="K261" s="13"/>
      <c r="L261" s="3"/>
      <c r="M261" s="8"/>
      <c r="N261" s="8"/>
      <c r="O261" s="8"/>
      <c r="P261" s="3"/>
      <c r="Q261" s="3"/>
      <c r="R261" s="3"/>
    </row>
    <row r="262" spans="1:18" ht="12.75">
      <c r="A262" s="14"/>
      <c r="B262" s="9"/>
      <c r="C262" s="10" t="str">
        <f t="shared" si="40"/>
        <v>COMPOSITING SUPERVISOR</v>
      </c>
      <c r="D262" s="9"/>
      <c r="E262" s="40" t="str">
        <f t="shared" si="41"/>
        <v>YOONHEE JUNG</v>
      </c>
      <c r="F262" s="9"/>
      <c r="G262" s="3"/>
      <c r="H262" s="3"/>
      <c r="I262" s="8" t="s">
        <v>341</v>
      </c>
      <c r="J262" s="3"/>
      <c r="K262" s="13" t="s">
        <v>342</v>
      </c>
      <c r="L262" s="3"/>
      <c r="M262" s="3"/>
      <c r="N262" s="3"/>
      <c r="O262" s="8" t="s">
        <v>856</v>
      </c>
      <c r="P262" s="3"/>
      <c r="Q262" s="3" t="s">
        <v>857</v>
      </c>
      <c r="R262" s="3"/>
    </row>
    <row r="263" spans="1:18" ht="12.75">
      <c r="A263" s="14"/>
      <c r="B263" s="9"/>
      <c r="C263" s="10" t="str">
        <f t="shared" si="40"/>
        <v>COMPOSITING ARTIST</v>
      </c>
      <c r="D263" s="9"/>
      <c r="E263" s="9" t="str">
        <f t="shared" si="41"/>
        <v>NAMMIN KIM</v>
      </c>
      <c r="F263" s="9"/>
      <c r="G263" s="3"/>
      <c r="H263" s="3"/>
      <c r="I263" s="8" t="s">
        <v>343</v>
      </c>
      <c r="J263" s="3"/>
      <c r="K263" s="13" t="s">
        <v>344</v>
      </c>
      <c r="L263" s="3"/>
      <c r="M263" s="8"/>
      <c r="N263" s="8"/>
      <c r="O263" s="8" t="s">
        <v>858</v>
      </c>
      <c r="P263" s="3"/>
      <c r="Q263" s="3" t="s">
        <v>859</v>
      </c>
      <c r="R263" s="3"/>
    </row>
    <row r="264" spans="1:18" ht="12.75">
      <c r="A264" s="14"/>
      <c r="B264" s="9"/>
      <c r="C264" s="10"/>
      <c r="D264" s="9"/>
      <c r="E264" s="9"/>
      <c r="F264" s="9"/>
      <c r="G264" s="3"/>
      <c r="H264" s="3"/>
      <c r="I264" s="8"/>
      <c r="J264" s="3"/>
      <c r="K264" s="13"/>
      <c r="L264" s="3"/>
      <c r="M264" s="8"/>
      <c r="N264" s="8"/>
      <c r="O264" s="8"/>
      <c r="P264" s="3"/>
      <c r="Q264" s="3"/>
      <c r="R264" s="3"/>
    </row>
    <row r="265" spans="1:18" ht="12.75">
      <c r="A265" s="14"/>
      <c r="B265" s="11"/>
      <c r="C265" s="12"/>
      <c r="D265" s="11"/>
      <c r="E265" s="11"/>
      <c r="F265" s="11"/>
      <c r="G265" s="3"/>
      <c r="H265" s="3"/>
      <c r="I265" s="90"/>
      <c r="J265" s="3"/>
      <c r="K265" s="87"/>
      <c r="L265" s="3"/>
      <c r="M265" s="8"/>
      <c r="N265" s="8"/>
      <c r="O265" s="8"/>
      <c r="P265" s="3"/>
      <c r="Q265" s="3"/>
      <c r="R265" s="3"/>
    </row>
    <row r="266" spans="1:18" ht="18">
      <c r="A266" s="14"/>
      <c r="B266" s="17"/>
      <c r="C266" s="17"/>
      <c r="D266" s="17"/>
      <c r="E266" s="17"/>
      <c r="F266" s="17"/>
      <c r="G266" s="28"/>
      <c r="H266" s="18"/>
      <c r="I266" s="18"/>
      <c r="J266" s="18"/>
      <c r="K266" s="18"/>
      <c r="L266" s="18"/>
      <c r="M266" s="8"/>
      <c r="N266" s="8"/>
      <c r="O266" s="8"/>
      <c r="P266" s="3"/>
      <c r="Q266" s="3"/>
      <c r="R266" s="3"/>
    </row>
    <row r="267" spans="1:18" ht="18">
      <c r="A267" s="14"/>
      <c r="B267" s="150" t="str">
        <f t="shared" ref="B267:B268" si="42">UPPER(H267)</f>
        <v>LIGHTING / VFX / COMPOSITING</v>
      </c>
      <c r="C267" s="141"/>
      <c r="D267" s="141"/>
      <c r="E267" s="141"/>
      <c r="F267" s="141"/>
      <c r="G267" s="28"/>
      <c r="H267" s="167" t="s">
        <v>330</v>
      </c>
      <c r="I267" s="141"/>
      <c r="J267" s="141"/>
      <c r="K267" s="141"/>
      <c r="L267" s="141"/>
      <c r="M267" s="8"/>
      <c r="N267" s="149" t="s">
        <v>845</v>
      </c>
      <c r="O267" s="141"/>
      <c r="P267" s="141"/>
      <c r="Q267" s="141"/>
      <c r="R267" s="141"/>
    </row>
    <row r="268" spans="1:18" ht="15">
      <c r="A268" s="14"/>
      <c r="B268" s="146" t="str">
        <f t="shared" si="42"/>
        <v>THE MONK STUDIOS</v>
      </c>
      <c r="C268" s="141"/>
      <c r="D268" s="141"/>
      <c r="E268" s="141"/>
      <c r="F268" s="141"/>
      <c r="G268" s="3"/>
      <c r="H268" s="149" t="s">
        <v>202</v>
      </c>
      <c r="I268" s="141"/>
      <c r="J268" s="141"/>
      <c r="K268" s="141"/>
      <c r="L268" s="141"/>
      <c r="M268" s="8"/>
      <c r="N268" s="149" t="s">
        <v>202</v>
      </c>
      <c r="O268" s="141"/>
      <c r="P268" s="141"/>
      <c r="Q268" s="141"/>
      <c r="R268" s="141"/>
    </row>
    <row r="269" spans="1:18" ht="12.75">
      <c r="A269" s="14"/>
      <c r="B269" s="9"/>
      <c r="C269" s="10"/>
      <c r="D269" s="9"/>
      <c r="E269" s="9"/>
      <c r="F269" s="9"/>
      <c r="G269" s="3"/>
      <c r="H269" s="3"/>
      <c r="I269" s="90"/>
      <c r="J269" s="3"/>
      <c r="K269" s="87"/>
      <c r="L269" s="3"/>
      <c r="M269" s="8"/>
      <c r="N269" s="3"/>
      <c r="O269" s="90"/>
      <c r="P269" s="3"/>
      <c r="Q269" s="87"/>
      <c r="R269" s="3"/>
    </row>
    <row r="270" spans="1:18" ht="12.75">
      <c r="A270" s="14"/>
      <c r="B270" s="9"/>
      <c r="C270" s="10" t="str">
        <f>UPPER(I270)</f>
        <v>EFFECT SUPERVISOR</v>
      </c>
      <c r="D270" s="9"/>
      <c r="E270" s="9" t="str">
        <f t="shared" ref="E270:E286" si="43">UPPER(K270)</f>
        <v>THACHAPONG RUANGROJ</v>
      </c>
      <c r="F270" s="9"/>
      <c r="G270" s="3"/>
      <c r="H270" s="3"/>
      <c r="I270" s="90" t="s">
        <v>737</v>
      </c>
      <c r="J270" s="3"/>
      <c r="K270" s="87" t="s">
        <v>358</v>
      </c>
      <c r="L270" s="3"/>
      <c r="M270" s="8"/>
      <c r="N270" s="3"/>
      <c r="O270" s="90" t="s">
        <v>737</v>
      </c>
      <c r="P270" s="3"/>
      <c r="Q270" s="87" t="s">
        <v>358</v>
      </c>
      <c r="R270" s="3"/>
    </row>
    <row r="271" spans="1:18" ht="12.75">
      <c r="A271" s="14"/>
      <c r="B271" s="9"/>
      <c r="C271" s="10"/>
      <c r="D271" s="9"/>
      <c r="E271" s="9" t="str">
        <f t="shared" si="43"/>
        <v/>
      </c>
      <c r="F271" s="9"/>
      <c r="G271" s="3"/>
      <c r="H271" s="3"/>
      <c r="I271" s="90"/>
      <c r="J271" s="3"/>
      <c r="K271" s="87"/>
      <c r="L271" s="3"/>
      <c r="M271" s="8"/>
      <c r="N271" s="3"/>
      <c r="O271" s="90"/>
      <c r="P271" s="3"/>
      <c r="Q271" s="87"/>
      <c r="R271" s="3"/>
    </row>
    <row r="272" spans="1:18" ht="12.75">
      <c r="A272" s="14"/>
      <c r="B272" s="9"/>
      <c r="C272" s="10" t="str">
        <f>UPPER(I272)</f>
        <v>VFX GENERALIST</v>
      </c>
      <c r="D272" s="9"/>
      <c r="E272" s="9" t="str">
        <f t="shared" si="43"/>
        <v>PHUONG THANH NAM</v>
      </c>
      <c r="F272" s="9"/>
      <c r="G272" s="3"/>
      <c r="H272" s="3"/>
      <c r="I272" s="90" t="s">
        <v>359</v>
      </c>
      <c r="J272" s="3"/>
      <c r="K272" s="87" t="s">
        <v>360</v>
      </c>
      <c r="L272" s="3"/>
      <c r="M272" s="8"/>
      <c r="N272" s="3"/>
      <c r="O272" s="90" t="s">
        <v>359</v>
      </c>
      <c r="P272" s="3"/>
      <c r="Q272" s="87" t="s">
        <v>360</v>
      </c>
      <c r="R272" s="3"/>
    </row>
    <row r="273" spans="1:18" ht="12.75">
      <c r="A273" s="14"/>
      <c r="B273" s="9"/>
      <c r="C273" s="10"/>
      <c r="D273" s="9"/>
      <c r="E273" s="9" t="str">
        <f t="shared" si="43"/>
        <v/>
      </c>
      <c r="F273" s="9"/>
      <c r="G273" s="3"/>
      <c r="H273" s="3"/>
      <c r="I273" s="90"/>
      <c r="J273" s="3"/>
      <c r="K273" s="87"/>
      <c r="L273" s="3"/>
      <c r="M273" s="8"/>
      <c r="N273" s="3"/>
      <c r="O273" s="90"/>
      <c r="P273" s="3"/>
      <c r="Q273" s="87"/>
      <c r="R273" s="3"/>
    </row>
    <row r="274" spans="1:18" ht="12.75">
      <c r="A274" s="14"/>
      <c r="B274" s="9"/>
      <c r="C274" s="10" t="str">
        <f t="shared" ref="C274:C282" si="44">UPPER(I274)</f>
        <v>EFFECTS ARTIST</v>
      </c>
      <c r="D274" s="9"/>
      <c r="E274" s="9" t="str">
        <f t="shared" si="43"/>
        <v>CHAIPAT WINYOOVIJIT</v>
      </c>
      <c r="F274" s="9"/>
      <c r="G274" s="3"/>
      <c r="H274" s="3"/>
      <c r="I274" s="90" t="s">
        <v>361</v>
      </c>
      <c r="J274" s="3"/>
      <c r="K274" s="87" t="s">
        <v>362</v>
      </c>
      <c r="L274" s="3"/>
      <c r="M274" s="8"/>
      <c r="N274" s="3"/>
      <c r="O274" s="90" t="s">
        <v>361</v>
      </c>
      <c r="P274" s="3"/>
      <c r="Q274" s="87" t="s">
        <v>362</v>
      </c>
      <c r="R274" s="3"/>
    </row>
    <row r="275" spans="1:18" ht="12.75">
      <c r="A275" s="14"/>
      <c r="B275" s="9"/>
      <c r="C275" s="10" t="str">
        <f t="shared" si="44"/>
        <v/>
      </c>
      <c r="D275" s="9"/>
      <c r="E275" s="9" t="str">
        <f t="shared" si="43"/>
        <v>PIYAPONG JANHALUTAI</v>
      </c>
      <c r="F275" s="9"/>
      <c r="G275" s="3"/>
      <c r="H275" s="3"/>
      <c r="I275" s="8"/>
      <c r="J275" s="3"/>
      <c r="K275" s="87" t="s">
        <v>365</v>
      </c>
      <c r="L275" s="3"/>
      <c r="M275" s="8"/>
      <c r="N275" s="3"/>
      <c r="O275" s="8"/>
      <c r="P275" s="3"/>
      <c r="Q275" s="87" t="s">
        <v>365</v>
      </c>
      <c r="R275" s="3"/>
    </row>
    <row r="276" spans="1:18" ht="12.75">
      <c r="A276" s="14"/>
      <c r="B276" s="9"/>
      <c r="C276" s="10" t="str">
        <f t="shared" si="44"/>
        <v/>
      </c>
      <c r="D276" s="9"/>
      <c r="E276" s="9" t="str">
        <f t="shared" si="43"/>
        <v>NATTAPON KRICHAVONG</v>
      </c>
      <c r="F276" s="9"/>
      <c r="G276" s="3"/>
      <c r="H276" s="3"/>
      <c r="I276" s="8"/>
      <c r="J276" s="3"/>
      <c r="K276" s="87" t="s">
        <v>364</v>
      </c>
      <c r="L276" s="3"/>
      <c r="M276" s="8"/>
      <c r="N276" s="3"/>
      <c r="O276" s="8"/>
      <c r="P276" s="3"/>
      <c r="Q276" s="87" t="s">
        <v>364</v>
      </c>
      <c r="R276" s="3"/>
    </row>
    <row r="277" spans="1:18" ht="12.75">
      <c r="A277" s="14"/>
      <c r="B277" s="9"/>
      <c r="C277" s="10" t="str">
        <f t="shared" si="44"/>
        <v/>
      </c>
      <c r="D277" s="9"/>
      <c r="E277" s="9" t="str">
        <f t="shared" si="43"/>
        <v>SILAKORN KONGSUWAN</v>
      </c>
      <c r="F277" s="9"/>
      <c r="G277" s="3"/>
      <c r="H277" s="3"/>
      <c r="I277" s="8"/>
      <c r="J277" s="3"/>
      <c r="K277" s="87" t="s">
        <v>366</v>
      </c>
      <c r="L277" s="3"/>
      <c r="M277" s="8"/>
      <c r="N277" s="3"/>
      <c r="O277" s="8"/>
      <c r="P277" s="3"/>
      <c r="Q277" s="87" t="s">
        <v>366</v>
      </c>
      <c r="R277" s="3"/>
    </row>
    <row r="278" spans="1:18" ht="12.75">
      <c r="A278" s="14"/>
      <c r="B278" s="9"/>
      <c r="C278" s="10" t="str">
        <f t="shared" si="44"/>
        <v/>
      </c>
      <c r="D278" s="9"/>
      <c r="E278" s="9" t="str">
        <f t="shared" si="43"/>
        <v>THANAWAT KAEWARSA</v>
      </c>
      <c r="F278" s="9"/>
      <c r="G278" s="3"/>
      <c r="H278" s="3"/>
      <c r="I278" s="8"/>
      <c r="J278" s="3"/>
      <c r="K278" s="87" t="s">
        <v>369</v>
      </c>
      <c r="L278" s="3"/>
      <c r="M278" s="8"/>
      <c r="N278" s="3"/>
      <c r="O278" s="8"/>
      <c r="P278" s="3"/>
      <c r="Q278" s="87" t="s">
        <v>369</v>
      </c>
      <c r="R278" s="3"/>
    </row>
    <row r="279" spans="1:18" ht="14.25">
      <c r="A279" s="14"/>
      <c r="B279" s="9"/>
      <c r="C279" s="10" t="str">
        <f t="shared" si="44"/>
        <v/>
      </c>
      <c r="D279" s="9"/>
      <c r="E279" s="9" t="str">
        <f t="shared" si="43"/>
        <v>THANAKORN THAEVAKANJANAPHOKHIN</v>
      </c>
      <c r="F279" s="9"/>
      <c r="G279" s="3"/>
      <c r="H279" s="3"/>
      <c r="I279" s="8"/>
      <c r="J279" s="3"/>
      <c r="K279" s="91" t="s">
        <v>368</v>
      </c>
      <c r="L279" s="3"/>
      <c r="M279" s="8"/>
      <c r="N279" s="3"/>
      <c r="O279" s="8"/>
      <c r="P279" s="3"/>
      <c r="Q279" s="91" t="s">
        <v>368</v>
      </c>
      <c r="R279" s="3"/>
    </row>
    <row r="280" spans="1:18" ht="12.75">
      <c r="A280" s="14"/>
      <c r="B280" s="9"/>
      <c r="C280" s="10" t="str">
        <f t="shared" si="44"/>
        <v/>
      </c>
      <c r="D280" s="9"/>
      <c r="E280" s="9" t="str">
        <f t="shared" si="43"/>
        <v>KULAPONG VAIYAMUGAMUYGUL</v>
      </c>
      <c r="F280" s="9"/>
      <c r="G280" s="3"/>
      <c r="H280" s="3"/>
      <c r="I280" s="8"/>
      <c r="J280" s="3"/>
      <c r="K280" s="87" t="s">
        <v>661</v>
      </c>
      <c r="L280" s="3"/>
      <c r="M280" s="8"/>
      <c r="N280" s="3"/>
      <c r="O280" s="8"/>
      <c r="P280" s="3"/>
      <c r="Q280" s="87" t="s">
        <v>661</v>
      </c>
      <c r="R280" s="3"/>
    </row>
    <row r="281" spans="1:18" ht="12.75">
      <c r="A281" s="14"/>
      <c r="B281" s="9"/>
      <c r="C281" s="10" t="str">
        <f t="shared" si="44"/>
        <v/>
      </c>
      <c r="D281" s="9"/>
      <c r="E281" s="9" t="str">
        <f t="shared" si="43"/>
        <v>KITTOUCH WITAYAPASITKUL</v>
      </c>
      <c r="F281" s="9"/>
      <c r="G281" s="3"/>
      <c r="H281" s="3"/>
      <c r="I281" s="8"/>
      <c r="J281" s="3"/>
      <c r="K281" s="87" t="s">
        <v>727</v>
      </c>
      <c r="L281" s="3"/>
      <c r="M281" s="8"/>
      <c r="N281" s="3"/>
      <c r="O281" s="8"/>
      <c r="P281" s="3"/>
      <c r="Q281" s="87" t="s">
        <v>727</v>
      </c>
      <c r="R281" s="3"/>
    </row>
    <row r="282" spans="1:18" ht="12.75">
      <c r="A282" s="14"/>
      <c r="B282" s="9"/>
      <c r="C282" s="10" t="str">
        <f t="shared" si="44"/>
        <v/>
      </c>
      <c r="D282" s="9"/>
      <c r="E282" s="9" t="str">
        <f t="shared" si="43"/>
        <v>WEERAPHAT SANGRUNG</v>
      </c>
      <c r="F282" s="9"/>
      <c r="G282" s="3"/>
      <c r="H282" s="3"/>
      <c r="I282" s="8"/>
      <c r="J282" s="3"/>
      <c r="K282" s="87" t="s">
        <v>728</v>
      </c>
      <c r="L282" s="3"/>
      <c r="M282" s="8"/>
      <c r="N282" s="3"/>
      <c r="O282" s="8"/>
      <c r="P282" s="3"/>
      <c r="Q282" s="87" t="s">
        <v>728</v>
      </c>
      <c r="R282" s="3"/>
    </row>
    <row r="283" spans="1:18" ht="12.75">
      <c r="A283" s="14"/>
      <c r="B283" s="9"/>
      <c r="C283" s="10"/>
      <c r="D283" s="9"/>
      <c r="E283" s="9" t="str">
        <f t="shared" si="43"/>
        <v>NATARAT WONGMEK</v>
      </c>
      <c r="F283" s="9"/>
      <c r="G283" s="3"/>
      <c r="H283" s="3"/>
      <c r="I283" s="8"/>
      <c r="J283" s="3"/>
      <c r="K283" s="87" t="s">
        <v>738</v>
      </c>
      <c r="L283" s="3"/>
      <c r="M283" s="8"/>
      <c r="N283" s="3"/>
      <c r="O283" s="8"/>
      <c r="P283" s="3"/>
      <c r="Q283" s="87" t="s">
        <v>738</v>
      </c>
      <c r="R283" s="3"/>
    </row>
    <row r="284" spans="1:18" ht="12.75">
      <c r="A284" s="14"/>
      <c r="B284" s="9"/>
      <c r="C284" s="10"/>
      <c r="D284" s="9"/>
      <c r="E284" s="9" t="str">
        <f t="shared" si="43"/>
        <v>NONPAPAT PECHSRI</v>
      </c>
      <c r="F284" s="9"/>
      <c r="G284" s="3"/>
      <c r="H284" s="3"/>
      <c r="I284" s="8"/>
      <c r="J284" s="3"/>
      <c r="K284" s="87" t="s">
        <v>739</v>
      </c>
      <c r="L284" s="3"/>
      <c r="M284" s="8"/>
      <c r="N284" s="3"/>
      <c r="O284" s="8"/>
      <c r="P284" s="3"/>
      <c r="Q284" s="87" t="s">
        <v>739</v>
      </c>
      <c r="R284" s="3"/>
    </row>
    <row r="285" spans="1:18" ht="12.75">
      <c r="A285" s="14"/>
      <c r="B285" s="9"/>
      <c r="C285" s="10"/>
      <c r="D285" s="9"/>
      <c r="E285" s="9" t="str">
        <f t="shared" si="43"/>
        <v>TAMOLWAN SAELOW</v>
      </c>
      <c r="F285" s="9"/>
      <c r="G285" s="3"/>
      <c r="H285" s="3"/>
      <c r="I285" s="8"/>
      <c r="J285" s="3"/>
      <c r="K285" s="87" t="s">
        <v>740</v>
      </c>
      <c r="L285" s="3"/>
      <c r="M285" s="8"/>
      <c r="N285" s="3"/>
      <c r="O285" s="8"/>
      <c r="P285" s="3"/>
      <c r="Q285" s="87" t="s">
        <v>740</v>
      </c>
      <c r="R285" s="3"/>
    </row>
    <row r="286" spans="1:18" ht="12.75">
      <c r="A286" s="14"/>
      <c r="B286" s="9"/>
      <c r="C286" s="10" t="str">
        <f>UPPER(I286)</f>
        <v/>
      </c>
      <c r="D286" s="9"/>
      <c r="E286" s="9" t="str">
        <f t="shared" si="43"/>
        <v/>
      </c>
      <c r="F286" s="9"/>
      <c r="G286" s="3"/>
      <c r="H286" s="3"/>
      <c r="I286" s="8"/>
      <c r="J286" s="3"/>
      <c r="K286" s="13"/>
      <c r="L286" s="3"/>
      <c r="M286" s="8"/>
      <c r="N286" s="8"/>
      <c r="O286" s="8"/>
      <c r="P286" s="3"/>
      <c r="Q286" s="3"/>
      <c r="R286" s="3"/>
    </row>
    <row r="287" spans="1:18" ht="12.75">
      <c r="A287" s="14"/>
      <c r="B287" s="11"/>
      <c r="C287" s="12"/>
      <c r="D287" s="11"/>
      <c r="E287" s="11"/>
      <c r="F287" s="11"/>
      <c r="G287" s="3"/>
      <c r="H287" s="3"/>
      <c r="I287" s="8"/>
      <c r="J287" s="3"/>
      <c r="K287" s="13"/>
      <c r="L287" s="3"/>
      <c r="M287" s="8"/>
      <c r="N287" s="8"/>
      <c r="O287" s="8"/>
      <c r="P287" s="3"/>
      <c r="Q287" s="3"/>
      <c r="R287" s="3"/>
    </row>
    <row r="288" spans="1:18" ht="12.75">
      <c r="A288" s="14"/>
      <c r="B288" s="9"/>
      <c r="C288" s="10"/>
      <c r="D288" s="9"/>
      <c r="E288" s="9"/>
      <c r="F288" s="9"/>
      <c r="G288" s="3"/>
      <c r="H288" s="3"/>
      <c r="I288" s="8"/>
      <c r="J288" s="3"/>
      <c r="K288" s="13"/>
      <c r="L288" s="3"/>
      <c r="M288" s="8"/>
      <c r="N288" s="8"/>
      <c r="O288" s="8"/>
      <c r="P288" s="3"/>
      <c r="Q288" s="3"/>
      <c r="R288" s="3"/>
    </row>
    <row r="289" spans="1:18" ht="18">
      <c r="A289" s="14"/>
      <c r="B289" s="150" t="str">
        <f t="shared" ref="B289:B290" si="45">UPPER(H289)</f>
        <v>LIGHTING / VFX / COMPOSITING</v>
      </c>
      <c r="C289" s="141"/>
      <c r="D289" s="141"/>
      <c r="E289" s="141"/>
      <c r="F289" s="141"/>
      <c r="G289" s="28"/>
      <c r="H289" s="167" t="s">
        <v>330</v>
      </c>
      <c r="I289" s="141"/>
      <c r="J289" s="141"/>
      <c r="K289" s="141"/>
      <c r="L289" s="141"/>
      <c r="M289" s="8"/>
      <c r="N289" s="149" t="s">
        <v>845</v>
      </c>
      <c r="O289" s="141"/>
      <c r="P289" s="141"/>
      <c r="Q289" s="141"/>
      <c r="R289" s="141"/>
    </row>
    <row r="290" spans="1:18" ht="15">
      <c r="A290" s="14"/>
      <c r="B290" s="146" t="str">
        <f t="shared" si="45"/>
        <v>THE MONK STUDIOS</v>
      </c>
      <c r="C290" s="141"/>
      <c r="D290" s="141"/>
      <c r="E290" s="141"/>
      <c r="F290" s="141"/>
      <c r="G290" s="3"/>
      <c r="H290" s="149" t="s">
        <v>202</v>
      </c>
      <c r="I290" s="141"/>
      <c r="J290" s="141"/>
      <c r="K290" s="141"/>
      <c r="L290" s="141"/>
      <c r="M290" s="8"/>
      <c r="N290" s="149" t="s">
        <v>202</v>
      </c>
      <c r="O290" s="141"/>
      <c r="P290" s="141"/>
      <c r="Q290" s="141"/>
      <c r="R290" s="141"/>
    </row>
    <row r="291" spans="1:18" ht="12.75">
      <c r="A291" s="14"/>
      <c r="B291" s="9"/>
      <c r="C291" s="10"/>
      <c r="D291" s="9"/>
      <c r="E291" s="9"/>
      <c r="F291" s="9"/>
      <c r="G291" s="3"/>
      <c r="H291" s="3"/>
      <c r="I291" s="90"/>
      <c r="J291" s="3"/>
      <c r="K291" s="87"/>
      <c r="L291" s="3"/>
      <c r="M291" s="8"/>
      <c r="N291" s="3"/>
      <c r="O291" s="90"/>
      <c r="P291" s="3"/>
      <c r="Q291" s="87"/>
      <c r="R291" s="3"/>
    </row>
    <row r="292" spans="1:18" ht="12.75">
      <c r="A292" s="14"/>
      <c r="B292" s="9"/>
      <c r="C292" s="10" t="str">
        <f>UPPER(I292)</f>
        <v>LIGHTING SUPERVISOR</v>
      </c>
      <c r="D292" s="9"/>
      <c r="E292" s="9" t="str">
        <f>UPPER(K292)</f>
        <v>TIKUMPORN SRISANG-NGAM</v>
      </c>
      <c r="F292" s="9"/>
      <c r="G292" s="3"/>
      <c r="H292" s="3"/>
      <c r="I292" s="90" t="s">
        <v>371</v>
      </c>
      <c r="J292" s="3"/>
      <c r="K292" s="89" t="s">
        <v>372</v>
      </c>
      <c r="L292" s="3"/>
      <c r="M292" s="8"/>
      <c r="N292" s="3"/>
      <c r="O292" s="90" t="s">
        <v>371</v>
      </c>
      <c r="P292" s="3"/>
      <c r="Q292" s="89" t="s">
        <v>372</v>
      </c>
      <c r="R292" s="3"/>
    </row>
    <row r="293" spans="1:18" ht="12.75">
      <c r="A293" s="14"/>
      <c r="B293" s="9"/>
      <c r="C293" s="10"/>
      <c r="D293" s="9"/>
      <c r="E293" s="9"/>
      <c r="F293" s="9"/>
      <c r="G293" s="3"/>
      <c r="H293" s="3"/>
      <c r="I293" s="90"/>
      <c r="J293" s="3"/>
      <c r="K293" s="87"/>
      <c r="L293" s="3"/>
      <c r="M293" s="8"/>
      <c r="N293" s="3"/>
      <c r="O293" s="90"/>
      <c r="P293" s="3"/>
      <c r="Q293" s="87"/>
      <c r="R293" s="3"/>
    </row>
    <row r="294" spans="1:18" ht="12.75">
      <c r="A294" s="14"/>
      <c r="B294" s="9"/>
      <c r="C294" s="10" t="str">
        <f>UPPER(I294)</f>
        <v>LEAD LIGHTING ARTIST</v>
      </c>
      <c r="D294" s="9"/>
      <c r="E294" s="9" t="str">
        <f>UPPER(K294)</f>
        <v>CHANIN PHEUNGKLAY</v>
      </c>
      <c r="F294" s="9"/>
      <c r="G294" s="3"/>
      <c r="H294" s="3"/>
      <c r="I294" s="90" t="s">
        <v>373</v>
      </c>
      <c r="J294" s="3"/>
      <c r="K294" s="89" t="s">
        <v>374</v>
      </c>
      <c r="L294" s="3"/>
      <c r="M294" s="8"/>
      <c r="N294" s="3"/>
      <c r="O294" s="90" t="s">
        <v>373</v>
      </c>
      <c r="P294" s="3"/>
      <c r="Q294" s="89" t="s">
        <v>374</v>
      </c>
      <c r="R294" s="3"/>
    </row>
    <row r="295" spans="1:18" ht="12.75">
      <c r="A295" s="14"/>
      <c r="B295" s="9"/>
      <c r="C295" s="10"/>
      <c r="D295" s="9"/>
      <c r="E295" s="9"/>
      <c r="F295" s="9"/>
      <c r="G295" s="3"/>
      <c r="H295" s="3"/>
      <c r="I295" s="90"/>
      <c r="J295" s="3"/>
      <c r="K295" s="87"/>
      <c r="L295" s="3"/>
      <c r="M295" s="8"/>
      <c r="N295" s="3"/>
      <c r="O295" s="90"/>
      <c r="P295" s="3"/>
      <c r="Q295" s="87"/>
      <c r="R295" s="3"/>
    </row>
    <row r="296" spans="1:18" ht="12.75">
      <c r="A296" s="14"/>
      <c r="B296" s="9"/>
      <c r="C296" s="10" t="str">
        <f t="shared" ref="C296:C307" si="46">UPPER(I296)</f>
        <v>LIGHTING ARTIST</v>
      </c>
      <c r="D296" s="9"/>
      <c r="E296" s="9" t="str">
        <f t="shared" ref="E296:E309" si="47">UPPER(K296)</f>
        <v>TITIKAMON NANRUDON</v>
      </c>
      <c r="F296" s="9"/>
      <c r="G296" s="3"/>
      <c r="H296" s="3"/>
      <c r="I296" s="90" t="s">
        <v>335</v>
      </c>
      <c r="J296" s="3"/>
      <c r="K296" s="87" t="s">
        <v>375</v>
      </c>
      <c r="L296" s="3"/>
      <c r="M296" s="8"/>
      <c r="N296" s="3"/>
      <c r="O296" s="90" t="s">
        <v>335</v>
      </c>
      <c r="P296" s="3"/>
      <c r="Q296" s="87" t="s">
        <v>375</v>
      </c>
      <c r="R296" s="3"/>
    </row>
    <row r="297" spans="1:18" ht="12.75">
      <c r="A297" s="14"/>
      <c r="B297" s="9"/>
      <c r="C297" s="10" t="str">
        <f t="shared" si="46"/>
        <v/>
      </c>
      <c r="D297" s="9"/>
      <c r="E297" s="9" t="str">
        <f t="shared" si="47"/>
        <v>PRADTANA KARALOP</v>
      </c>
      <c r="F297" s="9"/>
      <c r="G297" s="3"/>
      <c r="H297" s="3"/>
      <c r="I297" s="8"/>
      <c r="J297" s="3"/>
      <c r="K297" s="87" t="s">
        <v>376</v>
      </c>
      <c r="L297" s="3"/>
      <c r="M297" s="8"/>
      <c r="N297" s="3"/>
      <c r="O297" s="8"/>
      <c r="P297" s="3"/>
      <c r="Q297" s="87" t="s">
        <v>376</v>
      </c>
      <c r="R297" s="3"/>
    </row>
    <row r="298" spans="1:18" ht="12.75">
      <c r="A298" s="14"/>
      <c r="B298" s="9"/>
      <c r="C298" s="10" t="str">
        <f t="shared" si="46"/>
        <v/>
      </c>
      <c r="D298" s="9"/>
      <c r="E298" s="9" t="str">
        <f t="shared" si="47"/>
        <v>PHANATHON WARATHIP</v>
      </c>
      <c r="F298" s="9"/>
      <c r="G298" s="3"/>
      <c r="H298" s="3"/>
      <c r="I298" s="8"/>
      <c r="J298" s="3"/>
      <c r="K298" s="87" t="s">
        <v>378</v>
      </c>
      <c r="L298" s="3"/>
      <c r="M298" s="8"/>
      <c r="N298" s="3"/>
      <c r="O298" s="8"/>
      <c r="P298" s="3"/>
      <c r="Q298" s="87" t="s">
        <v>378</v>
      </c>
      <c r="R298" s="3"/>
    </row>
    <row r="299" spans="1:18" ht="12.75">
      <c r="A299" s="14"/>
      <c r="B299" s="9"/>
      <c r="C299" s="10" t="str">
        <f t="shared" si="46"/>
        <v/>
      </c>
      <c r="D299" s="9"/>
      <c r="E299" s="9" t="str">
        <f t="shared" si="47"/>
        <v>BOONYARAT PONOMCHOENG</v>
      </c>
      <c r="F299" s="9"/>
      <c r="G299" s="3"/>
      <c r="H299" s="3"/>
      <c r="I299" s="8"/>
      <c r="J299" s="3"/>
      <c r="K299" s="87" t="s">
        <v>379</v>
      </c>
      <c r="L299" s="3"/>
      <c r="M299" s="8"/>
      <c r="N299" s="3"/>
      <c r="O299" s="8"/>
      <c r="P299" s="3"/>
      <c r="Q299" s="87" t="s">
        <v>379</v>
      </c>
      <c r="R299" s="3"/>
    </row>
    <row r="300" spans="1:18" ht="12.75">
      <c r="A300" s="14"/>
      <c r="B300" s="9"/>
      <c r="C300" s="10" t="str">
        <f t="shared" si="46"/>
        <v/>
      </c>
      <c r="D300" s="9"/>
      <c r="E300" s="9" t="str">
        <f t="shared" si="47"/>
        <v>CHANIPORN PORSEELA</v>
      </c>
      <c r="F300" s="9"/>
      <c r="G300" s="3"/>
      <c r="H300" s="3"/>
      <c r="I300" s="8"/>
      <c r="J300" s="3"/>
      <c r="K300" s="87" t="s">
        <v>381</v>
      </c>
      <c r="L300" s="3"/>
      <c r="M300" s="8"/>
      <c r="N300" s="3"/>
      <c r="O300" s="8"/>
      <c r="P300" s="3"/>
      <c r="Q300" s="87" t="s">
        <v>381</v>
      </c>
      <c r="R300" s="3"/>
    </row>
    <row r="301" spans="1:18" ht="12.75">
      <c r="A301" s="14"/>
      <c r="B301" s="9"/>
      <c r="C301" s="10" t="str">
        <f t="shared" si="46"/>
        <v/>
      </c>
      <c r="D301" s="9"/>
      <c r="E301" s="9" t="str">
        <f t="shared" si="47"/>
        <v>KORRAPHAT PONGPAIBOON</v>
      </c>
      <c r="F301" s="9"/>
      <c r="G301" s="3"/>
      <c r="H301" s="3"/>
      <c r="I301" s="8"/>
      <c r="J301" s="3"/>
      <c r="K301" s="87" t="s">
        <v>383</v>
      </c>
      <c r="L301" s="3"/>
      <c r="M301" s="8"/>
      <c r="N301" s="3"/>
      <c r="O301" s="8"/>
      <c r="P301" s="3"/>
      <c r="Q301" s="87" t="s">
        <v>383</v>
      </c>
      <c r="R301" s="3"/>
    </row>
    <row r="302" spans="1:18" ht="12.75">
      <c r="A302" s="14"/>
      <c r="B302" s="9"/>
      <c r="C302" s="10" t="str">
        <f t="shared" si="46"/>
        <v/>
      </c>
      <c r="D302" s="9"/>
      <c r="E302" s="9" t="str">
        <f t="shared" si="47"/>
        <v>SUPHATCHA NUAMTHONG</v>
      </c>
      <c r="F302" s="9"/>
      <c r="G302" s="3"/>
      <c r="H302" s="3"/>
      <c r="I302" s="8"/>
      <c r="J302" s="3"/>
      <c r="K302" s="87" t="s">
        <v>384</v>
      </c>
      <c r="L302" s="3"/>
      <c r="M302" s="8"/>
      <c r="N302" s="3"/>
      <c r="O302" s="8"/>
      <c r="P302" s="3"/>
      <c r="Q302" s="87" t="s">
        <v>384</v>
      </c>
      <c r="R302" s="3"/>
    </row>
    <row r="303" spans="1:18" ht="12.75">
      <c r="A303" s="14"/>
      <c r="B303" s="9"/>
      <c r="C303" s="10" t="str">
        <f t="shared" si="46"/>
        <v/>
      </c>
      <c r="D303" s="9"/>
      <c r="E303" s="9" t="str">
        <f t="shared" si="47"/>
        <v>CHAIYAVUDH BURANASONGGRAM</v>
      </c>
      <c r="F303" s="9"/>
      <c r="G303" s="3"/>
      <c r="H303" s="3"/>
      <c r="I303" s="8"/>
      <c r="J303" s="3"/>
      <c r="K303" s="87" t="s">
        <v>385</v>
      </c>
      <c r="L303" s="3"/>
      <c r="M303" s="8"/>
      <c r="N303" s="3"/>
      <c r="O303" s="8"/>
      <c r="P303" s="3"/>
      <c r="Q303" s="87" t="s">
        <v>385</v>
      </c>
      <c r="R303" s="3"/>
    </row>
    <row r="304" spans="1:18" ht="12.75">
      <c r="A304" s="14"/>
      <c r="B304" s="9"/>
      <c r="C304" s="10" t="str">
        <f t="shared" si="46"/>
        <v/>
      </c>
      <c r="D304" s="9"/>
      <c r="E304" s="9" t="str">
        <f t="shared" si="47"/>
        <v>PHUWADON KHAYANYIAM</v>
      </c>
      <c r="F304" s="9"/>
      <c r="G304" s="3"/>
      <c r="H304" s="3"/>
      <c r="I304" s="8"/>
      <c r="J304" s="3"/>
      <c r="K304" s="87" t="s">
        <v>386</v>
      </c>
      <c r="L304" s="3"/>
      <c r="M304" s="8"/>
      <c r="N304" s="3"/>
      <c r="O304" s="8"/>
      <c r="P304" s="3"/>
      <c r="Q304" s="87" t="s">
        <v>386</v>
      </c>
      <c r="R304" s="3"/>
    </row>
    <row r="305" spans="1:18" ht="12.75">
      <c r="A305" s="14"/>
      <c r="B305" s="9"/>
      <c r="C305" s="10" t="str">
        <f t="shared" si="46"/>
        <v/>
      </c>
      <c r="D305" s="9"/>
      <c r="E305" s="9" t="str">
        <f t="shared" si="47"/>
        <v>SIRAPOB KOSITCHAIMONGKHON</v>
      </c>
      <c r="F305" s="9"/>
      <c r="G305" s="3"/>
      <c r="H305" s="3"/>
      <c r="I305" s="8"/>
      <c r="J305" s="3"/>
      <c r="K305" s="87" t="s">
        <v>663</v>
      </c>
      <c r="L305" s="3"/>
      <c r="M305" s="8"/>
      <c r="N305" s="3"/>
      <c r="O305" s="8"/>
      <c r="P305" s="3"/>
      <c r="Q305" s="87" t="s">
        <v>663</v>
      </c>
      <c r="R305" s="3"/>
    </row>
    <row r="306" spans="1:18" ht="12.75">
      <c r="A306" s="14"/>
      <c r="B306" s="9"/>
      <c r="C306" s="10" t="str">
        <f t="shared" si="46"/>
        <v/>
      </c>
      <c r="D306" s="9"/>
      <c r="E306" s="9" t="str">
        <f t="shared" si="47"/>
        <v>TANAWAN JAMSRI</v>
      </c>
      <c r="F306" s="9"/>
      <c r="G306" s="3"/>
      <c r="H306" s="3"/>
      <c r="I306" s="8"/>
      <c r="J306" s="3"/>
      <c r="K306" s="87" t="s">
        <v>664</v>
      </c>
      <c r="L306" s="3"/>
      <c r="M306" s="8"/>
      <c r="N306" s="3"/>
      <c r="O306" s="8"/>
      <c r="P306" s="3"/>
      <c r="Q306" s="87" t="s">
        <v>664</v>
      </c>
      <c r="R306" s="3"/>
    </row>
    <row r="307" spans="1:18" ht="12.75">
      <c r="A307" s="14"/>
      <c r="B307" s="9"/>
      <c r="C307" s="10" t="str">
        <f t="shared" si="46"/>
        <v/>
      </c>
      <c r="D307" s="9"/>
      <c r="E307" s="9" t="str">
        <f t="shared" si="47"/>
        <v>CHANCHOL JANTARAT</v>
      </c>
      <c r="F307" s="9"/>
      <c r="G307" s="3"/>
      <c r="H307" s="3"/>
      <c r="I307" s="8"/>
      <c r="J307" s="3"/>
      <c r="K307" s="87" t="s">
        <v>665</v>
      </c>
      <c r="L307" s="3"/>
      <c r="M307" s="8"/>
      <c r="N307" s="3"/>
      <c r="O307" s="8"/>
      <c r="P307" s="3"/>
      <c r="Q307" s="87" t="s">
        <v>665</v>
      </c>
      <c r="R307" s="3"/>
    </row>
    <row r="308" spans="1:18" ht="12.75">
      <c r="A308" s="14"/>
      <c r="B308" s="9"/>
      <c r="C308" s="10"/>
      <c r="D308" s="9"/>
      <c r="E308" s="9" t="str">
        <f t="shared" si="47"/>
        <v>SIRUNDA SUWANNAPRACHA</v>
      </c>
      <c r="F308" s="9"/>
      <c r="G308" s="3"/>
      <c r="H308" s="3"/>
      <c r="I308" s="8"/>
      <c r="J308" s="3"/>
      <c r="K308" s="87" t="s">
        <v>666</v>
      </c>
      <c r="L308" s="3"/>
      <c r="M308" s="8"/>
      <c r="N308" s="3"/>
      <c r="O308" s="8"/>
      <c r="P308" s="3"/>
      <c r="Q308" s="87" t="s">
        <v>666</v>
      </c>
      <c r="R308" s="3"/>
    </row>
    <row r="309" spans="1:18" ht="12.75">
      <c r="A309" s="14"/>
      <c r="B309" s="9"/>
      <c r="C309" s="10" t="str">
        <f>UPPER(I309)</f>
        <v/>
      </c>
      <c r="D309" s="9"/>
      <c r="E309" s="9" t="str">
        <f t="shared" si="47"/>
        <v>KASET REABREANG</v>
      </c>
      <c r="F309" s="9"/>
      <c r="G309" s="3"/>
      <c r="H309" s="3"/>
      <c r="I309" s="8"/>
      <c r="J309" s="3"/>
      <c r="K309" s="87" t="s">
        <v>667</v>
      </c>
      <c r="L309" s="3"/>
      <c r="M309" s="8"/>
      <c r="N309" s="3"/>
      <c r="O309" s="8"/>
      <c r="P309" s="3"/>
      <c r="Q309" s="87" t="s">
        <v>667</v>
      </c>
      <c r="R309" s="3"/>
    </row>
    <row r="310" spans="1:18" ht="12.75">
      <c r="A310" s="14"/>
      <c r="B310" s="9"/>
      <c r="C310" s="10"/>
      <c r="D310" s="9"/>
      <c r="E310" s="9"/>
      <c r="F310" s="9"/>
      <c r="G310" s="3"/>
      <c r="H310" s="3"/>
      <c r="I310" s="8"/>
      <c r="J310" s="3"/>
      <c r="K310" s="13"/>
      <c r="L310" s="3"/>
      <c r="M310" s="8"/>
      <c r="N310" s="8"/>
      <c r="O310" s="8"/>
      <c r="P310" s="3"/>
      <c r="Q310" s="3"/>
      <c r="R310" s="3"/>
    </row>
    <row r="311" spans="1:18" ht="12.75">
      <c r="A311" s="14"/>
      <c r="B311" s="11"/>
      <c r="C311" s="12"/>
      <c r="D311" s="11"/>
      <c r="E311" s="11"/>
      <c r="F311" s="11"/>
      <c r="G311" s="3"/>
      <c r="H311" s="3"/>
      <c r="I311" s="8"/>
      <c r="J311" s="3"/>
      <c r="K311" s="13"/>
      <c r="L311" s="3"/>
      <c r="M311" s="8"/>
      <c r="N311" s="8"/>
      <c r="O311" s="8"/>
      <c r="P311" s="3"/>
      <c r="Q311" s="3"/>
      <c r="R311" s="3"/>
    </row>
    <row r="312" spans="1:18" ht="12.75">
      <c r="A312" s="14"/>
      <c r="B312" s="9"/>
      <c r="C312" s="10"/>
      <c r="D312" s="9"/>
      <c r="E312" s="9"/>
      <c r="F312" s="9"/>
      <c r="G312" s="3"/>
      <c r="H312" s="3"/>
      <c r="I312" s="8"/>
      <c r="J312" s="3"/>
      <c r="K312" s="13"/>
      <c r="L312" s="3"/>
      <c r="M312" s="8"/>
      <c r="N312" s="8"/>
      <c r="O312" s="8"/>
      <c r="P312" s="3"/>
      <c r="Q312" s="3"/>
      <c r="R312" s="3"/>
    </row>
    <row r="313" spans="1:18" ht="18">
      <c r="A313" s="14"/>
      <c r="B313" s="150" t="str">
        <f t="shared" ref="B313:B314" si="48">UPPER(H313)</f>
        <v>LIGHTING / VFX / COMPOSITING</v>
      </c>
      <c r="C313" s="141"/>
      <c r="D313" s="141"/>
      <c r="E313" s="141"/>
      <c r="F313" s="141"/>
      <c r="G313" s="28"/>
      <c r="H313" s="167" t="s">
        <v>330</v>
      </c>
      <c r="I313" s="141"/>
      <c r="J313" s="141"/>
      <c r="K313" s="141"/>
      <c r="L313" s="141"/>
      <c r="M313" s="8"/>
      <c r="N313" s="149" t="s">
        <v>845</v>
      </c>
      <c r="O313" s="141"/>
      <c r="P313" s="141"/>
      <c r="Q313" s="141"/>
      <c r="R313" s="141"/>
    </row>
    <row r="314" spans="1:18" ht="15">
      <c r="A314" s="14"/>
      <c r="B314" s="146" t="str">
        <f t="shared" si="48"/>
        <v>THE MONK STUDIOS</v>
      </c>
      <c r="C314" s="141"/>
      <c r="D314" s="141"/>
      <c r="E314" s="141"/>
      <c r="F314" s="141"/>
      <c r="G314" s="3"/>
      <c r="H314" s="149" t="s">
        <v>202</v>
      </c>
      <c r="I314" s="141"/>
      <c r="J314" s="141"/>
      <c r="K314" s="141"/>
      <c r="L314" s="141"/>
      <c r="M314" s="8"/>
      <c r="N314" s="149" t="s">
        <v>202</v>
      </c>
      <c r="O314" s="141"/>
      <c r="P314" s="141"/>
      <c r="Q314" s="141"/>
      <c r="R314" s="141"/>
    </row>
    <row r="315" spans="1:18" ht="12.75">
      <c r="A315" s="14"/>
      <c r="B315" s="9"/>
      <c r="C315" s="10"/>
      <c r="D315" s="9"/>
      <c r="E315" s="9"/>
      <c r="F315" s="9"/>
      <c r="G315" s="3"/>
      <c r="H315" s="3"/>
      <c r="I315" s="90"/>
      <c r="J315" s="3"/>
      <c r="K315" s="87"/>
      <c r="L315" s="3"/>
      <c r="M315" s="8"/>
      <c r="N315" s="3"/>
      <c r="O315" s="90"/>
      <c r="P315" s="3"/>
      <c r="Q315" s="87"/>
      <c r="R315" s="3"/>
    </row>
    <row r="316" spans="1:18" ht="12.75">
      <c r="A316" s="14"/>
      <c r="B316" s="9"/>
      <c r="C316" s="10" t="str">
        <f>UPPER(I316)</f>
        <v>LIGHTING ARTIST</v>
      </c>
      <c r="D316" s="9"/>
      <c r="E316" s="9" t="str">
        <f t="shared" ref="E316:E321" si="49">UPPER(K316)</f>
        <v>LALITA CHINTHAWAN</v>
      </c>
      <c r="F316" s="9"/>
      <c r="G316" s="3"/>
      <c r="H316" s="3"/>
      <c r="I316" s="90" t="s">
        <v>335</v>
      </c>
      <c r="J316" s="3"/>
      <c r="K316" s="87" t="s">
        <v>668</v>
      </c>
      <c r="L316" s="3"/>
      <c r="M316" s="8"/>
      <c r="N316" s="3"/>
      <c r="O316" s="90" t="s">
        <v>335</v>
      </c>
      <c r="P316" s="3"/>
      <c r="Q316" s="87" t="s">
        <v>668</v>
      </c>
      <c r="R316" s="3"/>
    </row>
    <row r="317" spans="1:18" ht="12.75">
      <c r="A317" s="14"/>
      <c r="B317" s="9"/>
      <c r="C317" s="10"/>
      <c r="D317" s="9"/>
      <c r="E317" s="9" t="str">
        <f t="shared" si="49"/>
        <v>SONGSAK JANSAWANG</v>
      </c>
      <c r="F317" s="9"/>
      <c r="G317" s="3"/>
      <c r="H317" s="3"/>
      <c r="I317" s="90"/>
      <c r="J317" s="3"/>
      <c r="K317" s="87" t="s">
        <v>669</v>
      </c>
      <c r="L317" s="3"/>
      <c r="M317" s="8"/>
      <c r="N317" s="3"/>
      <c r="O317" s="90"/>
      <c r="P317" s="3"/>
      <c r="Q317" s="87" t="s">
        <v>669</v>
      </c>
      <c r="R317" s="3"/>
    </row>
    <row r="318" spans="1:18" ht="12.75">
      <c r="A318" s="14"/>
      <c r="B318" s="9"/>
      <c r="C318" s="10" t="str">
        <f>UPPER(I318)</f>
        <v/>
      </c>
      <c r="D318" s="9"/>
      <c r="E318" s="9" t="str">
        <f t="shared" si="49"/>
        <v>NITHIRUT JIRAKANGVANPHAT</v>
      </c>
      <c r="F318" s="9"/>
      <c r="G318" s="3"/>
      <c r="H318" s="3"/>
      <c r="I318" s="90"/>
      <c r="J318" s="3"/>
      <c r="K318" s="87" t="s">
        <v>670</v>
      </c>
      <c r="L318" s="3"/>
      <c r="M318" s="8"/>
      <c r="N318" s="3"/>
      <c r="O318" s="90"/>
      <c r="P318" s="3"/>
      <c r="Q318" s="87" t="s">
        <v>670</v>
      </c>
      <c r="R318" s="3"/>
    </row>
    <row r="319" spans="1:18" ht="12.75">
      <c r="A319" s="14"/>
      <c r="B319" s="9"/>
      <c r="C319" s="10"/>
      <c r="D319" s="9"/>
      <c r="E319" s="9" t="str">
        <f t="shared" si="49"/>
        <v>CHITAWADEE SRIRUK</v>
      </c>
      <c r="F319" s="9"/>
      <c r="G319" s="3"/>
      <c r="H319" s="3"/>
      <c r="I319" s="90"/>
      <c r="J319" s="3"/>
      <c r="K319" s="87" t="s">
        <v>671</v>
      </c>
      <c r="L319" s="3"/>
      <c r="M319" s="8"/>
      <c r="N319" s="3"/>
      <c r="O319" s="90"/>
      <c r="P319" s="3"/>
      <c r="Q319" s="87" t="s">
        <v>671</v>
      </c>
      <c r="R319" s="3"/>
    </row>
    <row r="320" spans="1:18" ht="12.75">
      <c r="A320" s="14"/>
      <c r="B320" s="9"/>
      <c r="C320" s="10" t="str">
        <f t="shared" ref="C320:C321" si="50">UPPER(I320)</f>
        <v/>
      </c>
      <c r="D320" s="9"/>
      <c r="E320" s="9" t="str">
        <f t="shared" si="49"/>
        <v>SIRAWAT PUNYARIT</v>
      </c>
      <c r="F320" s="9"/>
      <c r="G320" s="3"/>
      <c r="H320" s="3"/>
      <c r="I320" s="90"/>
      <c r="J320" s="3"/>
      <c r="K320" s="87" t="s">
        <v>672</v>
      </c>
      <c r="L320" s="3"/>
      <c r="M320" s="8"/>
      <c r="N320" s="3"/>
      <c r="O320" s="90"/>
      <c r="P320" s="3"/>
      <c r="Q320" s="87" t="s">
        <v>672</v>
      </c>
      <c r="R320" s="3"/>
    </row>
    <row r="321" spans="1:18" ht="12.75">
      <c r="A321" s="14"/>
      <c r="B321" s="9"/>
      <c r="C321" s="10" t="str">
        <f t="shared" si="50"/>
        <v/>
      </c>
      <c r="D321" s="9"/>
      <c r="E321" s="9" t="str">
        <f t="shared" si="49"/>
        <v>WATTANA CHAWALITAKUL</v>
      </c>
      <c r="F321" s="9"/>
      <c r="G321" s="3"/>
      <c r="H321" s="3"/>
      <c r="I321" s="8"/>
      <c r="J321" s="3"/>
      <c r="K321" s="87" t="s">
        <v>741</v>
      </c>
      <c r="L321" s="3"/>
      <c r="M321" s="8"/>
      <c r="N321" s="3"/>
      <c r="O321" s="8"/>
      <c r="P321" s="3"/>
      <c r="Q321" s="87" t="s">
        <v>741</v>
      </c>
      <c r="R321" s="3"/>
    </row>
    <row r="322" spans="1:18" ht="12.75">
      <c r="A322" s="14"/>
      <c r="B322" s="9"/>
      <c r="C322" s="10"/>
      <c r="D322" s="9"/>
      <c r="E322" s="9"/>
      <c r="F322" s="9"/>
      <c r="G322" s="3"/>
      <c r="H322" s="3"/>
      <c r="I322" s="8"/>
      <c r="J322" s="3"/>
      <c r="K322" s="13"/>
      <c r="L322" s="3"/>
      <c r="M322" s="8"/>
      <c r="N322" s="8"/>
      <c r="O322" s="8"/>
      <c r="P322" s="3"/>
      <c r="Q322" s="3"/>
      <c r="R322" s="3"/>
    </row>
    <row r="323" spans="1:18" ht="12.75">
      <c r="A323" s="14"/>
      <c r="B323" s="11"/>
      <c r="C323" s="12"/>
      <c r="D323" s="11"/>
      <c r="E323" s="11"/>
      <c r="F323" s="11"/>
      <c r="G323" s="3"/>
      <c r="H323" s="3"/>
      <c r="I323" s="8"/>
      <c r="J323" s="3"/>
      <c r="K323" s="13"/>
      <c r="L323" s="3"/>
      <c r="M323" s="8"/>
      <c r="N323" s="8"/>
      <c r="O323" s="8"/>
      <c r="P323" s="3"/>
      <c r="Q323" s="3"/>
      <c r="R323" s="3"/>
    </row>
    <row r="324" spans="1:18" ht="15">
      <c r="A324" s="14"/>
      <c r="B324" s="6"/>
      <c r="C324" s="6"/>
      <c r="D324" s="6"/>
      <c r="E324" s="6"/>
      <c r="F324" s="6"/>
      <c r="G324" s="3"/>
      <c r="H324" s="5"/>
      <c r="I324" s="5"/>
      <c r="J324" s="5"/>
      <c r="K324" s="5"/>
      <c r="L324" s="5"/>
      <c r="M324" s="8"/>
      <c r="N324" s="5"/>
      <c r="O324" s="5"/>
      <c r="P324" s="5"/>
      <c r="Q324" s="5"/>
      <c r="R324" s="5"/>
    </row>
    <row r="325" spans="1:18" ht="18">
      <c r="A325" s="14"/>
      <c r="B325" s="150" t="str">
        <f>UPPER(H325)</f>
        <v>PIPELINE &amp; SYSTEM</v>
      </c>
      <c r="C325" s="141"/>
      <c r="D325" s="141"/>
      <c r="E325" s="141"/>
      <c r="F325" s="141"/>
      <c r="G325" s="28"/>
      <c r="H325" s="167" t="s">
        <v>387</v>
      </c>
      <c r="I325" s="141"/>
      <c r="J325" s="141"/>
      <c r="K325" s="141"/>
      <c r="L325" s="141"/>
      <c r="M325" s="29"/>
      <c r="N325" s="149" t="s">
        <v>860</v>
      </c>
      <c r="O325" s="141"/>
      <c r="P325" s="141"/>
      <c r="Q325" s="141"/>
      <c r="R325" s="141"/>
    </row>
    <row r="326" spans="1:18" ht="12.75">
      <c r="A326" s="14"/>
      <c r="B326" s="9"/>
      <c r="C326" s="10"/>
      <c r="D326" s="9"/>
      <c r="E326" s="9"/>
      <c r="F326" s="9"/>
      <c r="G326" s="3"/>
      <c r="H326" s="3"/>
      <c r="I326" s="8"/>
      <c r="J326" s="3"/>
      <c r="K326" s="13"/>
      <c r="L326" s="3"/>
      <c r="M326" s="8"/>
      <c r="N326" s="3"/>
      <c r="O326" s="8"/>
      <c r="P326" s="3"/>
      <c r="Q326" s="3"/>
      <c r="R326" s="3"/>
    </row>
    <row r="327" spans="1:18" ht="12.75">
      <c r="A327" s="14"/>
      <c r="B327" s="9"/>
      <c r="C327" s="10" t="str">
        <f t="shared" ref="C327:C330" si="51">UPPER(I327)</f>
        <v>PIPELINE SUPERVISOR</v>
      </c>
      <c r="D327" s="9"/>
      <c r="E327" s="9" t="str">
        <f t="shared" ref="E327:E330" si="52">UPPER(K327)</f>
        <v>HYUNKYU PARK</v>
      </c>
      <c r="F327" s="9"/>
      <c r="G327" s="3"/>
      <c r="H327" s="3"/>
      <c r="I327" s="8" t="s">
        <v>388</v>
      </c>
      <c r="J327" s="3"/>
      <c r="K327" s="13" t="s">
        <v>389</v>
      </c>
      <c r="L327" s="3"/>
      <c r="M327" s="8"/>
      <c r="N327" s="3"/>
      <c r="O327" s="8" t="s">
        <v>861</v>
      </c>
      <c r="P327" s="3"/>
      <c r="Q327" s="3" t="s">
        <v>862</v>
      </c>
      <c r="R327" s="3"/>
    </row>
    <row r="328" spans="1:18" ht="12.75">
      <c r="A328" s="14"/>
      <c r="B328" s="9"/>
      <c r="C328" s="10" t="str">
        <f t="shared" si="51"/>
        <v/>
      </c>
      <c r="D328" s="9"/>
      <c r="E328" s="9" t="str">
        <f t="shared" si="52"/>
        <v/>
      </c>
      <c r="F328" s="9"/>
      <c r="G328" s="3"/>
      <c r="H328" s="3"/>
      <c r="I328" s="8"/>
      <c r="J328" s="3"/>
      <c r="K328" s="13"/>
      <c r="L328" s="3"/>
      <c r="M328" s="8"/>
      <c r="N328" s="3"/>
      <c r="O328" s="8"/>
      <c r="P328" s="3"/>
      <c r="Q328" s="3"/>
      <c r="R328" s="3"/>
    </row>
    <row r="329" spans="1:18" ht="12.75">
      <c r="A329" s="14"/>
      <c r="B329" s="9"/>
      <c r="C329" s="10" t="str">
        <f t="shared" si="51"/>
        <v>SYSTEM MANAGER</v>
      </c>
      <c r="D329" s="9"/>
      <c r="E329" s="9" t="str">
        <f t="shared" si="52"/>
        <v>JIWOONG RYU</v>
      </c>
      <c r="F329" s="9"/>
      <c r="G329" s="3"/>
      <c r="H329" s="3"/>
      <c r="I329" s="8" t="s">
        <v>390</v>
      </c>
      <c r="J329" s="3"/>
      <c r="K329" s="13" t="s">
        <v>391</v>
      </c>
      <c r="L329" s="3"/>
      <c r="M329" s="8"/>
      <c r="N329" s="3"/>
      <c r="O329" s="8" t="s">
        <v>863</v>
      </c>
      <c r="P329" s="3"/>
      <c r="Q329" s="3" t="s">
        <v>864</v>
      </c>
      <c r="R329" s="3"/>
    </row>
    <row r="330" spans="1:18" ht="12.75">
      <c r="A330" s="14"/>
      <c r="B330" s="9"/>
      <c r="C330" s="10" t="str">
        <f t="shared" si="51"/>
        <v/>
      </c>
      <c r="D330" s="9"/>
      <c r="E330" s="9" t="str">
        <f t="shared" si="52"/>
        <v/>
      </c>
      <c r="F330" s="9"/>
      <c r="G330" s="3"/>
      <c r="H330" s="3"/>
      <c r="I330" s="8"/>
      <c r="J330" s="3"/>
      <c r="K330" s="13"/>
      <c r="L330" s="3"/>
      <c r="M330" s="8"/>
      <c r="N330" s="8"/>
      <c r="O330" s="21"/>
      <c r="P330" s="3"/>
      <c r="Q330" s="3"/>
      <c r="R330" s="3"/>
    </row>
    <row r="331" spans="1:18" ht="18">
      <c r="A331" s="14"/>
      <c r="B331" s="150" t="str">
        <f>UPPER(H331)</f>
        <v>MANAGEMENT</v>
      </c>
      <c r="C331" s="141"/>
      <c r="D331" s="141"/>
      <c r="E331" s="141"/>
      <c r="F331" s="141"/>
      <c r="G331" s="28"/>
      <c r="H331" s="167" t="s">
        <v>392</v>
      </c>
      <c r="I331" s="141"/>
      <c r="J331" s="141"/>
      <c r="K331" s="141"/>
      <c r="L331" s="141"/>
      <c r="M331" s="29"/>
      <c r="N331" s="149" t="s">
        <v>865</v>
      </c>
      <c r="O331" s="141"/>
      <c r="P331" s="141"/>
      <c r="Q331" s="141"/>
      <c r="R331" s="141"/>
    </row>
    <row r="332" spans="1:18" ht="12.75">
      <c r="A332" s="14"/>
      <c r="B332" s="9"/>
      <c r="C332" s="10"/>
      <c r="D332" s="9"/>
      <c r="E332" s="9"/>
      <c r="F332" s="9"/>
      <c r="G332" s="3"/>
      <c r="H332" s="3"/>
      <c r="I332" s="8"/>
      <c r="J332" s="3"/>
      <c r="K332" s="3"/>
      <c r="L332" s="3"/>
      <c r="M332" s="3"/>
      <c r="N332" s="3"/>
      <c r="O332" s="8"/>
      <c r="P332" s="3"/>
      <c r="Q332" s="3"/>
      <c r="R332" s="3"/>
    </row>
    <row r="333" spans="1:18" ht="12.75">
      <c r="A333" s="14"/>
      <c r="B333" s="9"/>
      <c r="C333" s="10" t="str">
        <f>UPPER(I333)</f>
        <v>STUDIO MANAGEMENT</v>
      </c>
      <c r="D333" s="9"/>
      <c r="E333" s="9" t="str">
        <f>UPPER(K333)</f>
        <v>SANGWAN SEOK</v>
      </c>
      <c r="F333" s="9"/>
      <c r="G333" s="3"/>
      <c r="H333" s="3"/>
      <c r="I333" s="8" t="s">
        <v>393</v>
      </c>
      <c r="J333" s="3"/>
      <c r="K333" s="3" t="s">
        <v>394</v>
      </c>
      <c r="L333" s="3"/>
      <c r="M333" s="3"/>
      <c r="N333" s="3"/>
      <c r="O333" s="8" t="s">
        <v>866</v>
      </c>
      <c r="P333" s="3"/>
      <c r="Q333" s="3" t="s">
        <v>867</v>
      </c>
      <c r="R333" s="3"/>
    </row>
    <row r="334" spans="1:18" ht="15">
      <c r="A334" s="14"/>
      <c r="B334" s="146" t="str">
        <f>UPPER(H334)</f>
        <v/>
      </c>
      <c r="C334" s="141"/>
      <c r="D334" s="141"/>
      <c r="E334" s="141"/>
      <c r="F334" s="141"/>
      <c r="G334" s="3"/>
      <c r="H334" s="3"/>
      <c r="I334" s="8"/>
      <c r="J334" s="3"/>
      <c r="K334" s="93"/>
      <c r="L334" s="3"/>
      <c r="M334" s="3"/>
      <c r="N334" s="3"/>
      <c r="O334" s="8"/>
      <c r="P334" s="3"/>
      <c r="Q334" s="3"/>
      <c r="R334" s="3"/>
    </row>
    <row r="335" spans="1:18" ht="12.75">
      <c r="A335" s="14"/>
      <c r="B335" s="9"/>
      <c r="C335" s="10" t="str">
        <f t="shared" ref="C335:C339" si="53">UPPER(I335)</f>
        <v>SUPERVISING PRODUCER</v>
      </c>
      <c r="D335" s="9"/>
      <c r="E335" s="9" t="str">
        <f t="shared" ref="E335:E339" si="54">UPPER(K335)</f>
        <v>JARIN SOHN</v>
      </c>
      <c r="F335" s="9"/>
      <c r="G335" s="3"/>
      <c r="H335" s="3"/>
      <c r="I335" s="8" t="s">
        <v>395</v>
      </c>
      <c r="J335" s="3"/>
      <c r="K335" s="93" t="s">
        <v>396</v>
      </c>
      <c r="L335" s="3"/>
      <c r="M335" s="8"/>
      <c r="N335" s="3"/>
      <c r="O335" s="8" t="s">
        <v>868</v>
      </c>
      <c r="P335" s="3"/>
      <c r="Q335" s="3" t="s">
        <v>869</v>
      </c>
      <c r="R335" s="3"/>
    </row>
    <row r="336" spans="1:18" ht="12.75">
      <c r="A336" s="14"/>
      <c r="B336" s="9"/>
      <c r="C336" s="10" t="str">
        <f t="shared" si="53"/>
        <v/>
      </c>
      <c r="D336" s="9"/>
      <c r="E336" s="9" t="str">
        <f t="shared" si="54"/>
        <v/>
      </c>
      <c r="F336" s="9"/>
      <c r="G336" s="3"/>
      <c r="H336" s="3"/>
      <c r="I336" s="8"/>
      <c r="J336" s="3"/>
      <c r="K336" s="93"/>
      <c r="L336" s="3"/>
      <c r="M336" s="8"/>
      <c r="N336" s="3"/>
      <c r="O336" s="8"/>
      <c r="P336" s="3"/>
      <c r="Q336" s="3"/>
      <c r="R336" s="3"/>
    </row>
    <row r="337" spans="1:18" ht="15">
      <c r="A337" s="14"/>
      <c r="B337" s="6"/>
      <c r="C337" s="10" t="str">
        <f t="shared" si="53"/>
        <v>IP BUSINESS</v>
      </c>
      <c r="D337" s="9"/>
      <c r="E337" s="9" t="str">
        <f t="shared" si="54"/>
        <v>YEOMIN YOON</v>
      </c>
      <c r="F337" s="6"/>
      <c r="G337" s="3"/>
      <c r="H337" s="3"/>
      <c r="I337" s="8" t="s">
        <v>397</v>
      </c>
      <c r="J337" s="3"/>
      <c r="K337" s="93" t="s">
        <v>398</v>
      </c>
      <c r="L337" s="3"/>
      <c r="M337" s="8"/>
      <c r="N337" s="3"/>
      <c r="O337" s="8" t="s">
        <v>870</v>
      </c>
      <c r="P337" s="3"/>
      <c r="Q337" s="3" t="s">
        <v>871</v>
      </c>
      <c r="R337" s="3"/>
    </row>
    <row r="338" spans="1:18" ht="12.75">
      <c r="A338" s="14"/>
      <c r="B338" s="9"/>
      <c r="C338" s="10" t="str">
        <f t="shared" si="53"/>
        <v/>
      </c>
      <c r="D338" s="9"/>
      <c r="E338" s="9" t="str">
        <f t="shared" si="54"/>
        <v>SANGWON NAM</v>
      </c>
      <c r="F338" s="9"/>
      <c r="G338" s="3"/>
      <c r="H338" s="3"/>
      <c r="I338" s="8"/>
      <c r="J338" s="3"/>
      <c r="K338" s="93" t="s">
        <v>399</v>
      </c>
      <c r="L338" s="3"/>
      <c r="M338" s="8"/>
      <c r="N338" s="3"/>
      <c r="O338" s="8"/>
      <c r="P338" s="3"/>
      <c r="Q338" s="3" t="s">
        <v>872</v>
      </c>
      <c r="R338" s="3"/>
    </row>
    <row r="339" spans="1:18" ht="12.75">
      <c r="A339" s="14"/>
      <c r="B339" s="9"/>
      <c r="C339" s="10" t="str">
        <f t="shared" si="53"/>
        <v/>
      </c>
      <c r="D339" s="9"/>
      <c r="E339" s="9" t="str">
        <f t="shared" si="54"/>
        <v xml:space="preserve">GAHYUN BAIK </v>
      </c>
      <c r="F339" s="9"/>
      <c r="G339" s="3"/>
      <c r="H339" s="3"/>
      <c r="I339" s="8"/>
      <c r="J339" s="3"/>
      <c r="K339" s="93" t="s">
        <v>400</v>
      </c>
      <c r="L339" s="3"/>
      <c r="M339" s="8"/>
      <c r="N339" s="3"/>
      <c r="O339" s="8"/>
      <c r="P339" s="3"/>
      <c r="Q339" s="3" t="s">
        <v>873</v>
      </c>
      <c r="R339" s="3"/>
    </row>
    <row r="340" spans="1:18" ht="12.75">
      <c r="A340" s="14"/>
      <c r="B340" s="9"/>
      <c r="C340" s="10"/>
      <c r="D340" s="9"/>
      <c r="E340" s="9"/>
      <c r="F340" s="9"/>
      <c r="G340" s="3"/>
      <c r="H340" s="3"/>
      <c r="I340" s="8"/>
      <c r="J340" s="3"/>
      <c r="K340" s="93" t="s">
        <v>874</v>
      </c>
      <c r="L340" s="3"/>
      <c r="M340" s="8"/>
      <c r="N340" s="3"/>
      <c r="O340" s="8"/>
      <c r="P340" s="3"/>
      <c r="Q340" s="3" t="s">
        <v>875</v>
      </c>
      <c r="R340" s="3"/>
    </row>
    <row r="341" spans="1:18" ht="12.75">
      <c r="A341" s="14"/>
      <c r="B341" s="9"/>
      <c r="C341" s="10" t="str">
        <f t="shared" ref="C341:C345" si="55">UPPER(I341)</f>
        <v/>
      </c>
      <c r="D341" s="9"/>
      <c r="E341" s="9" t="str">
        <f t="shared" ref="E341:E345" si="56">UPPER(K341)</f>
        <v/>
      </c>
      <c r="F341" s="9"/>
      <c r="G341" s="3"/>
      <c r="H341" s="3"/>
      <c r="I341" s="8"/>
      <c r="J341" s="3"/>
      <c r="K341" s="3"/>
      <c r="L341" s="3"/>
      <c r="M341" s="8"/>
      <c r="N341" s="3"/>
      <c r="O341" s="8"/>
      <c r="P341" s="3"/>
      <c r="Q341" s="3"/>
      <c r="R341" s="3"/>
    </row>
    <row r="342" spans="1:18" ht="12.75">
      <c r="A342" s="14"/>
      <c r="B342" s="9"/>
      <c r="C342" s="10" t="str">
        <f t="shared" si="55"/>
        <v>ACCOUNTING</v>
      </c>
      <c r="D342" s="9"/>
      <c r="E342" s="9" t="str">
        <f t="shared" si="56"/>
        <v>JAEHWAN SHIN</v>
      </c>
      <c r="F342" s="9"/>
      <c r="G342" s="3"/>
      <c r="H342" s="3"/>
      <c r="I342" s="8" t="s">
        <v>401</v>
      </c>
      <c r="J342" s="3"/>
      <c r="K342" s="3" t="s">
        <v>402</v>
      </c>
      <c r="L342" s="3"/>
      <c r="M342" s="8"/>
      <c r="N342" s="3"/>
      <c r="O342" s="8" t="s">
        <v>876</v>
      </c>
      <c r="P342" s="3"/>
      <c r="Q342" s="3" t="s">
        <v>877</v>
      </c>
      <c r="R342" s="3"/>
    </row>
    <row r="343" spans="1:18" ht="12.75">
      <c r="A343" s="14"/>
      <c r="B343" s="9"/>
      <c r="C343" s="10" t="str">
        <f t="shared" si="55"/>
        <v/>
      </c>
      <c r="D343" s="9"/>
      <c r="E343" s="9" t="str">
        <f t="shared" si="56"/>
        <v/>
      </c>
      <c r="F343" s="9"/>
      <c r="G343" s="3"/>
      <c r="H343" s="3"/>
      <c r="I343" s="8"/>
      <c r="J343" s="3"/>
      <c r="K343" s="3"/>
      <c r="L343" s="3"/>
      <c r="M343" s="8"/>
      <c r="N343" s="8"/>
      <c r="O343" s="21"/>
      <c r="P343" s="3"/>
      <c r="Q343" s="3"/>
      <c r="R343" s="3"/>
    </row>
    <row r="344" spans="1:18" ht="12.75">
      <c r="A344" s="14"/>
      <c r="B344" s="9"/>
      <c r="C344" s="10" t="str">
        <f t="shared" si="55"/>
        <v>HUMAN RESOURCES</v>
      </c>
      <c r="D344" s="9"/>
      <c r="E344" s="9" t="str">
        <f t="shared" si="56"/>
        <v>JIN KIM</v>
      </c>
      <c r="F344" s="9"/>
      <c r="G344" s="3"/>
      <c r="H344" s="3"/>
      <c r="I344" s="8" t="s">
        <v>403</v>
      </c>
      <c r="J344" s="3"/>
      <c r="K344" s="3" t="s">
        <v>404</v>
      </c>
      <c r="L344" s="3"/>
      <c r="M344" s="8"/>
      <c r="N344" s="8"/>
      <c r="O344" s="8" t="s">
        <v>878</v>
      </c>
      <c r="P344" s="3"/>
      <c r="Q344" s="3" t="s">
        <v>879</v>
      </c>
      <c r="R344" s="3"/>
    </row>
    <row r="345" spans="1:18" ht="12.75">
      <c r="A345" s="14"/>
      <c r="B345" s="9"/>
      <c r="C345" s="10" t="str">
        <f t="shared" si="55"/>
        <v/>
      </c>
      <c r="D345" s="9"/>
      <c r="E345" s="9" t="str">
        <f t="shared" si="56"/>
        <v/>
      </c>
      <c r="F345" s="9"/>
      <c r="G345" s="3"/>
      <c r="H345" s="3"/>
      <c r="I345" s="8"/>
      <c r="J345" s="3"/>
      <c r="K345" s="3"/>
      <c r="L345" s="3"/>
      <c r="M345" s="8"/>
      <c r="N345" s="3"/>
      <c r="O345" s="8"/>
      <c r="P345" s="3"/>
      <c r="Q345" s="3"/>
      <c r="R345" s="3"/>
    </row>
    <row r="346" spans="1:18" ht="12.75">
      <c r="A346" s="14"/>
      <c r="B346" s="11"/>
      <c r="C346" s="12"/>
      <c r="D346" s="11"/>
      <c r="E346" s="11"/>
      <c r="F346" s="11"/>
      <c r="G346" s="3"/>
      <c r="H346" s="3"/>
      <c r="I346" s="8"/>
      <c r="J346" s="3"/>
      <c r="K346" s="13"/>
      <c r="L346" s="3"/>
      <c r="M346" s="3"/>
      <c r="N346" s="3"/>
      <c r="O346" s="8"/>
      <c r="P346" s="3"/>
      <c r="Q346" s="3"/>
      <c r="R346" s="3"/>
    </row>
    <row r="347" spans="1:18" ht="12.75">
      <c r="A347" s="14"/>
      <c r="B347" s="42"/>
      <c r="C347" s="10" t="str">
        <f>UPPER(I347)</f>
        <v/>
      </c>
      <c r="D347" s="9"/>
      <c r="E347" s="9" t="str">
        <f>UPPER(K347)</f>
        <v/>
      </c>
      <c r="F347" s="42"/>
      <c r="G347" s="3"/>
      <c r="H347" s="8"/>
      <c r="I347" s="8"/>
      <c r="J347" s="8"/>
      <c r="K347" s="13"/>
      <c r="L347" s="8"/>
      <c r="M347" s="8"/>
      <c r="N347" s="8"/>
      <c r="O347" s="8"/>
      <c r="P347" s="3"/>
      <c r="Q347" s="3"/>
      <c r="R347" s="3"/>
    </row>
    <row r="348" spans="1:18" ht="18">
      <c r="A348" s="14"/>
      <c r="B348" s="150" t="str">
        <f t="shared" ref="B348:B349" si="57">UPPER(H348)</f>
        <v>ADDITIONAL ARTISTS</v>
      </c>
      <c r="C348" s="141"/>
      <c r="D348" s="141"/>
      <c r="E348" s="141"/>
      <c r="F348" s="141"/>
      <c r="G348" s="28"/>
      <c r="H348" s="167" t="s">
        <v>405</v>
      </c>
      <c r="I348" s="141"/>
      <c r="J348" s="141"/>
      <c r="K348" s="141"/>
      <c r="L348" s="141"/>
      <c r="M348" s="29"/>
      <c r="N348" s="149" t="s">
        <v>880</v>
      </c>
      <c r="O348" s="141"/>
      <c r="P348" s="141"/>
      <c r="Q348" s="141"/>
      <c r="R348" s="141"/>
    </row>
    <row r="349" spans="1:18" ht="12.75">
      <c r="A349" s="14"/>
      <c r="B349" s="165" t="str">
        <f t="shared" si="57"/>
        <v>YGGDRAZIL GROUP PUBLIC CO., LTD.</v>
      </c>
      <c r="C349" s="141"/>
      <c r="D349" s="141"/>
      <c r="E349" s="141"/>
      <c r="F349" s="141"/>
      <c r="G349" s="44"/>
      <c r="H349" s="168" t="s">
        <v>406</v>
      </c>
      <c r="I349" s="141"/>
      <c r="J349" s="141"/>
      <c r="K349" s="141"/>
      <c r="L349" s="141"/>
      <c r="M349" s="44"/>
      <c r="N349" s="168" t="s">
        <v>406</v>
      </c>
      <c r="O349" s="141"/>
      <c r="P349" s="141"/>
      <c r="Q349" s="141"/>
      <c r="R349" s="141"/>
    </row>
    <row r="350" spans="1:18" ht="12.75">
      <c r="A350" s="14"/>
      <c r="B350" s="9"/>
      <c r="C350" s="10"/>
      <c r="D350" s="9"/>
      <c r="E350" s="9"/>
      <c r="F350" s="9"/>
      <c r="G350" s="3"/>
      <c r="H350" s="13"/>
      <c r="I350" s="8"/>
      <c r="J350" s="3"/>
      <c r="K350" s="3"/>
      <c r="L350" s="3"/>
      <c r="M350" s="8"/>
      <c r="N350" s="13"/>
      <c r="O350" s="8"/>
      <c r="P350" s="3"/>
      <c r="Q350" s="3"/>
      <c r="R350" s="3"/>
    </row>
    <row r="351" spans="1:18" ht="12.75">
      <c r="A351" s="14"/>
      <c r="B351" s="9"/>
      <c r="C351" s="10" t="str">
        <f>UPPER(I351)</f>
        <v>ANIMATION DIRECTOR</v>
      </c>
      <c r="D351" s="9"/>
      <c r="E351" s="9" t="str">
        <f>UPPER(K351)</f>
        <v>PAIRATCH LERTKAJORNWONG</v>
      </c>
      <c r="F351" s="9"/>
      <c r="G351" s="3"/>
      <c r="H351" s="13"/>
      <c r="I351" s="8" t="s">
        <v>291</v>
      </c>
      <c r="J351" s="3"/>
      <c r="K351" s="3" t="s">
        <v>407</v>
      </c>
      <c r="L351" s="3"/>
      <c r="M351" s="8"/>
      <c r="N351" s="13"/>
      <c r="O351" s="8" t="s">
        <v>291</v>
      </c>
      <c r="P351" s="3"/>
      <c r="Q351" s="3" t="s">
        <v>407</v>
      </c>
      <c r="R351" s="3"/>
    </row>
    <row r="352" spans="1:18" ht="15">
      <c r="A352" s="14"/>
      <c r="B352" s="6"/>
      <c r="C352" s="6"/>
      <c r="D352" s="6"/>
      <c r="E352" s="6"/>
      <c r="F352" s="6"/>
      <c r="G352" s="3"/>
      <c r="H352" s="5"/>
      <c r="I352" s="5"/>
      <c r="J352" s="5"/>
      <c r="K352" s="5"/>
      <c r="L352" s="5"/>
      <c r="M352" s="8"/>
      <c r="N352" s="5"/>
      <c r="O352" s="5"/>
      <c r="P352" s="5"/>
      <c r="Q352" s="5"/>
      <c r="R352" s="5"/>
    </row>
    <row r="353" spans="1:18" ht="12.75">
      <c r="A353" s="14"/>
      <c r="B353" s="42"/>
      <c r="C353" s="10" t="str">
        <f t="shared" ref="C353:C369" si="58">UPPER(I353)</f>
        <v>ASSET SUPERVISOR</v>
      </c>
      <c r="D353" s="9"/>
      <c r="E353" s="9" t="str">
        <f t="shared" ref="E353:E370" si="59">UPPER(K353)</f>
        <v>PANUWAT BOVORNSIRISARP</v>
      </c>
      <c r="F353" s="42"/>
      <c r="G353" s="3"/>
      <c r="H353" s="8"/>
      <c r="I353" s="8" t="s">
        <v>209</v>
      </c>
      <c r="J353" s="8"/>
      <c r="K353" s="2" t="s">
        <v>408</v>
      </c>
      <c r="L353" s="8"/>
      <c r="M353" s="8"/>
      <c r="N353" s="8"/>
      <c r="O353" s="8" t="s">
        <v>209</v>
      </c>
      <c r="P353" s="8"/>
      <c r="Q353" s="2" t="s">
        <v>408</v>
      </c>
      <c r="R353" s="8"/>
    </row>
    <row r="354" spans="1:18" ht="12.75">
      <c r="A354" s="14"/>
      <c r="B354" s="42"/>
      <c r="C354" s="10" t="str">
        <f t="shared" si="58"/>
        <v>LEAD ASSET</v>
      </c>
      <c r="D354" s="9"/>
      <c r="E354" s="9" t="str">
        <f t="shared" si="59"/>
        <v>PRADTANA TARWONG</v>
      </c>
      <c r="F354" s="42"/>
      <c r="G354" s="3"/>
      <c r="H354" s="8"/>
      <c r="I354" s="8" t="s">
        <v>409</v>
      </c>
      <c r="J354" s="8"/>
      <c r="K354" s="2" t="s">
        <v>410</v>
      </c>
      <c r="L354" s="8"/>
      <c r="M354" s="8"/>
      <c r="N354" s="8"/>
      <c r="O354" s="8" t="s">
        <v>409</v>
      </c>
      <c r="P354" s="8"/>
      <c r="Q354" s="2" t="s">
        <v>410</v>
      </c>
      <c r="R354" s="8"/>
    </row>
    <row r="355" spans="1:18" ht="12.75">
      <c r="A355" s="14"/>
      <c r="B355" s="42"/>
      <c r="C355" s="10" t="str">
        <f t="shared" si="58"/>
        <v>ASSET ARTIST</v>
      </c>
      <c r="D355" s="9"/>
      <c r="E355" s="9" t="str">
        <f t="shared" si="59"/>
        <v>PUCHIT YOTWICHAI</v>
      </c>
      <c r="F355" s="42"/>
      <c r="G355" s="3"/>
      <c r="H355" s="8"/>
      <c r="I355" s="8" t="s">
        <v>411</v>
      </c>
      <c r="J355" s="8"/>
      <c r="K355" s="2" t="s">
        <v>412</v>
      </c>
      <c r="L355" s="8"/>
      <c r="M355" s="8"/>
      <c r="N355" s="8"/>
      <c r="O355" s="8" t="s">
        <v>411</v>
      </c>
      <c r="P355" s="8"/>
      <c r="Q355" s="2" t="s">
        <v>412</v>
      </c>
      <c r="R355" s="8"/>
    </row>
    <row r="356" spans="1:18" ht="12.75">
      <c r="A356" s="14"/>
      <c r="B356" s="42"/>
      <c r="C356" s="10" t="str">
        <f t="shared" si="58"/>
        <v/>
      </c>
      <c r="D356" s="9"/>
      <c r="E356" s="9" t="str">
        <f t="shared" si="59"/>
        <v>RITHIKEAT TEACHO</v>
      </c>
      <c r="F356" s="42"/>
      <c r="G356" s="3"/>
      <c r="H356" s="8"/>
      <c r="I356" s="8"/>
      <c r="J356" s="8"/>
      <c r="K356" s="2" t="s">
        <v>413</v>
      </c>
      <c r="L356" s="8"/>
      <c r="M356" s="8"/>
      <c r="N356" s="8"/>
      <c r="O356" s="8"/>
      <c r="P356" s="8"/>
      <c r="Q356" s="2" t="s">
        <v>413</v>
      </c>
      <c r="R356" s="8"/>
    </row>
    <row r="357" spans="1:18" ht="12.75">
      <c r="A357" s="14"/>
      <c r="B357" s="42"/>
      <c r="C357" s="10" t="str">
        <f t="shared" si="58"/>
        <v/>
      </c>
      <c r="D357" s="9"/>
      <c r="E357" s="9" t="str">
        <f t="shared" si="59"/>
        <v>JAKKRIT JAROENSUK</v>
      </c>
      <c r="F357" s="42"/>
      <c r="G357" s="3"/>
      <c r="H357" s="8"/>
      <c r="I357" s="8"/>
      <c r="J357" s="8"/>
      <c r="K357" s="2" t="s">
        <v>414</v>
      </c>
      <c r="L357" s="8"/>
      <c r="M357" s="8"/>
      <c r="N357" s="8"/>
      <c r="O357" s="8"/>
      <c r="P357" s="8"/>
      <c r="Q357" s="2" t="s">
        <v>414</v>
      </c>
      <c r="R357" s="8"/>
    </row>
    <row r="358" spans="1:18" ht="12.75">
      <c r="A358" s="14"/>
      <c r="B358" s="42"/>
      <c r="C358" s="10" t="str">
        <f t="shared" si="58"/>
        <v/>
      </c>
      <c r="D358" s="9"/>
      <c r="E358" s="9" t="str">
        <f t="shared" si="59"/>
        <v>NAWAPAS MAINKOON</v>
      </c>
      <c r="F358" s="42"/>
      <c r="G358" s="3"/>
      <c r="H358" s="8"/>
      <c r="I358" s="8"/>
      <c r="J358" s="8"/>
      <c r="K358" s="2" t="s">
        <v>415</v>
      </c>
      <c r="L358" s="8"/>
      <c r="M358" s="8"/>
      <c r="N358" s="8"/>
      <c r="O358" s="8"/>
      <c r="P358" s="8"/>
      <c r="Q358" s="2" t="s">
        <v>415</v>
      </c>
      <c r="R358" s="8"/>
    </row>
    <row r="359" spans="1:18" ht="12.75">
      <c r="A359" s="14"/>
      <c r="B359" s="42"/>
      <c r="C359" s="10" t="str">
        <f t="shared" si="58"/>
        <v/>
      </c>
      <c r="D359" s="9"/>
      <c r="E359" s="9" t="str">
        <f t="shared" si="59"/>
        <v>THARIT BANCHANURAT</v>
      </c>
      <c r="F359" s="42"/>
      <c r="G359" s="3"/>
      <c r="H359" s="8"/>
      <c r="I359" s="8"/>
      <c r="J359" s="3"/>
      <c r="K359" s="2" t="s">
        <v>416</v>
      </c>
      <c r="L359" s="8"/>
      <c r="M359" s="8"/>
      <c r="N359" s="8"/>
      <c r="O359" s="8"/>
      <c r="P359" s="3"/>
      <c r="Q359" s="2" t="s">
        <v>416</v>
      </c>
      <c r="R359" s="8"/>
    </row>
    <row r="360" spans="1:18" ht="12.75">
      <c r="A360" s="14"/>
      <c r="B360" s="42"/>
      <c r="C360" s="10" t="str">
        <f t="shared" si="58"/>
        <v/>
      </c>
      <c r="D360" s="9"/>
      <c r="E360" s="9" t="str">
        <f t="shared" si="59"/>
        <v>PALINEE ANURATANAPRASIT</v>
      </c>
      <c r="F360" s="42"/>
      <c r="G360" s="3"/>
      <c r="H360" s="8"/>
      <c r="I360" s="8"/>
      <c r="J360" s="3"/>
      <c r="K360" s="2" t="s">
        <v>417</v>
      </c>
      <c r="L360" s="8"/>
      <c r="M360" s="8"/>
      <c r="N360" s="8"/>
      <c r="O360" s="8"/>
      <c r="P360" s="3"/>
      <c r="Q360" s="2" t="s">
        <v>417</v>
      </c>
      <c r="R360" s="8"/>
    </row>
    <row r="361" spans="1:18" ht="12.75">
      <c r="A361" s="14"/>
      <c r="B361" s="42"/>
      <c r="C361" s="10" t="str">
        <f t="shared" si="58"/>
        <v/>
      </c>
      <c r="D361" s="9"/>
      <c r="E361" s="9" t="str">
        <f t="shared" si="59"/>
        <v>PHARUNYOO PROMKORN</v>
      </c>
      <c r="F361" s="42"/>
      <c r="G361" s="3"/>
      <c r="H361" s="8"/>
      <c r="I361" s="8"/>
      <c r="J361" s="3"/>
      <c r="K361" s="2" t="s">
        <v>418</v>
      </c>
      <c r="L361" s="8"/>
      <c r="M361" s="8"/>
      <c r="N361" s="8"/>
      <c r="O361" s="8"/>
      <c r="P361" s="3"/>
      <c r="Q361" s="2" t="s">
        <v>418</v>
      </c>
      <c r="R361" s="8"/>
    </row>
    <row r="362" spans="1:18" ht="12.75">
      <c r="A362" s="14"/>
      <c r="B362" s="42"/>
      <c r="C362" s="10" t="str">
        <f t="shared" si="58"/>
        <v/>
      </c>
      <c r="D362" s="9"/>
      <c r="E362" s="9" t="str">
        <f t="shared" si="59"/>
        <v>CHANANKARN KANTA</v>
      </c>
      <c r="F362" s="42"/>
      <c r="G362" s="3"/>
      <c r="H362" s="8"/>
      <c r="I362" s="8"/>
      <c r="J362" s="3"/>
      <c r="K362" s="2" t="s">
        <v>419</v>
      </c>
      <c r="L362" s="8"/>
      <c r="M362" s="8"/>
      <c r="N362" s="8"/>
      <c r="O362" s="8"/>
      <c r="P362" s="3"/>
      <c r="Q362" s="2" t="s">
        <v>419</v>
      </c>
      <c r="R362" s="8"/>
    </row>
    <row r="363" spans="1:18" ht="12.75">
      <c r="A363" s="14"/>
      <c r="B363" s="42"/>
      <c r="C363" s="10" t="str">
        <f t="shared" si="58"/>
        <v/>
      </c>
      <c r="D363" s="9"/>
      <c r="E363" s="9" t="str">
        <f t="shared" si="59"/>
        <v>CHANAPAT THUETRONG</v>
      </c>
      <c r="F363" s="42"/>
      <c r="G363" s="3"/>
      <c r="H363" s="8"/>
      <c r="I363" s="8"/>
      <c r="J363" s="3"/>
      <c r="K363" s="2" t="s">
        <v>420</v>
      </c>
      <c r="L363" s="8"/>
      <c r="M363" s="8"/>
      <c r="N363" s="8"/>
      <c r="O363" s="8"/>
      <c r="P363" s="3"/>
      <c r="Q363" s="2" t="s">
        <v>420</v>
      </c>
      <c r="R363" s="8"/>
    </row>
    <row r="364" spans="1:18" ht="12.75">
      <c r="A364" s="14"/>
      <c r="B364" s="42"/>
      <c r="C364" s="10" t="str">
        <f t="shared" si="58"/>
        <v/>
      </c>
      <c r="D364" s="9"/>
      <c r="E364" s="9" t="str">
        <f t="shared" si="59"/>
        <v>TARIGAN SUKONTAGON</v>
      </c>
      <c r="F364" s="42"/>
      <c r="G364" s="3"/>
      <c r="H364" s="8"/>
      <c r="I364" s="8"/>
      <c r="J364" s="3"/>
      <c r="K364" s="2" t="s">
        <v>421</v>
      </c>
      <c r="L364" s="8"/>
      <c r="M364" s="8"/>
      <c r="N364" s="8"/>
      <c r="O364" s="8"/>
      <c r="P364" s="3"/>
      <c r="Q364" s="2" t="s">
        <v>421</v>
      </c>
      <c r="R364" s="8"/>
    </row>
    <row r="365" spans="1:18" ht="12.75">
      <c r="A365" s="14"/>
      <c r="B365" s="42"/>
      <c r="C365" s="10" t="str">
        <f t="shared" si="58"/>
        <v/>
      </c>
      <c r="D365" s="9"/>
      <c r="E365" s="9" t="str">
        <f t="shared" si="59"/>
        <v>WATCHARAPOL PANYAPITAKKUL</v>
      </c>
      <c r="F365" s="42"/>
      <c r="G365" s="3"/>
      <c r="H365" s="8"/>
      <c r="I365" s="8"/>
      <c r="J365" s="3"/>
      <c r="K365" s="2" t="s">
        <v>422</v>
      </c>
      <c r="L365" s="8"/>
      <c r="M365" s="8"/>
      <c r="N365" s="8"/>
      <c r="O365" s="8"/>
      <c r="P365" s="3"/>
      <c r="Q365" s="2" t="s">
        <v>422</v>
      </c>
      <c r="R365" s="8"/>
    </row>
    <row r="366" spans="1:18" ht="12.75">
      <c r="A366" s="14"/>
      <c r="B366" s="42"/>
      <c r="C366" s="10" t="str">
        <f t="shared" si="58"/>
        <v/>
      </c>
      <c r="D366" s="9"/>
      <c r="E366" s="9" t="str">
        <f t="shared" si="59"/>
        <v>PRAPABHORN POOMSIRI</v>
      </c>
      <c r="F366" s="42"/>
      <c r="G366" s="3"/>
      <c r="H366" s="8"/>
      <c r="I366" s="8"/>
      <c r="J366" s="3"/>
      <c r="K366" s="2" t="s">
        <v>423</v>
      </c>
      <c r="L366" s="8"/>
      <c r="M366" s="8"/>
      <c r="N366" s="8"/>
      <c r="O366" s="8"/>
      <c r="P366" s="3"/>
      <c r="Q366" s="2" t="s">
        <v>423</v>
      </c>
      <c r="R366" s="8"/>
    </row>
    <row r="367" spans="1:18" ht="12.75">
      <c r="A367" s="14"/>
      <c r="B367" s="42"/>
      <c r="C367" s="10" t="str">
        <f t="shared" si="58"/>
        <v/>
      </c>
      <c r="D367" s="9"/>
      <c r="E367" s="9" t="str">
        <f t="shared" si="59"/>
        <v>BAVORNSAK UDOMCHIMPLEE</v>
      </c>
      <c r="F367" s="42"/>
      <c r="G367" s="3"/>
      <c r="H367" s="8"/>
      <c r="I367" s="8"/>
      <c r="J367" s="3"/>
      <c r="K367" s="2" t="s">
        <v>424</v>
      </c>
      <c r="L367" s="8"/>
      <c r="M367" s="8"/>
      <c r="N367" s="8"/>
      <c r="O367" s="8"/>
      <c r="P367" s="3"/>
      <c r="Q367" s="2" t="s">
        <v>424</v>
      </c>
      <c r="R367" s="8"/>
    </row>
    <row r="368" spans="1:18" ht="12.75">
      <c r="A368" s="14"/>
      <c r="B368" s="42"/>
      <c r="C368" s="10" t="str">
        <f t="shared" si="58"/>
        <v/>
      </c>
      <c r="D368" s="9"/>
      <c r="E368" s="9" t="str">
        <f t="shared" si="59"/>
        <v/>
      </c>
      <c r="F368" s="42"/>
      <c r="G368" s="3"/>
      <c r="H368" s="8"/>
      <c r="I368" s="8"/>
      <c r="J368" s="3"/>
      <c r="K368" s="3"/>
      <c r="L368" s="8"/>
      <c r="M368" s="8"/>
      <c r="N368" s="8"/>
      <c r="O368" s="8"/>
      <c r="P368" s="3"/>
      <c r="Q368" s="3"/>
      <c r="R368" s="3"/>
    </row>
    <row r="369" spans="1:18" ht="12.75">
      <c r="A369" s="14"/>
      <c r="B369" s="11"/>
      <c r="C369" s="12" t="str">
        <f t="shared" si="58"/>
        <v/>
      </c>
      <c r="D369" s="11"/>
      <c r="E369" s="11" t="str">
        <f t="shared" si="59"/>
        <v/>
      </c>
      <c r="F369" s="11"/>
      <c r="G369" s="3"/>
      <c r="H369" s="3"/>
      <c r="I369" s="8"/>
      <c r="J369" s="3"/>
      <c r="K369" s="13"/>
      <c r="L369" s="3"/>
      <c r="M369" s="3"/>
      <c r="N369" s="3"/>
      <c r="O369" s="8"/>
      <c r="P369" s="3"/>
      <c r="Q369" s="3"/>
      <c r="R369" s="3"/>
    </row>
    <row r="370" spans="1:18" ht="12.75">
      <c r="A370" s="14"/>
      <c r="B370" s="9" t="str">
        <f t="shared" ref="B370:C370" si="60">UPPER(H370)</f>
        <v/>
      </c>
      <c r="C370" s="10" t="str">
        <f t="shared" si="60"/>
        <v/>
      </c>
      <c r="D370" s="9"/>
      <c r="E370" s="9" t="str">
        <f t="shared" si="59"/>
        <v/>
      </c>
      <c r="F370" s="9"/>
      <c r="G370" s="3"/>
      <c r="H370" s="3"/>
      <c r="I370" s="8"/>
      <c r="J370" s="3"/>
      <c r="K370" s="13"/>
      <c r="L370" s="3"/>
      <c r="M370" s="8"/>
      <c r="N370" s="8"/>
      <c r="O370" s="8"/>
      <c r="P370" s="3"/>
      <c r="Q370" s="3"/>
      <c r="R370" s="3"/>
    </row>
    <row r="371" spans="1:18" ht="18">
      <c r="A371" s="14"/>
      <c r="B371" s="150" t="str">
        <f>UPPER(H371)</f>
        <v>VOICE RECORDING</v>
      </c>
      <c r="C371" s="141"/>
      <c r="D371" s="141"/>
      <c r="E371" s="141"/>
      <c r="F371" s="141"/>
      <c r="G371" s="28"/>
      <c r="H371" s="167" t="s">
        <v>425</v>
      </c>
      <c r="I371" s="141"/>
      <c r="J371" s="141"/>
      <c r="K371" s="141"/>
      <c r="L371" s="141"/>
      <c r="M371" s="29"/>
      <c r="N371" s="149" t="s">
        <v>881</v>
      </c>
      <c r="O371" s="141"/>
      <c r="P371" s="141"/>
      <c r="Q371" s="141"/>
      <c r="R371" s="141"/>
    </row>
    <row r="372" spans="1:18" ht="12.75">
      <c r="A372" s="14"/>
      <c r="B372" s="9"/>
      <c r="C372" s="10" t="str">
        <f t="shared" ref="C372:C385" si="61">UPPER(I372)</f>
        <v>VOICE DIRECTOR</v>
      </c>
      <c r="D372" s="9"/>
      <c r="E372" s="9" t="str">
        <f t="shared" ref="E372:E385" si="62">UPPER(K372)</f>
        <v>TOM WAYLAND</v>
      </c>
      <c r="F372" s="9"/>
      <c r="G372" s="3"/>
      <c r="H372" s="3"/>
      <c r="I372" s="36" t="s">
        <v>426</v>
      </c>
      <c r="J372" s="2"/>
      <c r="K372" s="2" t="s">
        <v>58</v>
      </c>
      <c r="L372" s="3"/>
      <c r="M372" s="8"/>
      <c r="N372" s="3"/>
      <c r="O372" s="8" t="s">
        <v>882</v>
      </c>
      <c r="P372" s="3"/>
      <c r="Q372" s="3" t="s">
        <v>883</v>
      </c>
      <c r="R372" s="3"/>
    </row>
    <row r="373" spans="1:18" ht="12.75">
      <c r="A373" s="14"/>
      <c r="B373" s="9"/>
      <c r="C373" s="10" t="str">
        <f t="shared" si="61"/>
        <v/>
      </c>
      <c r="D373" s="9"/>
      <c r="E373" s="9" t="str">
        <f t="shared" si="62"/>
        <v/>
      </c>
      <c r="F373" s="9"/>
      <c r="G373" s="3"/>
      <c r="H373" s="3"/>
      <c r="I373" s="2"/>
      <c r="J373" s="2"/>
      <c r="K373" s="2"/>
      <c r="L373" s="3"/>
      <c r="M373" s="8"/>
      <c r="N373" s="3"/>
      <c r="O373" s="8"/>
      <c r="P373" s="3"/>
      <c r="Q373" s="3"/>
      <c r="R373" s="3"/>
    </row>
    <row r="374" spans="1:18" ht="12.75">
      <c r="A374" s="14"/>
      <c r="B374" s="9"/>
      <c r="C374" s="10" t="str">
        <f t="shared" si="61"/>
        <v>RECORDING ENGINEER</v>
      </c>
      <c r="D374" s="9"/>
      <c r="E374" s="9" t="str">
        <f t="shared" si="62"/>
        <v>COLTON EATMON</v>
      </c>
      <c r="F374" s="9"/>
      <c r="G374" s="3"/>
      <c r="H374" s="3"/>
      <c r="I374" s="36" t="s">
        <v>427</v>
      </c>
      <c r="J374" s="2"/>
      <c r="K374" s="2" t="s">
        <v>695</v>
      </c>
      <c r="L374" s="3"/>
      <c r="M374" s="8"/>
      <c r="N374" s="3"/>
      <c r="O374" s="8" t="s">
        <v>884</v>
      </c>
      <c r="P374" s="3"/>
      <c r="Q374" s="3" t="s">
        <v>885</v>
      </c>
      <c r="R374" s="3"/>
    </row>
    <row r="375" spans="1:18" ht="12.75">
      <c r="A375" s="14"/>
      <c r="B375" s="9"/>
      <c r="C375" s="10" t="str">
        <f t="shared" si="61"/>
        <v/>
      </c>
      <c r="D375" s="9"/>
      <c r="E375" s="9" t="str">
        <f t="shared" si="62"/>
        <v>DOMINIC DUNN</v>
      </c>
      <c r="F375" s="9"/>
      <c r="G375" s="3"/>
      <c r="H375" s="3"/>
      <c r="I375" s="2"/>
      <c r="J375" s="2"/>
      <c r="K375" s="2" t="s">
        <v>428</v>
      </c>
      <c r="L375" s="3"/>
      <c r="M375" s="8"/>
      <c r="N375" s="3"/>
      <c r="O375" s="8"/>
      <c r="P375" s="3"/>
      <c r="Q375" s="3"/>
      <c r="R375" s="3"/>
    </row>
    <row r="376" spans="1:18" ht="12.75">
      <c r="A376" s="14"/>
      <c r="B376" s="9"/>
      <c r="C376" s="10" t="str">
        <f t="shared" si="61"/>
        <v/>
      </c>
      <c r="D376" s="9"/>
      <c r="E376" s="9" t="str">
        <f t="shared" si="62"/>
        <v>FAHAD RAHMAN</v>
      </c>
      <c r="F376" s="9"/>
      <c r="G376" s="3"/>
      <c r="H376" s="3"/>
      <c r="I376" s="2"/>
      <c r="J376" s="2"/>
      <c r="K376" s="2" t="s">
        <v>429</v>
      </c>
      <c r="L376" s="3"/>
      <c r="M376" s="8"/>
      <c r="N376" s="3"/>
      <c r="O376" s="8" t="s">
        <v>886</v>
      </c>
      <c r="P376" s="3"/>
      <c r="Q376" s="3" t="s">
        <v>885</v>
      </c>
      <c r="R376" s="3"/>
    </row>
    <row r="377" spans="1:18" ht="12.75">
      <c r="A377" s="14"/>
      <c r="B377" s="9"/>
      <c r="C377" s="10" t="str">
        <f t="shared" si="61"/>
        <v/>
      </c>
      <c r="D377" s="9"/>
      <c r="E377" s="9" t="str">
        <f t="shared" si="62"/>
        <v>TOM WAYLAND</v>
      </c>
      <c r="F377" s="9"/>
      <c r="G377" s="3"/>
      <c r="H377" s="3"/>
      <c r="I377" s="2"/>
      <c r="J377" s="2"/>
      <c r="K377" s="2" t="s">
        <v>58</v>
      </c>
      <c r="L377" s="3"/>
      <c r="M377" s="8"/>
      <c r="N377" s="3"/>
      <c r="O377" s="8"/>
      <c r="P377" s="3"/>
      <c r="Q377" s="3"/>
      <c r="R377" s="3"/>
    </row>
    <row r="378" spans="1:18" ht="12.75">
      <c r="A378" s="14"/>
      <c r="B378" s="9"/>
      <c r="C378" s="10" t="str">
        <f t="shared" si="61"/>
        <v/>
      </c>
      <c r="D378" s="9"/>
      <c r="E378" s="9" t="str">
        <f t="shared" si="62"/>
        <v/>
      </c>
      <c r="F378" s="9"/>
      <c r="G378" s="3"/>
      <c r="H378" s="3"/>
      <c r="I378" s="2"/>
      <c r="J378" s="2"/>
      <c r="K378" s="2"/>
      <c r="L378" s="3"/>
      <c r="M378" s="8"/>
      <c r="N378" s="3"/>
      <c r="O378" s="8" t="s">
        <v>887</v>
      </c>
      <c r="P378" s="3"/>
      <c r="Q378" s="3" t="s">
        <v>885</v>
      </c>
      <c r="R378" s="3"/>
    </row>
    <row r="379" spans="1:18" ht="12.75">
      <c r="A379" s="14"/>
      <c r="B379" s="9"/>
      <c r="C379" s="10" t="str">
        <f t="shared" si="61"/>
        <v>VOICE CASTING</v>
      </c>
      <c r="D379" s="9"/>
      <c r="E379" s="9" t="str">
        <f t="shared" si="62"/>
        <v>TOM WAYLAND</v>
      </c>
      <c r="F379" s="9"/>
      <c r="G379" s="3"/>
      <c r="H379" s="3"/>
      <c r="I379" s="36" t="s">
        <v>430</v>
      </c>
      <c r="J379" s="2"/>
      <c r="K379" s="2" t="s">
        <v>58</v>
      </c>
      <c r="L379" s="3"/>
      <c r="M379" s="8"/>
      <c r="N379" s="3"/>
      <c r="O379" s="8"/>
      <c r="P379" s="3"/>
      <c r="Q379" s="13"/>
      <c r="R379" s="3"/>
    </row>
    <row r="380" spans="1:18" ht="12.75">
      <c r="A380" s="14"/>
      <c r="B380" s="9"/>
      <c r="C380" s="10" t="str">
        <f t="shared" si="61"/>
        <v/>
      </c>
      <c r="D380" s="9"/>
      <c r="E380" s="9" t="str">
        <f t="shared" si="62"/>
        <v/>
      </c>
      <c r="F380" s="9"/>
      <c r="G380" s="3"/>
      <c r="H380" s="3"/>
      <c r="I380" s="2"/>
      <c r="J380" s="2"/>
      <c r="K380" s="2"/>
      <c r="L380" s="3"/>
      <c r="M380" s="8"/>
      <c r="N380" s="3"/>
      <c r="O380" s="8"/>
      <c r="P380" s="3"/>
      <c r="Q380" s="13"/>
      <c r="R380" s="3"/>
    </row>
    <row r="381" spans="1:18" ht="12.75">
      <c r="A381" s="14"/>
      <c r="B381" s="9"/>
      <c r="C381" s="10" t="str">
        <f t="shared" si="61"/>
        <v>RECORDED BY</v>
      </c>
      <c r="D381" s="9"/>
      <c r="E381" s="9" t="str">
        <f t="shared" si="62"/>
        <v>3BEEP, NYC</v>
      </c>
      <c r="F381" s="9"/>
      <c r="G381" s="3"/>
      <c r="H381" s="3"/>
      <c r="I381" s="36" t="s">
        <v>431</v>
      </c>
      <c r="J381" s="2"/>
      <c r="K381" s="2" t="s">
        <v>432</v>
      </c>
      <c r="L381" s="3"/>
      <c r="M381" s="8"/>
      <c r="N381" s="3"/>
      <c r="O381" s="8"/>
      <c r="P381" s="3"/>
      <c r="Q381" s="13"/>
      <c r="R381" s="3"/>
    </row>
    <row r="382" spans="1:18" ht="12.75">
      <c r="A382" s="14"/>
      <c r="B382" s="9"/>
      <c r="C382" s="10" t="str">
        <f t="shared" si="61"/>
        <v/>
      </c>
      <c r="D382" s="9"/>
      <c r="E382" s="9" t="str">
        <f t="shared" si="62"/>
        <v/>
      </c>
      <c r="F382" s="9"/>
      <c r="G382" s="3"/>
      <c r="H382" s="3"/>
      <c r="I382" s="2"/>
      <c r="J382" s="2"/>
      <c r="K382" s="2"/>
      <c r="L382" s="3"/>
      <c r="M382" s="8"/>
      <c r="N382" s="3"/>
      <c r="O382" s="8"/>
      <c r="P382" s="3"/>
      <c r="Q382" s="13"/>
      <c r="R382" s="3"/>
    </row>
    <row r="383" spans="1:18" ht="12.75">
      <c r="A383" s="14"/>
      <c r="B383" s="9"/>
      <c r="C383" s="10" t="str">
        <f t="shared" si="61"/>
        <v>PRODUCER FOR  3BEEP</v>
      </c>
      <c r="D383" s="9"/>
      <c r="E383" s="9" t="str">
        <f t="shared" si="62"/>
        <v>TIM WERENKO</v>
      </c>
      <c r="F383" s="9"/>
      <c r="G383" s="3"/>
      <c r="H383" s="3"/>
      <c r="I383" s="36" t="s">
        <v>433</v>
      </c>
      <c r="J383" s="2"/>
      <c r="K383" s="2" t="s">
        <v>434</v>
      </c>
      <c r="L383" s="3"/>
      <c r="M383" s="8"/>
      <c r="N383" s="3"/>
      <c r="O383" s="8"/>
      <c r="P383" s="3"/>
      <c r="Q383" s="13"/>
      <c r="R383" s="3"/>
    </row>
    <row r="384" spans="1:18" ht="12.75">
      <c r="A384" s="14"/>
      <c r="B384" s="9"/>
      <c r="C384" s="10" t="str">
        <f t="shared" si="61"/>
        <v/>
      </c>
      <c r="D384" s="9"/>
      <c r="E384" s="9" t="str">
        <f t="shared" si="62"/>
        <v>TOM WAYLAND</v>
      </c>
      <c r="F384" s="9"/>
      <c r="G384" s="3"/>
      <c r="H384" s="3"/>
      <c r="I384" s="2"/>
      <c r="J384" s="2"/>
      <c r="K384" s="2" t="s">
        <v>58</v>
      </c>
      <c r="L384" s="3"/>
      <c r="M384" s="8"/>
      <c r="N384" s="3"/>
      <c r="O384" s="8"/>
      <c r="P384" s="3"/>
      <c r="Q384" s="13"/>
      <c r="R384" s="3"/>
    </row>
    <row r="385" spans="1:18" ht="12.75">
      <c r="A385" s="14"/>
      <c r="B385" s="9"/>
      <c r="C385" s="10" t="str">
        <f t="shared" si="61"/>
        <v/>
      </c>
      <c r="D385" s="9"/>
      <c r="E385" s="9" t="str">
        <f t="shared" si="62"/>
        <v/>
      </c>
      <c r="F385" s="9"/>
      <c r="G385" s="3"/>
      <c r="H385" s="3"/>
      <c r="I385" s="8"/>
      <c r="J385" s="3"/>
      <c r="K385" s="13"/>
      <c r="L385" s="3"/>
      <c r="M385" s="8"/>
      <c r="N385" s="8"/>
      <c r="O385" s="8"/>
      <c r="P385" s="3"/>
      <c r="Q385" s="3"/>
      <c r="R385" s="3"/>
    </row>
    <row r="386" spans="1:18" ht="12.75">
      <c r="A386" s="14"/>
      <c r="B386" s="11"/>
      <c r="C386" s="12"/>
      <c r="D386" s="11"/>
      <c r="E386" s="11"/>
      <c r="F386" s="11"/>
      <c r="G386" s="3"/>
      <c r="H386" s="3"/>
      <c r="I386" s="8"/>
      <c r="J386" s="3"/>
      <c r="K386" s="13"/>
      <c r="L386" s="3"/>
      <c r="M386" s="3"/>
      <c r="N386" s="3"/>
      <c r="O386" s="8"/>
      <c r="P386" s="3"/>
      <c r="Q386" s="3"/>
      <c r="R386" s="3"/>
    </row>
    <row r="387" spans="1:18" ht="15">
      <c r="A387" s="14"/>
      <c r="B387" s="6"/>
      <c r="C387" s="6"/>
      <c r="D387" s="6"/>
      <c r="E387" s="6"/>
      <c r="F387" s="6"/>
      <c r="G387" s="3"/>
      <c r="H387" s="5"/>
      <c r="I387" s="5"/>
      <c r="J387" s="5"/>
      <c r="K387" s="5"/>
      <c r="L387" s="5"/>
      <c r="M387" s="8"/>
      <c r="N387" s="8"/>
      <c r="O387" s="8"/>
      <c r="P387" s="3"/>
      <c r="Q387" s="3"/>
      <c r="R387" s="3"/>
    </row>
    <row r="388" spans="1:18" ht="18">
      <c r="A388" s="14"/>
      <c r="B388" s="150" t="str">
        <f>UPPER(H388)</f>
        <v>POST PRODUCTION / ORIGINAL SCORES &amp; SONGS</v>
      </c>
      <c r="C388" s="141"/>
      <c r="D388" s="141"/>
      <c r="E388" s="141"/>
      <c r="F388" s="141"/>
      <c r="G388" s="28"/>
      <c r="H388" s="167" t="s">
        <v>435</v>
      </c>
      <c r="I388" s="141"/>
      <c r="J388" s="141"/>
      <c r="K388" s="141"/>
      <c r="L388" s="141"/>
      <c r="M388" s="29"/>
      <c r="N388" s="149" t="s">
        <v>888</v>
      </c>
      <c r="O388" s="141"/>
      <c r="P388" s="141"/>
      <c r="Q388" s="141"/>
      <c r="R388" s="141"/>
    </row>
    <row r="389" spans="1:18" ht="12.75">
      <c r="A389" s="14"/>
      <c r="B389" s="9"/>
      <c r="C389" s="10" t="str">
        <f t="shared" ref="C389:C391" si="63">UPPER(I389)</f>
        <v>AUDIO POST PRODUCTION</v>
      </c>
      <c r="D389" s="9"/>
      <c r="E389" s="9" t="str">
        <f t="shared" ref="E389:E391" si="64">UPPER(K389)</f>
        <v>DOONG SOUND</v>
      </c>
      <c r="F389" s="9"/>
      <c r="G389" s="3"/>
      <c r="H389" s="3"/>
      <c r="I389" s="8" t="s">
        <v>436</v>
      </c>
      <c r="J389" s="3"/>
      <c r="K389" s="3" t="s">
        <v>437</v>
      </c>
      <c r="L389" s="3"/>
      <c r="M389" s="8"/>
      <c r="N389" s="3"/>
      <c r="O389" s="8" t="s">
        <v>889</v>
      </c>
      <c r="P389" s="3"/>
      <c r="Q389" s="3" t="s">
        <v>883</v>
      </c>
      <c r="R389" s="3"/>
    </row>
    <row r="390" spans="1:18" ht="15">
      <c r="A390" s="14"/>
      <c r="B390" s="6"/>
      <c r="C390" s="10" t="str">
        <f t="shared" si="63"/>
        <v>SOUND SUPERVISOR</v>
      </c>
      <c r="D390" s="9"/>
      <c r="E390" s="9" t="str">
        <f t="shared" si="64"/>
        <v>JEONGYOUNG PARK</v>
      </c>
      <c r="F390" s="6"/>
      <c r="G390" s="3"/>
      <c r="H390" s="3"/>
      <c r="I390" s="8" t="s">
        <v>438</v>
      </c>
      <c r="J390" s="3"/>
      <c r="K390" s="3" t="s">
        <v>439</v>
      </c>
      <c r="L390" s="3"/>
      <c r="M390" s="8"/>
      <c r="N390" s="3"/>
      <c r="O390" s="8" t="s">
        <v>890</v>
      </c>
      <c r="P390" s="3"/>
      <c r="Q390" s="3" t="s">
        <v>891</v>
      </c>
      <c r="R390" s="3"/>
    </row>
    <row r="391" spans="1:18" ht="15">
      <c r="A391" s="14"/>
      <c r="B391" s="6"/>
      <c r="C391" s="10" t="str">
        <f t="shared" si="63"/>
        <v>SOUND PRODUCTION MANAGER</v>
      </c>
      <c r="D391" s="9"/>
      <c r="E391" s="9" t="str">
        <f t="shared" si="64"/>
        <v>HYEJEONG HWANG</v>
      </c>
      <c r="F391" s="6"/>
      <c r="G391" s="3"/>
      <c r="H391" s="3"/>
      <c r="I391" s="8" t="s">
        <v>440</v>
      </c>
      <c r="J391" s="3"/>
      <c r="K391" s="3" t="s">
        <v>441</v>
      </c>
      <c r="L391" s="3"/>
      <c r="M391" s="8"/>
      <c r="N391" s="3"/>
      <c r="O391" s="8" t="s">
        <v>892</v>
      </c>
      <c r="P391" s="3"/>
      <c r="Q391" s="3" t="s">
        <v>885</v>
      </c>
      <c r="R391" s="3"/>
    </row>
    <row r="392" spans="1:18" ht="15">
      <c r="A392" s="14"/>
      <c r="B392" s="6"/>
      <c r="C392" s="6"/>
      <c r="D392" s="6"/>
      <c r="E392" s="6"/>
      <c r="F392" s="6"/>
      <c r="G392" s="3"/>
      <c r="H392" s="3"/>
      <c r="I392" s="8"/>
      <c r="J392" s="3"/>
      <c r="K392" s="3"/>
      <c r="L392" s="3"/>
      <c r="M392" s="8"/>
      <c r="N392" s="8"/>
      <c r="O392" s="8"/>
      <c r="P392" s="3"/>
      <c r="Q392" s="3"/>
      <c r="R392" s="3"/>
    </row>
    <row r="393" spans="1:18" ht="15">
      <c r="A393" s="14"/>
      <c r="B393" s="6"/>
      <c r="C393" s="6"/>
      <c r="D393" s="6"/>
      <c r="E393" s="6"/>
      <c r="F393" s="6"/>
      <c r="G393" s="3"/>
      <c r="H393" s="3"/>
      <c r="I393" s="8"/>
      <c r="J393" s="3"/>
      <c r="K393" s="3"/>
      <c r="L393" s="3"/>
      <c r="M393" s="8"/>
      <c r="N393" s="149"/>
      <c r="O393" s="141"/>
      <c r="P393" s="141"/>
      <c r="Q393" s="141"/>
      <c r="R393" s="141"/>
    </row>
    <row r="394" spans="1:18" ht="15">
      <c r="A394" s="14"/>
      <c r="B394" s="146" t="str">
        <f>UPPER(H394)</f>
        <v>SOUND</v>
      </c>
      <c r="C394" s="141"/>
      <c r="D394" s="141"/>
      <c r="E394" s="141"/>
      <c r="F394" s="141"/>
      <c r="G394" s="3"/>
      <c r="H394" s="149" t="s">
        <v>442</v>
      </c>
      <c r="I394" s="141"/>
      <c r="J394" s="141"/>
      <c r="K394" s="141"/>
      <c r="L394" s="141"/>
      <c r="M394" s="8"/>
      <c r="N394" s="149" t="s">
        <v>893</v>
      </c>
      <c r="O394" s="141"/>
      <c r="P394" s="141"/>
      <c r="Q394" s="141"/>
      <c r="R394" s="141"/>
    </row>
    <row r="395" spans="1:18" ht="12.75">
      <c r="A395" s="14"/>
      <c r="B395" s="9"/>
      <c r="C395" s="10" t="str">
        <f t="shared" ref="C395:C397" si="65">UPPER(I395)</f>
        <v>CHIEF SOUND DESIGNER &amp; EFFECTS &amp; EDITOR</v>
      </c>
      <c r="D395" s="9"/>
      <c r="E395" s="9" t="str">
        <f t="shared" ref="E395:E397" si="66">UPPER(K395)</f>
        <v>HYEJEONG HWANG</v>
      </c>
      <c r="F395" s="9"/>
      <c r="G395" s="3"/>
      <c r="H395" s="8"/>
      <c r="I395" s="8" t="s">
        <v>443</v>
      </c>
      <c r="J395" s="3"/>
      <c r="K395" s="3" t="s">
        <v>441</v>
      </c>
      <c r="L395" s="3"/>
      <c r="M395" s="8"/>
      <c r="N395" s="3"/>
      <c r="O395" s="8" t="s">
        <v>894</v>
      </c>
      <c r="P395" s="3"/>
      <c r="Q395" s="3" t="s">
        <v>885</v>
      </c>
      <c r="R395" s="3"/>
    </row>
    <row r="396" spans="1:18" ht="12.75">
      <c r="A396" s="14"/>
      <c r="B396" s="9"/>
      <c r="C396" s="10" t="str">
        <f t="shared" si="65"/>
        <v>VOICE EDITOR</v>
      </c>
      <c r="D396" s="9"/>
      <c r="E396" s="9" t="str">
        <f t="shared" si="66"/>
        <v>HYEJEONG HWANG</v>
      </c>
      <c r="F396" s="9"/>
      <c r="G396" s="3"/>
      <c r="H396" s="8"/>
      <c r="I396" s="8" t="s">
        <v>444</v>
      </c>
      <c r="J396" s="3"/>
      <c r="K396" s="3" t="s">
        <v>441</v>
      </c>
      <c r="L396" s="3"/>
      <c r="M396" s="8"/>
      <c r="N396" s="3"/>
      <c r="O396" s="8" t="s">
        <v>895</v>
      </c>
      <c r="P396" s="3"/>
      <c r="Q396" s="3" t="s">
        <v>885</v>
      </c>
      <c r="R396" s="3"/>
    </row>
    <row r="397" spans="1:18" ht="12.75">
      <c r="A397" s="14"/>
      <c r="B397" s="9"/>
      <c r="C397" s="10" t="str">
        <f t="shared" si="65"/>
        <v>MIXING &amp; MASTERING</v>
      </c>
      <c r="D397" s="9"/>
      <c r="E397" s="9" t="str">
        <f t="shared" si="66"/>
        <v>HYEJEONG HWANG</v>
      </c>
      <c r="F397" s="9"/>
      <c r="G397" s="3"/>
      <c r="H397" s="8"/>
      <c r="I397" s="8" t="s">
        <v>445</v>
      </c>
      <c r="J397" s="3"/>
      <c r="K397" s="3" t="s">
        <v>441</v>
      </c>
      <c r="L397" s="3"/>
      <c r="M397" s="8"/>
      <c r="N397" s="3"/>
      <c r="O397" s="8" t="s">
        <v>896</v>
      </c>
      <c r="P397" s="3"/>
      <c r="Q397" s="3" t="s">
        <v>885</v>
      </c>
      <c r="R397" s="3"/>
    </row>
    <row r="398" spans="1:18" ht="12.75">
      <c r="A398" s="14"/>
      <c r="B398" s="9"/>
      <c r="C398" s="9"/>
      <c r="D398" s="9"/>
      <c r="E398" s="9"/>
      <c r="F398" s="9"/>
      <c r="G398" s="3"/>
      <c r="H398" s="8"/>
      <c r="I398" s="8"/>
      <c r="J398" s="3"/>
      <c r="K398" s="3" t="s">
        <v>439</v>
      </c>
      <c r="L398" s="3"/>
      <c r="M398" s="8"/>
      <c r="N398" s="3"/>
      <c r="O398" s="8"/>
      <c r="P398" s="3"/>
      <c r="Q398" s="3" t="s">
        <v>891</v>
      </c>
      <c r="R398" s="3"/>
    </row>
    <row r="399" spans="1:18" ht="12.75">
      <c r="A399" s="14"/>
      <c r="B399" s="9"/>
      <c r="C399" s="9"/>
      <c r="D399" s="9"/>
      <c r="E399" s="9"/>
      <c r="F399" s="9"/>
      <c r="G399" s="3"/>
      <c r="H399" s="8"/>
      <c r="I399" s="8"/>
      <c r="J399" s="3"/>
      <c r="K399" s="3"/>
      <c r="L399" s="3"/>
      <c r="M399" s="8"/>
      <c r="N399" s="149"/>
      <c r="O399" s="141"/>
      <c r="P399" s="141"/>
      <c r="Q399" s="141"/>
      <c r="R399" s="141"/>
    </row>
    <row r="400" spans="1:18" ht="12.75">
      <c r="A400" s="14"/>
      <c r="B400" s="9"/>
      <c r="C400" s="9"/>
      <c r="D400" s="9"/>
      <c r="E400" s="9"/>
      <c r="F400" s="9"/>
      <c r="G400" s="3"/>
      <c r="H400" s="8"/>
      <c r="I400" s="8"/>
      <c r="J400" s="3"/>
      <c r="K400" s="3"/>
      <c r="L400" s="3"/>
      <c r="M400" s="8"/>
      <c r="N400" s="8"/>
      <c r="O400" s="8"/>
      <c r="P400" s="3"/>
      <c r="Q400" s="3"/>
      <c r="R400" s="3"/>
    </row>
    <row r="401" spans="1:18" ht="15">
      <c r="A401" s="14"/>
      <c r="B401" s="146" t="str">
        <f>UPPER(H401)</f>
        <v>ORIGINAL SCORE</v>
      </c>
      <c r="C401" s="141"/>
      <c r="D401" s="141"/>
      <c r="E401" s="141"/>
      <c r="F401" s="141"/>
      <c r="G401" s="3"/>
      <c r="H401" s="149" t="s">
        <v>446</v>
      </c>
      <c r="I401" s="141"/>
      <c r="J401" s="141"/>
      <c r="K401" s="141"/>
      <c r="L401" s="141"/>
      <c r="M401" s="8"/>
      <c r="N401" s="149" t="s">
        <v>897</v>
      </c>
      <c r="O401" s="141"/>
      <c r="P401" s="141"/>
      <c r="Q401" s="141"/>
      <c r="R401" s="141"/>
    </row>
    <row r="402" spans="1:18" ht="12.75">
      <c r="A402" s="14"/>
      <c r="B402" s="9"/>
      <c r="C402" s="10" t="str">
        <f>UPPER(I402)</f>
        <v>MUSIC SUPERVISOR</v>
      </c>
      <c r="D402" s="9"/>
      <c r="E402" s="9" t="str">
        <f t="shared" ref="E402:E411" si="67">UPPER(K402)</f>
        <v>YOONHO KIM</v>
      </c>
      <c r="F402" s="9"/>
      <c r="G402" s="3"/>
      <c r="H402" s="8"/>
      <c r="I402" s="8" t="s">
        <v>447</v>
      </c>
      <c r="J402" s="3"/>
      <c r="K402" s="3" t="s">
        <v>448</v>
      </c>
      <c r="L402" s="3"/>
      <c r="M402" s="8"/>
      <c r="N402" s="3"/>
      <c r="O402" s="8" t="s">
        <v>898</v>
      </c>
      <c r="P402" s="3"/>
      <c r="Q402" s="3" t="s">
        <v>899</v>
      </c>
      <c r="R402" s="3"/>
    </row>
    <row r="403" spans="1:18" ht="12.75">
      <c r="A403" s="14"/>
      <c r="B403" s="9"/>
      <c r="C403" s="9"/>
      <c r="D403" s="9"/>
      <c r="E403" s="9" t="str">
        <f t="shared" si="67"/>
        <v>SIEUN KIM</v>
      </c>
      <c r="F403" s="9"/>
      <c r="G403" s="3"/>
      <c r="H403" s="8"/>
      <c r="I403" s="8" t="s">
        <v>449</v>
      </c>
      <c r="J403" s="3"/>
      <c r="K403" s="3" t="s">
        <v>450</v>
      </c>
      <c r="L403" s="3"/>
      <c r="M403" s="8"/>
      <c r="N403" s="3"/>
      <c r="O403" s="8" t="s">
        <v>900</v>
      </c>
      <c r="P403" s="3"/>
      <c r="Q403" s="3" t="s">
        <v>901</v>
      </c>
      <c r="R403" s="3"/>
    </row>
    <row r="404" spans="1:18" ht="12.75">
      <c r="A404" s="14"/>
      <c r="B404" s="9"/>
      <c r="C404" s="10" t="str">
        <f>UPPER(I404)</f>
        <v>ADDITIONAL COMPOSER</v>
      </c>
      <c r="D404" s="9"/>
      <c r="E404" s="9" t="str">
        <f t="shared" si="67"/>
        <v>NAYEON LEE</v>
      </c>
      <c r="F404" s="9"/>
      <c r="G404" s="3"/>
      <c r="H404" s="8"/>
      <c r="I404" s="8" t="s">
        <v>451</v>
      </c>
      <c r="J404" s="3"/>
      <c r="K404" s="22" t="s">
        <v>452</v>
      </c>
      <c r="L404" s="3"/>
      <c r="M404" s="8"/>
      <c r="N404" s="3"/>
      <c r="O404" s="8" t="s">
        <v>902</v>
      </c>
      <c r="P404" s="3"/>
      <c r="Q404" s="3" t="s">
        <v>903</v>
      </c>
      <c r="R404" s="3"/>
    </row>
    <row r="405" spans="1:18" ht="12.75">
      <c r="A405" s="14"/>
      <c r="B405" s="9"/>
      <c r="C405" s="10"/>
      <c r="D405" s="9"/>
      <c r="E405" s="9" t="str">
        <f t="shared" si="67"/>
        <v>DOLLY HWANG</v>
      </c>
      <c r="F405" s="9"/>
      <c r="G405" s="3"/>
      <c r="H405" s="8"/>
      <c r="I405" s="8"/>
      <c r="J405" s="3"/>
      <c r="K405" s="22" t="s">
        <v>453</v>
      </c>
      <c r="L405" s="3"/>
      <c r="M405" s="8"/>
      <c r="N405" s="3"/>
      <c r="O405" s="3"/>
      <c r="P405" s="3"/>
      <c r="Q405" s="20" t="s">
        <v>453</v>
      </c>
      <c r="R405" s="3"/>
    </row>
    <row r="406" spans="1:18" ht="12.75">
      <c r="A406" s="14"/>
      <c r="B406" s="9"/>
      <c r="C406" s="10"/>
      <c r="D406" s="9"/>
      <c r="E406" s="9" t="str">
        <f t="shared" si="67"/>
        <v>HAEHOON LEE</v>
      </c>
      <c r="F406" s="9"/>
      <c r="G406" s="3"/>
      <c r="H406" s="8"/>
      <c r="I406" s="8"/>
      <c r="J406" s="3"/>
      <c r="K406" s="24" t="s">
        <v>454</v>
      </c>
      <c r="L406" s="3"/>
      <c r="M406" s="8"/>
      <c r="N406" s="3"/>
      <c r="O406" s="3"/>
      <c r="P406" s="3"/>
      <c r="Q406" s="3" t="s">
        <v>904</v>
      </c>
      <c r="R406" s="3"/>
    </row>
    <row r="407" spans="1:18" ht="12.75">
      <c r="A407" s="14"/>
      <c r="B407" s="9"/>
      <c r="C407" s="10"/>
      <c r="D407" s="9"/>
      <c r="E407" s="9" t="str">
        <f t="shared" si="67"/>
        <v>SOYOUNG KWON</v>
      </c>
      <c r="F407" s="9"/>
      <c r="G407" s="3"/>
      <c r="H407" s="8"/>
      <c r="I407" s="8"/>
      <c r="J407" s="3"/>
      <c r="K407" s="22" t="s">
        <v>455</v>
      </c>
      <c r="L407" s="3"/>
      <c r="M407" s="8"/>
      <c r="N407" s="8"/>
      <c r="O407" s="8"/>
      <c r="P407" s="3"/>
      <c r="Q407" s="3" t="s">
        <v>905</v>
      </c>
      <c r="R407" s="3"/>
    </row>
    <row r="408" spans="1:18" ht="12.75">
      <c r="A408" s="14"/>
      <c r="B408" s="9"/>
      <c r="C408" s="10"/>
      <c r="D408" s="9"/>
      <c r="E408" s="9" t="str">
        <f t="shared" si="67"/>
        <v>BUMPIZ</v>
      </c>
      <c r="F408" s="9"/>
      <c r="G408" s="3"/>
      <c r="H408" s="8"/>
      <c r="I408" s="8"/>
      <c r="J408" s="3"/>
      <c r="K408" s="22" t="s">
        <v>456</v>
      </c>
      <c r="L408" s="3"/>
      <c r="M408" s="8"/>
      <c r="N408" s="8"/>
      <c r="O408" s="21"/>
      <c r="P408" s="3"/>
      <c r="Q408" s="3" t="s">
        <v>456</v>
      </c>
      <c r="R408" s="3"/>
    </row>
    <row r="409" spans="1:18" ht="12.75">
      <c r="A409" s="14"/>
      <c r="B409" s="9"/>
      <c r="C409" s="10"/>
      <c r="D409" s="9"/>
      <c r="E409" s="9" t="str">
        <f t="shared" si="67"/>
        <v>YEONGHUN YUN</v>
      </c>
      <c r="F409" s="9"/>
      <c r="G409" s="3"/>
      <c r="H409" s="8"/>
      <c r="I409" s="8"/>
      <c r="J409" s="3"/>
      <c r="K409" s="22" t="s">
        <v>457</v>
      </c>
      <c r="L409" s="3"/>
      <c r="M409" s="8"/>
      <c r="N409" s="8"/>
      <c r="O409" s="21"/>
      <c r="P409" s="3"/>
      <c r="Q409" s="3" t="s">
        <v>906</v>
      </c>
      <c r="R409" s="3"/>
    </row>
    <row r="410" spans="1:18" ht="12.75">
      <c r="A410" s="14"/>
      <c r="B410" s="9"/>
      <c r="C410" s="10"/>
      <c r="D410" s="9"/>
      <c r="E410" s="9" t="str">
        <f t="shared" si="67"/>
        <v>JIAE YU</v>
      </c>
      <c r="F410" s="9"/>
      <c r="G410" s="3"/>
      <c r="H410" s="8"/>
      <c r="I410" s="8"/>
      <c r="J410" s="3"/>
      <c r="K410" s="22" t="s">
        <v>458</v>
      </c>
      <c r="L410" s="3"/>
      <c r="M410" s="8"/>
      <c r="N410" s="8"/>
      <c r="O410" s="21"/>
      <c r="P410" s="3"/>
      <c r="Q410" s="3" t="s">
        <v>907</v>
      </c>
      <c r="R410" s="3"/>
    </row>
    <row r="411" spans="1:18" ht="12.75">
      <c r="A411" s="14"/>
      <c r="B411" s="9"/>
      <c r="C411" s="9"/>
      <c r="D411" s="9"/>
      <c r="E411" s="9" t="str">
        <f t="shared" si="67"/>
        <v/>
      </c>
      <c r="F411" s="9"/>
      <c r="G411" s="3"/>
      <c r="H411" s="8"/>
      <c r="I411" s="8"/>
      <c r="J411" s="3"/>
      <c r="K411" s="22"/>
      <c r="L411" s="3"/>
      <c r="M411" s="8"/>
      <c r="N411" s="8"/>
      <c r="O411" s="8"/>
      <c r="P411" s="3"/>
      <c r="Q411" s="3"/>
      <c r="R411" s="3"/>
    </row>
    <row r="412" spans="1:18" ht="12.75">
      <c r="A412" s="14"/>
      <c r="B412" s="11"/>
      <c r="C412" s="11"/>
      <c r="D412" s="11"/>
      <c r="E412" s="11"/>
      <c r="F412" s="11"/>
      <c r="G412" s="3"/>
      <c r="H412" s="8"/>
      <c r="I412" s="8"/>
      <c r="J412" s="3"/>
      <c r="K412" s="3"/>
      <c r="L412" s="3"/>
      <c r="M412" s="8"/>
      <c r="N412" s="8"/>
      <c r="O412" s="8"/>
      <c r="P412" s="3"/>
      <c r="Q412" s="3"/>
      <c r="R412" s="3"/>
    </row>
    <row r="413" spans="1:18" ht="15">
      <c r="A413" s="14"/>
      <c r="B413" s="6"/>
      <c r="C413" s="6"/>
      <c r="D413" s="6"/>
      <c r="E413" s="6"/>
      <c r="F413" s="6"/>
      <c r="G413" s="3"/>
      <c r="H413" s="74"/>
      <c r="I413" s="5"/>
      <c r="J413" s="5"/>
      <c r="K413" s="5"/>
      <c r="L413" s="74"/>
      <c r="M413" s="8"/>
      <c r="N413" s="8"/>
      <c r="O413" s="8"/>
      <c r="P413" s="3"/>
      <c r="Q413" s="3"/>
      <c r="R413" s="3"/>
    </row>
    <row r="414" spans="1:18" ht="18">
      <c r="A414" s="14"/>
      <c r="B414" s="150" t="str">
        <f t="shared" ref="B414:B415" si="68">UPPER(H414)</f>
        <v>POST PRODUCTION / ORIGINAL SCORES &amp; SONGS</v>
      </c>
      <c r="C414" s="141"/>
      <c r="D414" s="141"/>
      <c r="E414" s="141"/>
      <c r="F414" s="141"/>
      <c r="G414" s="28"/>
      <c r="H414" s="167" t="s">
        <v>435</v>
      </c>
      <c r="I414" s="141"/>
      <c r="J414" s="141"/>
      <c r="K414" s="141"/>
      <c r="L414" s="141"/>
      <c r="M414" s="29"/>
      <c r="N414" s="149" t="s">
        <v>888</v>
      </c>
      <c r="O414" s="141"/>
      <c r="P414" s="141"/>
      <c r="Q414" s="141"/>
      <c r="R414" s="141"/>
    </row>
    <row r="415" spans="1:18" ht="15">
      <c r="A415" s="14"/>
      <c r="B415" s="146" t="str">
        <f t="shared" si="68"/>
        <v>RECORDING SESSION</v>
      </c>
      <c r="C415" s="141"/>
      <c r="D415" s="141"/>
      <c r="E415" s="141"/>
      <c r="F415" s="141"/>
      <c r="G415" s="3"/>
      <c r="H415" s="151" t="s">
        <v>459</v>
      </c>
      <c r="I415" s="141"/>
      <c r="J415" s="141"/>
      <c r="K415" s="141"/>
      <c r="L415" s="141"/>
      <c r="M415" s="8"/>
      <c r="N415" s="151" t="s">
        <v>908</v>
      </c>
      <c r="O415" s="141"/>
      <c r="P415" s="141"/>
      <c r="Q415" s="141"/>
      <c r="R415" s="141"/>
    </row>
    <row r="416" spans="1:18" ht="12.75">
      <c r="A416" s="14"/>
      <c r="B416" s="9"/>
      <c r="C416" s="10" t="str">
        <f t="shared" ref="C416:C432" si="69">UPPER(I416)</f>
        <v/>
      </c>
      <c r="D416" s="9"/>
      <c r="E416" s="9" t="str">
        <f t="shared" ref="E416:E432" si="70">UPPER(K416)</f>
        <v/>
      </c>
      <c r="F416" s="9"/>
      <c r="G416" s="3"/>
      <c r="H416" s="3"/>
      <c r="I416" s="30"/>
      <c r="J416" s="14"/>
      <c r="K416" s="22"/>
      <c r="L416" s="3"/>
      <c r="M416" s="8"/>
      <c r="N416" s="3"/>
      <c r="O416" s="8"/>
      <c r="P416" s="3"/>
      <c r="Q416" s="3"/>
      <c r="R416" s="3"/>
    </row>
    <row r="417" spans="1:18" ht="12.75">
      <c r="A417" s="14"/>
      <c r="B417" s="9"/>
      <c r="C417" s="10" t="str">
        <f t="shared" si="69"/>
        <v>GUITAR</v>
      </c>
      <c r="D417" s="9"/>
      <c r="E417" s="9" t="str">
        <f t="shared" si="70"/>
        <v>DOLLY HWANG</v>
      </c>
      <c r="F417" s="9"/>
      <c r="G417" s="3"/>
      <c r="H417" s="3"/>
      <c r="I417" s="30" t="s">
        <v>460</v>
      </c>
      <c r="J417" s="14"/>
      <c r="K417" s="22" t="s">
        <v>453</v>
      </c>
      <c r="L417" s="3"/>
      <c r="M417" s="8"/>
      <c r="N417" s="3"/>
      <c r="O417" s="8" t="s">
        <v>909</v>
      </c>
      <c r="P417" s="3"/>
      <c r="Q417" s="20" t="s">
        <v>453</v>
      </c>
      <c r="R417" s="3"/>
    </row>
    <row r="418" spans="1:18" ht="12.75">
      <c r="A418" s="14"/>
      <c r="B418" s="9"/>
      <c r="C418" s="10" t="str">
        <f t="shared" si="69"/>
        <v/>
      </c>
      <c r="D418" s="9"/>
      <c r="E418" s="9" t="str">
        <f t="shared" si="70"/>
        <v>BUMPIZ</v>
      </c>
      <c r="F418" s="9"/>
      <c r="G418" s="3"/>
      <c r="H418" s="3"/>
      <c r="I418" s="30"/>
      <c r="J418" s="14"/>
      <c r="K418" s="22" t="s">
        <v>456</v>
      </c>
      <c r="L418" s="3"/>
      <c r="M418" s="8"/>
      <c r="N418" s="3"/>
      <c r="O418" s="8"/>
      <c r="P418" s="3"/>
      <c r="Q418" s="3" t="s">
        <v>456</v>
      </c>
      <c r="R418" s="3"/>
    </row>
    <row r="419" spans="1:18" ht="12.75">
      <c r="A419" s="14"/>
      <c r="B419" s="9"/>
      <c r="C419" s="10" t="str">
        <f t="shared" si="69"/>
        <v/>
      </c>
      <c r="D419" s="9"/>
      <c r="E419" s="9" t="str">
        <f t="shared" si="70"/>
        <v/>
      </c>
      <c r="F419" s="9"/>
      <c r="G419" s="3"/>
      <c r="H419" s="3"/>
      <c r="I419" s="30"/>
      <c r="J419" s="14"/>
      <c r="K419" s="22"/>
      <c r="L419" s="3"/>
      <c r="M419" s="8"/>
      <c r="N419" s="3"/>
      <c r="O419" s="8"/>
      <c r="P419" s="3"/>
      <c r="Q419" s="3"/>
      <c r="R419" s="3"/>
    </row>
    <row r="420" spans="1:18" ht="12.75">
      <c r="A420" s="14"/>
      <c r="B420" s="9"/>
      <c r="C420" s="10" t="str">
        <f t="shared" si="69"/>
        <v>BASS</v>
      </c>
      <c r="D420" s="9"/>
      <c r="E420" s="9" t="str">
        <f t="shared" si="70"/>
        <v>DOLLY HWANG</v>
      </c>
      <c r="F420" s="9"/>
      <c r="G420" s="3"/>
      <c r="H420" s="3"/>
      <c r="I420" s="30" t="s">
        <v>461</v>
      </c>
      <c r="J420" s="14"/>
      <c r="K420" s="22" t="s">
        <v>453</v>
      </c>
      <c r="L420" s="3"/>
      <c r="M420" s="8"/>
      <c r="N420" s="3"/>
      <c r="O420" s="8" t="s">
        <v>910</v>
      </c>
      <c r="P420" s="3"/>
      <c r="Q420" s="20" t="s">
        <v>453</v>
      </c>
      <c r="R420" s="3"/>
    </row>
    <row r="421" spans="1:18" ht="12.75">
      <c r="A421" s="14"/>
      <c r="B421" s="9"/>
      <c r="C421" s="10" t="str">
        <f t="shared" si="69"/>
        <v/>
      </c>
      <c r="D421" s="9"/>
      <c r="E421" s="9" t="str">
        <f t="shared" si="70"/>
        <v>BUMPIZ</v>
      </c>
      <c r="F421" s="9"/>
      <c r="G421" s="3"/>
      <c r="H421" s="3"/>
      <c r="I421" s="24"/>
      <c r="J421" s="14"/>
      <c r="K421" s="22" t="s">
        <v>456</v>
      </c>
      <c r="L421" s="3"/>
      <c r="M421" s="8"/>
      <c r="N421" s="3"/>
      <c r="O421" s="3"/>
      <c r="P421" s="3"/>
      <c r="Q421" s="3" t="s">
        <v>456</v>
      </c>
      <c r="R421" s="3"/>
    </row>
    <row r="422" spans="1:18" ht="12.75">
      <c r="A422" s="14"/>
      <c r="B422" s="9"/>
      <c r="C422" s="10" t="str">
        <f t="shared" si="69"/>
        <v/>
      </c>
      <c r="D422" s="9"/>
      <c r="E422" s="9" t="str">
        <f t="shared" si="70"/>
        <v/>
      </c>
      <c r="F422" s="9"/>
      <c r="G422" s="3"/>
      <c r="H422" s="3"/>
      <c r="I422" s="30"/>
      <c r="J422" s="14"/>
      <c r="K422" s="22"/>
      <c r="L422" s="3"/>
      <c r="M422" s="8"/>
      <c r="N422" s="3"/>
      <c r="O422" s="3"/>
      <c r="P422" s="3"/>
      <c r="Q422" s="3"/>
      <c r="R422" s="3"/>
    </row>
    <row r="423" spans="1:18" ht="12.75">
      <c r="A423" s="14"/>
      <c r="B423" s="9"/>
      <c r="C423" s="10" t="str">
        <f t="shared" si="69"/>
        <v>KEYBOARD</v>
      </c>
      <c r="D423" s="9"/>
      <c r="E423" s="9" t="str">
        <f t="shared" si="70"/>
        <v>YOONHO KIM</v>
      </c>
      <c r="F423" s="9"/>
      <c r="G423" s="3"/>
      <c r="H423" s="3"/>
      <c r="I423" s="30" t="s">
        <v>462</v>
      </c>
      <c r="J423" s="14"/>
      <c r="K423" s="22" t="s">
        <v>448</v>
      </c>
      <c r="L423" s="3"/>
      <c r="M423" s="8"/>
      <c r="N423" s="3"/>
      <c r="O423" s="8" t="s">
        <v>911</v>
      </c>
      <c r="P423" s="3"/>
      <c r="Q423" s="3" t="s">
        <v>899</v>
      </c>
      <c r="R423" s="3"/>
    </row>
    <row r="424" spans="1:18" ht="12.75">
      <c r="A424" s="14"/>
      <c r="B424" s="9"/>
      <c r="C424" s="10" t="str">
        <f t="shared" si="69"/>
        <v/>
      </c>
      <c r="D424" s="9"/>
      <c r="E424" s="9" t="str">
        <f t="shared" si="70"/>
        <v>SIEUN KIM</v>
      </c>
      <c r="F424" s="9"/>
      <c r="G424" s="3"/>
      <c r="H424" s="3"/>
      <c r="I424" s="44"/>
      <c r="J424" s="14"/>
      <c r="K424" s="22" t="s">
        <v>463</v>
      </c>
      <c r="L424" s="3"/>
      <c r="M424" s="8"/>
      <c r="N424" s="3"/>
      <c r="O424" s="3"/>
      <c r="P424" s="3"/>
      <c r="Q424" s="3" t="s">
        <v>901</v>
      </c>
      <c r="R424" s="3"/>
    </row>
    <row r="425" spans="1:18" ht="12.75">
      <c r="A425" s="14"/>
      <c r="B425" s="9"/>
      <c r="C425" s="10" t="str">
        <f t="shared" si="69"/>
        <v/>
      </c>
      <c r="D425" s="9"/>
      <c r="E425" s="9" t="str">
        <f t="shared" si="70"/>
        <v>DOLLY HWANG</v>
      </c>
      <c r="F425" s="9"/>
      <c r="G425" s="3"/>
      <c r="H425" s="3"/>
      <c r="I425" s="44"/>
      <c r="J425" s="14"/>
      <c r="K425" s="22" t="s">
        <v>453</v>
      </c>
      <c r="L425" s="3"/>
      <c r="M425" s="8"/>
      <c r="N425" s="3"/>
      <c r="O425" s="3"/>
      <c r="P425" s="3"/>
      <c r="Q425" s="20" t="s">
        <v>453</v>
      </c>
      <c r="R425" s="3"/>
    </row>
    <row r="426" spans="1:18" ht="12.75">
      <c r="A426" s="14"/>
      <c r="B426" s="9"/>
      <c r="C426" s="10" t="str">
        <f t="shared" si="69"/>
        <v/>
      </c>
      <c r="D426" s="9"/>
      <c r="E426" s="9" t="str">
        <f t="shared" si="70"/>
        <v>HAEHOON LEE</v>
      </c>
      <c r="F426" s="9"/>
      <c r="G426" s="3"/>
      <c r="H426" s="3"/>
      <c r="I426" s="44"/>
      <c r="J426" s="14"/>
      <c r="K426" s="22" t="s">
        <v>454</v>
      </c>
      <c r="L426" s="3"/>
      <c r="M426" s="8"/>
      <c r="N426" s="3"/>
      <c r="O426" s="3"/>
      <c r="P426" s="3"/>
      <c r="Q426" s="3" t="s">
        <v>904</v>
      </c>
      <c r="R426" s="3"/>
    </row>
    <row r="427" spans="1:18" ht="12.75">
      <c r="A427" s="14"/>
      <c r="B427" s="9"/>
      <c r="C427" s="10" t="str">
        <f t="shared" si="69"/>
        <v/>
      </c>
      <c r="D427" s="9"/>
      <c r="E427" s="9" t="str">
        <f t="shared" si="70"/>
        <v>NAYEON LEE</v>
      </c>
      <c r="F427" s="9"/>
      <c r="G427" s="3"/>
      <c r="H427" s="3"/>
      <c r="I427" s="44"/>
      <c r="J427" s="14"/>
      <c r="K427" s="22" t="s">
        <v>452</v>
      </c>
      <c r="L427" s="3"/>
      <c r="M427" s="8"/>
      <c r="N427" s="3"/>
      <c r="O427" s="3"/>
      <c r="P427" s="3"/>
      <c r="Q427" s="3" t="s">
        <v>903</v>
      </c>
      <c r="R427" s="3"/>
    </row>
    <row r="428" spans="1:18" ht="12.75">
      <c r="A428" s="14"/>
      <c r="B428" s="9"/>
      <c r="C428" s="10" t="str">
        <f t="shared" si="69"/>
        <v/>
      </c>
      <c r="D428" s="9"/>
      <c r="E428" s="9" t="str">
        <f t="shared" si="70"/>
        <v>BUMPIZ</v>
      </c>
      <c r="F428" s="9"/>
      <c r="G428" s="3"/>
      <c r="H428" s="3"/>
      <c r="I428" s="44"/>
      <c r="J428" s="14"/>
      <c r="K428" s="22" t="s">
        <v>456</v>
      </c>
      <c r="L428" s="3"/>
      <c r="M428" s="8"/>
      <c r="N428" s="3"/>
      <c r="O428" s="3"/>
      <c r="P428" s="3"/>
      <c r="Q428" s="3" t="s">
        <v>456</v>
      </c>
      <c r="R428" s="3"/>
    </row>
    <row r="429" spans="1:18" ht="12.75">
      <c r="A429" s="14"/>
      <c r="B429" s="9"/>
      <c r="C429" s="10" t="str">
        <f t="shared" si="69"/>
        <v/>
      </c>
      <c r="D429" s="9"/>
      <c r="E429" s="9" t="str">
        <f t="shared" si="70"/>
        <v>YEONGHUN YUN</v>
      </c>
      <c r="F429" s="9"/>
      <c r="G429" s="3"/>
      <c r="H429" s="3"/>
      <c r="I429" s="44"/>
      <c r="J429" s="14"/>
      <c r="K429" s="22" t="s">
        <v>457</v>
      </c>
      <c r="L429" s="3"/>
      <c r="M429" s="8"/>
      <c r="N429" s="3"/>
      <c r="O429" s="3"/>
      <c r="P429" s="3"/>
      <c r="Q429" s="3" t="s">
        <v>906</v>
      </c>
      <c r="R429" s="3"/>
    </row>
    <row r="430" spans="1:18" ht="12.75">
      <c r="A430" s="14"/>
      <c r="B430" s="9"/>
      <c r="C430" s="10" t="str">
        <f t="shared" si="69"/>
        <v/>
      </c>
      <c r="D430" s="9"/>
      <c r="E430" s="9" t="str">
        <f t="shared" si="70"/>
        <v>JIAE YU</v>
      </c>
      <c r="F430" s="9"/>
      <c r="G430" s="3"/>
      <c r="H430" s="3"/>
      <c r="I430" s="44"/>
      <c r="J430" s="14"/>
      <c r="K430" s="22" t="s">
        <v>458</v>
      </c>
      <c r="L430" s="3"/>
      <c r="M430" s="8"/>
      <c r="N430" s="3"/>
      <c r="O430" s="3"/>
      <c r="P430" s="3"/>
      <c r="Q430" s="3" t="s">
        <v>907</v>
      </c>
      <c r="R430" s="3"/>
    </row>
    <row r="431" spans="1:18" ht="12.75">
      <c r="A431" s="14"/>
      <c r="B431" s="9"/>
      <c r="C431" s="9" t="str">
        <f t="shared" si="69"/>
        <v/>
      </c>
      <c r="D431" s="9"/>
      <c r="E431" s="9" t="str">
        <f t="shared" si="70"/>
        <v/>
      </c>
      <c r="F431" s="9"/>
      <c r="G431" s="3"/>
      <c r="H431" s="3"/>
      <c r="I431" s="44"/>
      <c r="J431" s="14"/>
      <c r="K431" s="14"/>
      <c r="L431" s="3"/>
      <c r="M431" s="8"/>
      <c r="N431" s="8"/>
      <c r="O431" s="8"/>
      <c r="P431" s="3"/>
      <c r="Q431" s="3"/>
      <c r="R431" s="3"/>
    </row>
    <row r="432" spans="1:18" ht="12.75">
      <c r="A432" s="14"/>
      <c r="B432" s="11"/>
      <c r="C432" s="11" t="str">
        <f t="shared" si="69"/>
        <v/>
      </c>
      <c r="D432" s="11"/>
      <c r="E432" s="11" t="str">
        <f t="shared" si="70"/>
        <v/>
      </c>
      <c r="F432" s="11"/>
      <c r="G432" s="3"/>
      <c r="H432" s="3"/>
      <c r="I432" s="8"/>
      <c r="J432" s="3"/>
      <c r="K432" s="3"/>
      <c r="L432" s="3"/>
      <c r="M432" s="8"/>
      <c r="N432" s="8"/>
      <c r="O432" s="8"/>
      <c r="P432" s="3"/>
      <c r="Q432" s="3"/>
      <c r="R432" s="3"/>
    </row>
    <row r="433" spans="1:18" ht="15">
      <c r="A433" s="14"/>
      <c r="B433" s="6"/>
      <c r="C433" s="6"/>
      <c r="D433" s="6"/>
      <c r="E433" s="6"/>
      <c r="F433" s="6"/>
      <c r="G433" s="3"/>
      <c r="H433" s="74"/>
      <c r="I433" s="5"/>
      <c r="J433" s="5"/>
      <c r="K433" s="5"/>
      <c r="L433" s="74"/>
      <c r="M433" s="8"/>
      <c r="N433" s="8"/>
      <c r="O433" s="8"/>
      <c r="P433" s="3"/>
      <c r="Q433" s="3"/>
      <c r="R433" s="3"/>
    </row>
    <row r="434" spans="1:18" ht="18">
      <c r="A434" s="14"/>
      <c r="B434" s="150" t="str">
        <f t="shared" ref="B434:B435" si="71">UPPER(H434)</f>
        <v>POST PRODUCTION / ORIGINAL SCORES &amp; SONGS</v>
      </c>
      <c r="C434" s="141"/>
      <c r="D434" s="141"/>
      <c r="E434" s="141"/>
      <c r="F434" s="141"/>
      <c r="G434" s="28"/>
      <c r="H434" s="167" t="s">
        <v>435</v>
      </c>
      <c r="I434" s="141"/>
      <c r="J434" s="141"/>
      <c r="K434" s="141"/>
      <c r="L434" s="141"/>
      <c r="M434" s="8"/>
      <c r="N434" s="149" t="s">
        <v>888</v>
      </c>
      <c r="O434" s="141"/>
      <c r="P434" s="141"/>
      <c r="Q434" s="141"/>
      <c r="R434" s="141"/>
    </row>
    <row r="435" spans="1:18" ht="15">
      <c r="A435" s="14"/>
      <c r="B435" s="146" t="str">
        <f t="shared" si="71"/>
        <v>RECORDING SESSION</v>
      </c>
      <c r="C435" s="141"/>
      <c r="D435" s="141"/>
      <c r="E435" s="141"/>
      <c r="F435" s="141"/>
      <c r="G435" s="3"/>
      <c r="H435" s="151" t="s">
        <v>459</v>
      </c>
      <c r="I435" s="141"/>
      <c r="J435" s="141"/>
      <c r="K435" s="141"/>
      <c r="L435" s="141"/>
      <c r="M435" s="8"/>
      <c r="N435" s="151" t="s">
        <v>912</v>
      </c>
      <c r="O435" s="141"/>
      <c r="P435" s="141"/>
      <c r="Q435" s="141"/>
      <c r="R435" s="141"/>
    </row>
    <row r="436" spans="1:18" ht="12.75">
      <c r="A436" s="14"/>
      <c r="B436" s="9"/>
      <c r="C436" s="10" t="str">
        <f t="shared" ref="C436:C450" si="72">UPPER(I436)</f>
        <v/>
      </c>
      <c r="D436" s="9"/>
      <c r="E436" s="9" t="str">
        <f t="shared" ref="E436:E450" si="73">UPPER(K436)</f>
        <v/>
      </c>
      <c r="F436" s="9"/>
      <c r="G436" s="3"/>
      <c r="H436" s="3"/>
      <c r="I436" s="30"/>
      <c r="J436" s="14"/>
      <c r="K436" s="22"/>
      <c r="L436" s="3"/>
      <c r="M436" s="8"/>
      <c r="N436" s="8"/>
      <c r="O436" s="21"/>
      <c r="P436" s="3"/>
      <c r="Q436" s="3"/>
      <c r="R436" s="3"/>
    </row>
    <row r="437" spans="1:18" ht="12.75">
      <c r="A437" s="14"/>
      <c r="B437" s="9"/>
      <c r="C437" s="10" t="str">
        <f t="shared" si="72"/>
        <v>MUSIC PROGRAMING</v>
      </c>
      <c r="D437" s="9"/>
      <c r="E437" s="9" t="str">
        <f t="shared" si="73"/>
        <v>YOONHO KIM</v>
      </c>
      <c r="F437" s="9"/>
      <c r="G437" s="3"/>
      <c r="H437" s="3"/>
      <c r="I437" s="30" t="s">
        <v>464</v>
      </c>
      <c r="J437" s="14"/>
      <c r="K437" s="22" t="s">
        <v>448</v>
      </c>
      <c r="L437" s="3"/>
      <c r="M437" s="8"/>
      <c r="N437" s="8"/>
      <c r="O437" s="36" t="s">
        <v>913</v>
      </c>
      <c r="P437" s="2"/>
      <c r="Q437" s="2" t="s">
        <v>899</v>
      </c>
      <c r="R437" s="3"/>
    </row>
    <row r="438" spans="1:18" ht="12.75">
      <c r="A438" s="14"/>
      <c r="B438" s="9"/>
      <c r="C438" s="10" t="str">
        <f t="shared" si="72"/>
        <v/>
      </c>
      <c r="D438" s="9"/>
      <c r="E438" s="9" t="str">
        <f t="shared" si="73"/>
        <v>SIEUN KIM</v>
      </c>
      <c r="F438" s="9"/>
      <c r="G438" s="3"/>
      <c r="H438" s="3"/>
      <c r="I438" s="44"/>
      <c r="J438" s="14"/>
      <c r="K438" s="22" t="s">
        <v>463</v>
      </c>
      <c r="L438" s="3"/>
      <c r="M438" s="8"/>
      <c r="N438" s="8"/>
      <c r="O438" s="2"/>
      <c r="P438" s="2"/>
      <c r="Q438" s="3" t="s">
        <v>901</v>
      </c>
      <c r="R438" s="3"/>
    </row>
    <row r="439" spans="1:18" ht="12.75">
      <c r="A439" s="14"/>
      <c r="B439" s="9"/>
      <c r="C439" s="10" t="str">
        <f t="shared" si="72"/>
        <v/>
      </c>
      <c r="D439" s="9"/>
      <c r="E439" s="9" t="str">
        <f t="shared" si="73"/>
        <v>HAEHOON LEE</v>
      </c>
      <c r="F439" s="9"/>
      <c r="G439" s="3"/>
      <c r="H439" s="3"/>
      <c r="I439" s="44"/>
      <c r="J439" s="14"/>
      <c r="K439" s="22" t="s">
        <v>454</v>
      </c>
      <c r="L439" s="3"/>
      <c r="M439" s="8"/>
      <c r="N439" s="8"/>
      <c r="O439" s="2"/>
      <c r="P439" s="2"/>
      <c r="Q439" s="3" t="s">
        <v>904</v>
      </c>
      <c r="R439" s="3"/>
    </row>
    <row r="440" spans="1:18" ht="12.75">
      <c r="A440" s="14"/>
      <c r="B440" s="9"/>
      <c r="C440" s="10" t="str">
        <f t="shared" si="72"/>
        <v/>
      </c>
      <c r="D440" s="9"/>
      <c r="E440" s="9" t="str">
        <f t="shared" si="73"/>
        <v>DOLLY HWANG</v>
      </c>
      <c r="F440" s="9"/>
      <c r="G440" s="3"/>
      <c r="H440" s="3"/>
      <c r="I440" s="44"/>
      <c r="J440" s="14"/>
      <c r="K440" s="22" t="s">
        <v>453</v>
      </c>
      <c r="L440" s="3"/>
      <c r="M440" s="8"/>
      <c r="N440" s="8"/>
      <c r="O440" s="2"/>
      <c r="P440" s="2"/>
      <c r="Q440" s="20" t="s">
        <v>453</v>
      </c>
      <c r="R440" s="3"/>
    </row>
    <row r="441" spans="1:18" ht="12.75">
      <c r="A441" s="14"/>
      <c r="B441" s="9"/>
      <c r="C441" s="10" t="str">
        <f t="shared" si="72"/>
        <v/>
      </c>
      <c r="D441" s="9"/>
      <c r="E441" s="9" t="str">
        <f t="shared" si="73"/>
        <v>NAYEON LEE</v>
      </c>
      <c r="F441" s="9"/>
      <c r="G441" s="3"/>
      <c r="H441" s="3"/>
      <c r="I441" s="44"/>
      <c r="J441" s="14"/>
      <c r="K441" s="22" t="s">
        <v>452</v>
      </c>
      <c r="L441" s="3"/>
      <c r="M441" s="8"/>
      <c r="N441" s="8"/>
      <c r="O441" s="2"/>
      <c r="P441" s="2"/>
      <c r="Q441" s="3" t="s">
        <v>903</v>
      </c>
      <c r="R441" s="3"/>
    </row>
    <row r="442" spans="1:18" ht="12.75">
      <c r="A442" s="14"/>
      <c r="B442" s="9"/>
      <c r="C442" s="10" t="str">
        <f t="shared" si="72"/>
        <v/>
      </c>
      <c r="D442" s="9"/>
      <c r="E442" s="9" t="str">
        <f t="shared" si="73"/>
        <v>BUMPIZ</v>
      </c>
      <c r="F442" s="9"/>
      <c r="G442" s="3"/>
      <c r="H442" s="3"/>
      <c r="I442" s="44"/>
      <c r="J442" s="14"/>
      <c r="K442" s="22" t="s">
        <v>456</v>
      </c>
      <c r="L442" s="3"/>
      <c r="M442" s="8"/>
      <c r="N442" s="8"/>
      <c r="O442" s="2"/>
      <c r="P442" s="2"/>
      <c r="Q442" s="3" t="s">
        <v>456</v>
      </c>
      <c r="R442" s="3"/>
    </row>
    <row r="443" spans="1:18" ht="12.75">
      <c r="A443" s="14"/>
      <c r="B443" s="9"/>
      <c r="C443" s="10" t="str">
        <f t="shared" si="72"/>
        <v/>
      </c>
      <c r="D443" s="9"/>
      <c r="E443" s="9" t="str">
        <f t="shared" si="73"/>
        <v>SOYOUNG KWON</v>
      </c>
      <c r="F443" s="9"/>
      <c r="G443" s="3"/>
      <c r="H443" s="3"/>
      <c r="I443" s="44"/>
      <c r="J443" s="14"/>
      <c r="K443" s="22" t="s">
        <v>455</v>
      </c>
      <c r="L443" s="3"/>
      <c r="M443" s="8"/>
      <c r="N443" s="8"/>
      <c r="O443" s="36"/>
      <c r="P443" s="2"/>
      <c r="Q443" s="2" t="s">
        <v>905</v>
      </c>
      <c r="R443" s="3"/>
    </row>
    <row r="444" spans="1:18" ht="12.75">
      <c r="A444" s="14"/>
      <c r="B444" s="9"/>
      <c r="C444" s="10" t="str">
        <f t="shared" si="72"/>
        <v/>
      </c>
      <c r="D444" s="9"/>
      <c r="E444" s="9" t="str">
        <f t="shared" si="73"/>
        <v/>
      </c>
      <c r="F444" s="9"/>
      <c r="G444" s="3"/>
      <c r="H444" s="3"/>
      <c r="I444" s="44"/>
      <c r="J444" s="14"/>
      <c r="K444" s="22"/>
      <c r="L444" s="3"/>
      <c r="M444" s="8"/>
      <c r="N444" s="8"/>
      <c r="O444" s="36"/>
      <c r="P444" s="2"/>
      <c r="Q444" s="2"/>
      <c r="R444" s="3"/>
    </row>
    <row r="445" spans="1:18" ht="12.75">
      <c r="A445" s="14"/>
      <c r="B445" s="9"/>
      <c r="C445" s="10" t="str">
        <f t="shared" si="72"/>
        <v>RECORDING STUDIO</v>
      </c>
      <c r="D445" s="9"/>
      <c r="E445" s="9" t="str">
        <f t="shared" si="73"/>
        <v>DOONG SOUND</v>
      </c>
      <c r="F445" s="9"/>
      <c r="G445" s="3"/>
      <c r="H445" s="3"/>
      <c r="I445" s="30" t="s">
        <v>465</v>
      </c>
      <c r="J445" s="14"/>
      <c r="K445" s="22" t="s">
        <v>437</v>
      </c>
      <c r="L445" s="3"/>
      <c r="M445" s="8"/>
      <c r="N445" s="8"/>
      <c r="O445" s="36" t="s">
        <v>882</v>
      </c>
      <c r="P445" s="2"/>
      <c r="Q445" s="2" t="s">
        <v>883</v>
      </c>
      <c r="R445" s="3"/>
    </row>
    <row r="446" spans="1:18" ht="12.75">
      <c r="A446" s="14"/>
      <c r="B446" s="9"/>
      <c r="C446" s="10" t="str">
        <f t="shared" si="72"/>
        <v/>
      </c>
      <c r="D446" s="9"/>
      <c r="E446" s="9" t="str">
        <f t="shared" si="73"/>
        <v/>
      </c>
      <c r="F446" s="9"/>
      <c r="G446" s="3"/>
      <c r="H446" s="3"/>
      <c r="I446" s="30"/>
      <c r="J446" s="14"/>
      <c r="K446" s="22"/>
      <c r="L446" s="3"/>
      <c r="M446" s="8"/>
      <c r="N446" s="8"/>
      <c r="O446" s="36"/>
      <c r="P446" s="2"/>
      <c r="Q446" s="2"/>
      <c r="R446" s="3"/>
    </row>
    <row r="447" spans="1:18" ht="12.75">
      <c r="A447" s="14"/>
      <c r="B447" s="9"/>
      <c r="C447" s="10" t="str">
        <f t="shared" si="72"/>
        <v>RECORDING ENGINEER</v>
      </c>
      <c r="D447" s="9"/>
      <c r="E447" s="9" t="str">
        <f t="shared" si="73"/>
        <v>HYEJEONG HWANG</v>
      </c>
      <c r="F447" s="9"/>
      <c r="G447" s="3"/>
      <c r="H447" s="3"/>
      <c r="I447" s="30" t="s">
        <v>427</v>
      </c>
      <c r="J447" s="14"/>
      <c r="K447" s="22" t="s">
        <v>441</v>
      </c>
      <c r="L447" s="3"/>
      <c r="M447" s="8"/>
      <c r="N447" s="8"/>
      <c r="O447" s="36" t="s">
        <v>886</v>
      </c>
      <c r="P447" s="2"/>
      <c r="Q447" s="2" t="s">
        <v>885</v>
      </c>
      <c r="R447" s="3"/>
    </row>
    <row r="448" spans="1:18" ht="12.75">
      <c r="A448" s="14"/>
      <c r="B448" s="9"/>
      <c r="C448" s="10" t="str">
        <f t="shared" si="72"/>
        <v/>
      </c>
      <c r="D448" s="9"/>
      <c r="E448" s="9" t="str">
        <f t="shared" si="73"/>
        <v>Q6</v>
      </c>
      <c r="F448" s="9"/>
      <c r="G448" s="3"/>
      <c r="H448" s="3"/>
      <c r="I448" s="44"/>
      <c r="J448" s="14"/>
      <c r="K448" s="22" t="s">
        <v>466</v>
      </c>
      <c r="L448" s="3"/>
      <c r="M448" s="8"/>
      <c r="N448" s="8"/>
      <c r="O448" s="2"/>
      <c r="P448" s="2"/>
      <c r="Q448" s="2" t="s">
        <v>466</v>
      </c>
      <c r="R448" s="3"/>
    </row>
    <row r="449" spans="1:18" ht="12.75">
      <c r="A449" s="14"/>
      <c r="B449" s="9"/>
      <c r="C449" s="10" t="str">
        <f t="shared" si="72"/>
        <v/>
      </c>
      <c r="D449" s="9"/>
      <c r="E449" s="9" t="str">
        <f t="shared" si="73"/>
        <v>BUMPIZ</v>
      </c>
      <c r="F449" s="9"/>
      <c r="G449" s="3"/>
      <c r="H449" s="3"/>
      <c r="I449" s="44"/>
      <c r="J449" s="14"/>
      <c r="K449" s="22" t="s">
        <v>456</v>
      </c>
      <c r="L449" s="3"/>
      <c r="M449" s="8"/>
      <c r="N449" s="8"/>
      <c r="O449" s="2"/>
      <c r="P449" s="2"/>
      <c r="Q449" s="2" t="s">
        <v>456</v>
      </c>
      <c r="R449" s="3"/>
    </row>
    <row r="450" spans="1:18" ht="12.75">
      <c r="A450" s="14"/>
      <c r="B450" s="9"/>
      <c r="C450" s="10" t="str">
        <f t="shared" si="72"/>
        <v/>
      </c>
      <c r="D450" s="9"/>
      <c r="E450" s="9" t="str">
        <f t="shared" si="73"/>
        <v/>
      </c>
      <c r="F450" s="9"/>
      <c r="G450" s="3"/>
      <c r="H450" s="3"/>
      <c r="I450" s="44"/>
      <c r="J450" s="14"/>
      <c r="K450" s="14"/>
      <c r="L450" s="3"/>
      <c r="M450" s="8"/>
      <c r="N450" s="8"/>
      <c r="O450" s="8"/>
      <c r="P450" s="3"/>
      <c r="Q450" s="3"/>
      <c r="R450" s="3"/>
    </row>
    <row r="451" spans="1:18" ht="12.75">
      <c r="A451" s="14"/>
      <c r="B451" s="11"/>
      <c r="C451" s="11"/>
      <c r="D451" s="11"/>
      <c r="E451" s="11"/>
      <c r="F451" s="11"/>
      <c r="G451" s="3"/>
      <c r="H451" s="3"/>
      <c r="I451" s="8"/>
      <c r="J451" s="3"/>
      <c r="K451" s="3"/>
      <c r="L451" s="3"/>
      <c r="M451" s="8"/>
      <c r="N451" s="8"/>
      <c r="O451" s="8"/>
      <c r="P451" s="3"/>
      <c r="Q451" s="3"/>
      <c r="R451" s="3"/>
    </row>
    <row r="452" spans="1:18" ht="15">
      <c r="A452" s="14"/>
      <c r="B452" s="6"/>
      <c r="C452" s="6"/>
      <c r="D452" s="6"/>
      <c r="E452" s="6"/>
      <c r="F452" s="6"/>
      <c r="G452" s="3"/>
      <c r="H452" s="74"/>
      <c r="I452" s="5"/>
      <c r="J452" s="5"/>
      <c r="K452" s="5"/>
      <c r="L452" s="74"/>
      <c r="M452" s="8"/>
      <c r="N452" s="8"/>
      <c r="O452" s="8"/>
      <c r="P452" s="3"/>
      <c r="Q452" s="3"/>
      <c r="R452" s="3"/>
    </row>
    <row r="453" spans="1:18" ht="18">
      <c r="A453" s="14"/>
      <c r="B453" s="150" t="str">
        <f t="shared" ref="B453:B455" si="74">UPPER(H453)</f>
        <v>POST PRODUCTION / ORIGINAL SCORES &amp; SONGS</v>
      </c>
      <c r="C453" s="141"/>
      <c r="D453" s="141"/>
      <c r="E453" s="141"/>
      <c r="F453" s="141"/>
      <c r="G453" s="28"/>
      <c r="H453" s="167" t="s">
        <v>435</v>
      </c>
      <c r="I453" s="141"/>
      <c r="J453" s="141"/>
      <c r="K453" s="141"/>
      <c r="L453" s="141"/>
      <c r="M453" s="29"/>
      <c r="N453" s="161" t="s">
        <v>888</v>
      </c>
      <c r="O453" s="141"/>
      <c r="P453" s="141"/>
      <c r="Q453" s="141"/>
      <c r="R453" s="141"/>
    </row>
    <row r="454" spans="1:18" ht="15">
      <c r="A454" s="14"/>
      <c r="B454" s="146" t="str">
        <f t="shared" si="74"/>
        <v>WE R THE HEROES</v>
      </c>
      <c r="C454" s="141"/>
      <c r="D454" s="141"/>
      <c r="E454" s="141"/>
      <c r="F454" s="141"/>
      <c r="G454" s="3"/>
      <c r="H454" s="151" t="s">
        <v>467</v>
      </c>
      <c r="I454" s="141"/>
      <c r="J454" s="141"/>
      <c r="K454" s="141"/>
      <c r="L454" s="141"/>
      <c r="M454" s="8"/>
      <c r="N454" s="159" t="s">
        <v>467</v>
      </c>
      <c r="O454" s="141"/>
      <c r="P454" s="141"/>
      <c r="Q454" s="141"/>
      <c r="R454" s="141"/>
    </row>
    <row r="455" spans="1:18" ht="12.75">
      <c r="A455" s="14"/>
      <c r="B455" s="158" t="str">
        <f t="shared" si="74"/>
        <v>OPENING SONG</v>
      </c>
      <c r="C455" s="141"/>
      <c r="D455" s="141"/>
      <c r="E455" s="141"/>
      <c r="F455" s="141"/>
      <c r="G455" s="3"/>
      <c r="H455" s="170" t="s">
        <v>468</v>
      </c>
      <c r="I455" s="141"/>
      <c r="J455" s="141"/>
      <c r="K455" s="141"/>
      <c r="L455" s="141"/>
      <c r="M455" s="8"/>
      <c r="N455" s="160" t="s">
        <v>914</v>
      </c>
      <c r="O455" s="141"/>
      <c r="P455" s="141"/>
      <c r="Q455" s="141"/>
      <c r="R455" s="141"/>
    </row>
    <row r="456" spans="1:18" ht="12.75">
      <c r="A456" s="14"/>
      <c r="B456" s="9"/>
      <c r="C456" s="10" t="str">
        <f t="shared" ref="C456:C464" si="75">UPPER(I456)</f>
        <v>COMPOSER &amp; ARRANGER</v>
      </c>
      <c r="D456" s="9"/>
      <c r="E456" s="9" t="str">
        <f t="shared" ref="E456:E464" si="76">UPPER(K456)</f>
        <v>DOLLY HWANG</v>
      </c>
      <c r="F456" s="9"/>
      <c r="G456" s="3"/>
      <c r="H456" s="8"/>
      <c r="I456" s="8" t="s">
        <v>469</v>
      </c>
      <c r="J456" s="3"/>
      <c r="K456" s="3" t="s">
        <v>453</v>
      </c>
      <c r="L456" s="3"/>
      <c r="M456" s="8"/>
      <c r="N456" s="2"/>
      <c r="O456" s="36" t="s">
        <v>915</v>
      </c>
      <c r="P456" s="2"/>
      <c r="Q456" s="2" t="s">
        <v>453</v>
      </c>
      <c r="R456" s="2"/>
    </row>
    <row r="457" spans="1:18" ht="12.75">
      <c r="A457" s="14"/>
      <c r="B457" s="9"/>
      <c r="C457" s="10" t="str">
        <f t="shared" si="75"/>
        <v>LYRICS</v>
      </c>
      <c r="D457" s="9"/>
      <c r="E457" s="9" t="str">
        <f t="shared" si="76"/>
        <v>DOLLY HWANG</v>
      </c>
      <c r="F457" s="9"/>
      <c r="G457" s="3"/>
      <c r="H457" s="8"/>
      <c r="I457" s="8" t="s">
        <v>470</v>
      </c>
      <c r="J457" s="3"/>
      <c r="K457" s="3" t="s">
        <v>453</v>
      </c>
      <c r="L457" s="3"/>
      <c r="M457" s="8"/>
      <c r="N457" s="2"/>
      <c r="O457" s="36" t="s">
        <v>916</v>
      </c>
      <c r="P457" s="2"/>
      <c r="Q457" s="2" t="s">
        <v>453</v>
      </c>
      <c r="R457" s="2"/>
    </row>
    <row r="458" spans="1:18" ht="12.75">
      <c r="A458" s="14"/>
      <c r="B458" s="9"/>
      <c r="C458" s="10" t="str">
        <f t="shared" si="75"/>
        <v/>
      </c>
      <c r="D458" s="9"/>
      <c r="E458" s="9" t="str">
        <f t="shared" si="76"/>
        <v/>
      </c>
      <c r="F458" s="9"/>
      <c r="G458" s="3"/>
      <c r="H458" s="171"/>
      <c r="I458" s="141"/>
      <c r="J458" s="141"/>
      <c r="K458" s="141"/>
      <c r="L458" s="141"/>
      <c r="M458" s="8"/>
      <c r="N458" s="2"/>
      <c r="O458" s="2"/>
      <c r="P458" s="2"/>
      <c r="Q458" s="2"/>
      <c r="R458" s="2"/>
    </row>
    <row r="459" spans="1:18" ht="12.75">
      <c r="A459" s="14"/>
      <c r="B459" s="9"/>
      <c r="C459" s="10" t="str">
        <f t="shared" si="75"/>
        <v>VOCAL</v>
      </c>
      <c r="D459" s="9"/>
      <c r="E459" s="9" t="str">
        <f t="shared" si="76"/>
        <v>DOLLY HWANG</v>
      </c>
      <c r="F459" s="9"/>
      <c r="G459" s="3"/>
      <c r="H459" s="8"/>
      <c r="I459" s="8" t="s">
        <v>471</v>
      </c>
      <c r="J459" s="3"/>
      <c r="K459" s="3" t="s">
        <v>453</v>
      </c>
      <c r="L459" s="3"/>
      <c r="M459" s="8"/>
      <c r="N459" s="2"/>
      <c r="O459" s="36" t="s">
        <v>917</v>
      </c>
      <c r="P459" s="2"/>
      <c r="Q459" s="2" t="s">
        <v>453</v>
      </c>
      <c r="R459" s="2"/>
    </row>
    <row r="460" spans="1:18" ht="12.75">
      <c r="A460" s="14"/>
      <c r="B460" s="9"/>
      <c r="C460" s="10" t="str">
        <f t="shared" si="75"/>
        <v>GUITAR</v>
      </c>
      <c r="D460" s="9"/>
      <c r="E460" s="9" t="str">
        <f t="shared" si="76"/>
        <v>DOLLY HWANG</v>
      </c>
      <c r="F460" s="9"/>
      <c r="G460" s="3"/>
      <c r="H460" s="8"/>
      <c r="I460" s="8" t="s">
        <v>460</v>
      </c>
      <c r="J460" s="3"/>
      <c r="K460" s="3" t="s">
        <v>453</v>
      </c>
      <c r="L460" s="3"/>
      <c r="M460" s="8"/>
      <c r="N460" s="2"/>
      <c r="O460" s="36" t="s">
        <v>909</v>
      </c>
      <c r="P460" s="2"/>
      <c r="Q460" s="2" t="s">
        <v>453</v>
      </c>
      <c r="R460" s="2"/>
    </row>
    <row r="461" spans="1:18" ht="12.75">
      <c r="A461" s="14"/>
      <c r="B461" s="9"/>
      <c r="C461" s="10" t="str">
        <f t="shared" si="75"/>
        <v>BASS</v>
      </c>
      <c r="D461" s="9"/>
      <c r="E461" s="9" t="str">
        <f t="shared" si="76"/>
        <v>DOLLY HWANG</v>
      </c>
      <c r="F461" s="9"/>
      <c r="G461" s="3"/>
      <c r="H461" s="8"/>
      <c r="I461" s="8" t="s">
        <v>461</v>
      </c>
      <c r="J461" s="3"/>
      <c r="K461" s="3" t="s">
        <v>453</v>
      </c>
      <c r="L461" s="3"/>
      <c r="M461" s="8"/>
      <c r="N461" s="2"/>
      <c r="O461" s="36" t="s">
        <v>910</v>
      </c>
      <c r="P461" s="2"/>
      <c r="Q461" s="2" t="s">
        <v>453</v>
      </c>
      <c r="R461" s="2"/>
    </row>
    <row r="462" spans="1:18" ht="12.75">
      <c r="A462" s="14"/>
      <c r="B462" s="9"/>
      <c r="C462" s="10" t="str">
        <f t="shared" si="75"/>
        <v>RECORDING STUDIO</v>
      </c>
      <c r="D462" s="9"/>
      <c r="E462" s="9" t="str">
        <f t="shared" si="76"/>
        <v>PURPLE MOON</v>
      </c>
      <c r="F462" s="9"/>
      <c r="G462" s="3"/>
      <c r="H462" s="8"/>
      <c r="I462" s="8" t="s">
        <v>465</v>
      </c>
      <c r="J462" s="3"/>
      <c r="K462" s="3" t="s">
        <v>472</v>
      </c>
      <c r="L462" s="3"/>
      <c r="M462" s="8"/>
      <c r="N462" s="2"/>
      <c r="O462" s="36" t="s">
        <v>882</v>
      </c>
      <c r="P462" s="2"/>
      <c r="Q462" s="2" t="s">
        <v>472</v>
      </c>
      <c r="R462" s="2"/>
    </row>
    <row r="463" spans="1:18" ht="12.75">
      <c r="A463" s="14"/>
      <c r="B463" s="9"/>
      <c r="C463" s="10" t="str">
        <f t="shared" si="75"/>
        <v>RECORDING ENGINEER</v>
      </c>
      <c r="D463" s="9"/>
      <c r="E463" s="9" t="str">
        <f t="shared" si="76"/>
        <v>DOLLY HWANG</v>
      </c>
      <c r="F463" s="9"/>
      <c r="G463" s="3"/>
      <c r="H463" s="8"/>
      <c r="I463" s="8" t="s">
        <v>427</v>
      </c>
      <c r="J463" s="3"/>
      <c r="K463" s="3" t="s">
        <v>453</v>
      </c>
      <c r="L463" s="3"/>
      <c r="M463" s="8"/>
      <c r="N463" s="2"/>
      <c r="O463" s="36" t="s">
        <v>886</v>
      </c>
      <c r="P463" s="2"/>
      <c r="Q463" s="2" t="s">
        <v>453</v>
      </c>
      <c r="R463" s="2"/>
    </row>
    <row r="464" spans="1:18" ht="12.75">
      <c r="A464" s="14"/>
      <c r="B464" s="9"/>
      <c r="C464" s="9" t="str">
        <f t="shared" si="75"/>
        <v/>
      </c>
      <c r="D464" s="9"/>
      <c r="E464" s="9" t="str">
        <f t="shared" si="76"/>
        <v/>
      </c>
      <c r="F464" s="9"/>
      <c r="G464" s="3"/>
      <c r="H464" s="8"/>
      <c r="I464" s="8"/>
      <c r="J464" s="3"/>
      <c r="K464" s="3"/>
      <c r="L464" s="3"/>
      <c r="M464" s="8"/>
      <c r="N464" s="2"/>
      <c r="O464" s="2"/>
      <c r="P464" s="2"/>
      <c r="Q464" s="2"/>
      <c r="R464" s="2"/>
    </row>
    <row r="465" spans="1:18" ht="15">
      <c r="A465" s="14"/>
      <c r="B465" s="146" t="str">
        <f t="shared" ref="B465:B466" si="77">UPPER(H465)</f>
        <v>TEENAGE DREAMING</v>
      </c>
      <c r="C465" s="141"/>
      <c r="D465" s="141"/>
      <c r="E465" s="141"/>
      <c r="F465" s="141"/>
      <c r="G465" s="3"/>
      <c r="H465" s="161" t="s">
        <v>473</v>
      </c>
      <c r="I465" s="141"/>
      <c r="J465" s="141"/>
      <c r="K465" s="141"/>
      <c r="L465" s="141"/>
      <c r="M465" s="8"/>
      <c r="N465" s="161" t="s">
        <v>473</v>
      </c>
      <c r="O465" s="141"/>
      <c r="P465" s="141"/>
      <c r="Q465" s="141"/>
      <c r="R465" s="141"/>
    </row>
    <row r="466" spans="1:18" ht="12.75">
      <c r="A466" s="14"/>
      <c r="B466" s="158" t="str">
        <f t="shared" si="77"/>
        <v>ENDING SONG</v>
      </c>
      <c r="C466" s="141"/>
      <c r="D466" s="141"/>
      <c r="E466" s="141"/>
      <c r="F466" s="141"/>
      <c r="G466" s="3"/>
      <c r="H466" s="162" t="s">
        <v>474</v>
      </c>
      <c r="I466" s="141"/>
      <c r="J466" s="141"/>
      <c r="K466" s="141"/>
      <c r="L466" s="141"/>
      <c r="M466" s="8"/>
      <c r="N466" s="162" t="s">
        <v>918</v>
      </c>
      <c r="O466" s="141"/>
      <c r="P466" s="141"/>
      <c r="Q466" s="141"/>
      <c r="R466" s="141"/>
    </row>
    <row r="467" spans="1:18" ht="12.75">
      <c r="A467" s="14"/>
      <c r="B467" s="9"/>
      <c r="C467" s="10" t="str">
        <f t="shared" ref="C467:C474" si="78">UPPER(I467)</f>
        <v>COMPOSER &amp; ARRANGER</v>
      </c>
      <c r="D467" s="9"/>
      <c r="E467" s="9" t="str">
        <f t="shared" ref="E467:E474" si="79">UPPER(K467)</f>
        <v>DOLLY HWANG</v>
      </c>
      <c r="F467" s="9"/>
      <c r="G467" s="3"/>
      <c r="H467" s="55"/>
      <c r="I467" s="36" t="s">
        <v>469</v>
      </c>
      <c r="J467" s="55"/>
      <c r="K467" s="2" t="s">
        <v>453</v>
      </c>
      <c r="L467" s="55"/>
      <c r="M467" s="8"/>
      <c r="N467" s="2"/>
      <c r="O467" s="36" t="s">
        <v>915</v>
      </c>
      <c r="P467" s="2"/>
      <c r="Q467" s="2" t="s">
        <v>453</v>
      </c>
      <c r="R467" s="2"/>
    </row>
    <row r="468" spans="1:18" ht="12.75">
      <c r="A468" s="14"/>
      <c r="B468" s="9"/>
      <c r="C468" s="10" t="str">
        <f t="shared" si="78"/>
        <v>LYRICS</v>
      </c>
      <c r="D468" s="9"/>
      <c r="E468" s="9" t="str">
        <f t="shared" si="79"/>
        <v>PAUL Y. KIM</v>
      </c>
      <c r="F468" s="9"/>
      <c r="G468" s="3"/>
      <c r="H468" s="55"/>
      <c r="I468" s="36" t="s">
        <v>470</v>
      </c>
      <c r="J468" s="55"/>
      <c r="K468" s="2" t="s">
        <v>475</v>
      </c>
      <c r="L468" s="55"/>
      <c r="M468" s="8"/>
      <c r="N468" s="2"/>
      <c r="O468" s="36" t="s">
        <v>916</v>
      </c>
      <c r="P468" s="2"/>
      <c r="Q468" s="2" t="s">
        <v>475</v>
      </c>
      <c r="R468" s="2"/>
    </row>
    <row r="469" spans="1:18" ht="12.75">
      <c r="A469" s="14"/>
      <c r="B469" s="9"/>
      <c r="C469" s="10" t="str">
        <f t="shared" si="78"/>
        <v/>
      </c>
      <c r="D469" s="9"/>
      <c r="E469" s="9" t="str">
        <f t="shared" si="79"/>
        <v/>
      </c>
      <c r="F469" s="9"/>
      <c r="G469" s="3"/>
      <c r="H469" s="171"/>
      <c r="I469" s="141"/>
      <c r="J469" s="141"/>
      <c r="K469" s="141"/>
      <c r="L469" s="141"/>
      <c r="M469" s="8"/>
      <c r="N469" s="2"/>
      <c r="O469" s="2"/>
      <c r="P469" s="2"/>
      <c r="Q469" s="2"/>
      <c r="R469" s="2"/>
    </row>
    <row r="470" spans="1:18" ht="12.75">
      <c r="A470" s="14"/>
      <c r="B470" s="9"/>
      <c r="C470" s="10" t="str">
        <f t="shared" si="78"/>
        <v>VOCAL</v>
      </c>
      <c r="D470" s="9"/>
      <c r="E470" s="9" t="str">
        <f t="shared" si="79"/>
        <v>DOLLY HWANG</v>
      </c>
      <c r="F470" s="9"/>
      <c r="G470" s="3"/>
      <c r="H470" s="55"/>
      <c r="I470" s="36" t="s">
        <v>471</v>
      </c>
      <c r="J470" s="55"/>
      <c r="K470" s="2" t="s">
        <v>453</v>
      </c>
      <c r="L470" s="55"/>
      <c r="M470" s="8"/>
      <c r="N470" s="2"/>
      <c r="O470" s="36" t="s">
        <v>917</v>
      </c>
      <c r="P470" s="2"/>
      <c r="Q470" s="2" t="s">
        <v>453</v>
      </c>
      <c r="R470" s="2"/>
    </row>
    <row r="471" spans="1:18" ht="12.75">
      <c r="A471" s="14"/>
      <c r="B471" s="9"/>
      <c r="C471" s="10" t="str">
        <f t="shared" si="78"/>
        <v>GUITAR</v>
      </c>
      <c r="D471" s="9"/>
      <c r="E471" s="9" t="str">
        <f t="shared" si="79"/>
        <v>DOLLY HWANG</v>
      </c>
      <c r="F471" s="9"/>
      <c r="G471" s="3"/>
      <c r="H471" s="55"/>
      <c r="I471" s="36" t="s">
        <v>460</v>
      </c>
      <c r="J471" s="55"/>
      <c r="K471" s="2" t="s">
        <v>453</v>
      </c>
      <c r="L471" s="55"/>
      <c r="M471" s="8"/>
      <c r="N471" s="2"/>
      <c r="O471" s="36" t="s">
        <v>909</v>
      </c>
      <c r="P471" s="2"/>
      <c r="Q471" s="2" t="s">
        <v>453</v>
      </c>
      <c r="R471" s="2"/>
    </row>
    <row r="472" spans="1:18" ht="12.75">
      <c r="A472" s="14"/>
      <c r="B472" s="9"/>
      <c r="C472" s="10" t="str">
        <f t="shared" si="78"/>
        <v>BASS</v>
      </c>
      <c r="D472" s="9"/>
      <c r="E472" s="9" t="str">
        <f t="shared" si="79"/>
        <v>DOLLY HWANG</v>
      </c>
      <c r="F472" s="9"/>
      <c r="G472" s="3"/>
      <c r="H472" s="55"/>
      <c r="I472" s="36" t="s">
        <v>461</v>
      </c>
      <c r="J472" s="55"/>
      <c r="K472" s="2" t="s">
        <v>453</v>
      </c>
      <c r="L472" s="55"/>
      <c r="M472" s="8"/>
      <c r="N472" s="2"/>
      <c r="O472" s="36" t="s">
        <v>910</v>
      </c>
      <c r="P472" s="2"/>
      <c r="Q472" s="2" t="s">
        <v>453</v>
      </c>
      <c r="R472" s="2"/>
    </row>
    <row r="473" spans="1:18" ht="12.75">
      <c r="A473" s="14"/>
      <c r="B473" s="9"/>
      <c r="C473" s="10" t="str">
        <f t="shared" si="78"/>
        <v>RECORDING STUDIO</v>
      </c>
      <c r="D473" s="9"/>
      <c r="E473" s="9" t="str">
        <f t="shared" si="79"/>
        <v>PURPLE MOON</v>
      </c>
      <c r="F473" s="9"/>
      <c r="G473" s="3"/>
      <c r="H473" s="55"/>
      <c r="I473" s="36" t="s">
        <v>465</v>
      </c>
      <c r="J473" s="55"/>
      <c r="K473" s="2" t="s">
        <v>472</v>
      </c>
      <c r="L473" s="55"/>
      <c r="M473" s="8"/>
      <c r="N473" s="2"/>
      <c r="O473" s="36" t="s">
        <v>882</v>
      </c>
      <c r="P473" s="2"/>
      <c r="Q473" s="2" t="s">
        <v>472</v>
      </c>
      <c r="R473" s="2"/>
    </row>
    <row r="474" spans="1:18" ht="12.75">
      <c r="A474" s="14"/>
      <c r="B474" s="9"/>
      <c r="C474" s="10" t="str">
        <f t="shared" si="78"/>
        <v>RECORDING ENGINEER</v>
      </c>
      <c r="D474" s="9"/>
      <c r="E474" s="9" t="str">
        <f t="shared" si="79"/>
        <v>DOLLY HWANG</v>
      </c>
      <c r="F474" s="9"/>
      <c r="G474" s="3"/>
      <c r="H474" s="55"/>
      <c r="I474" s="36" t="s">
        <v>427</v>
      </c>
      <c r="J474" s="55"/>
      <c r="K474" s="2" t="s">
        <v>453</v>
      </c>
      <c r="L474" s="55"/>
      <c r="M474" s="8"/>
      <c r="N474" s="2"/>
      <c r="O474" s="36" t="s">
        <v>886</v>
      </c>
      <c r="P474" s="2"/>
      <c r="Q474" s="2" t="s">
        <v>453</v>
      </c>
      <c r="R474" s="2"/>
    </row>
    <row r="475" spans="1:18" ht="12.75">
      <c r="A475" s="14"/>
      <c r="B475" s="9"/>
      <c r="C475" s="10"/>
      <c r="D475" s="9"/>
      <c r="E475" s="9"/>
      <c r="F475" s="9"/>
      <c r="G475" s="3"/>
      <c r="H475" s="55"/>
      <c r="I475" s="36"/>
      <c r="J475" s="55"/>
      <c r="K475" s="2"/>
      <c r="L475" s="55"/>
      <c r="M475" s="8"/>
      <c r="N475" s="8"/>
      <c r="O475" s="8"/>
      <c r="P475" s="3"/>
      <c r="Q475" s="3"/>
      <c r="R475" s="3"/>
    </row>
    <row r="476" spans="1:18" ht="12.75">
      <c r="A476" s="14"/>
      <c r="B476" s="11"/>
      <c r="C476" s="11"/>
      <c r="D476" s="11"/>
      <c r="E476" s="11"/>
      <c r="F476" s="11"/>
      <c r="G476" s="3"/>
      <c r="H476" s="3"/>
      <c r="I476" s="8"/>
      <c r="J476" s="3"/>
      <c r="K476" s="3"/>
      <c r="L476" s="3"/>
      <c r="M476" s="8"/>
      <c r="N476" s="8"/>
      <c r="O476" s="8"/>
      <c r="P476" s="3"/>
      <c r="Q476" s="3"/>
      <c r="R476" s="3"/>
    </row>
    <row r="477" spans="1:18" ht="15">
      <c r="A477" s="14"/>
      <c r="B477" s="6"/>
      <c r="C477" s="6"/>
      <c r="D477" s="6"/>
      <c r="E477" s="6"/>
      <c r="F477" s="6"/>
      <c r="G477" s="3"/>
      <c r="H477" s="5"/>
      <c r="I477" s="5"/>
      <c r="J477" s="5"/>
      <c r="K477" s="5"/>
      <c r="L477" s="5"/>
      <c r="M477" s="8"/>
      <c r="N477" s="8"/>
      <c r="O477" s="8"/>
      <c r="P477" s="3"/>
      <c r="Q477" s="3"/>
      <c r="R477" s="3"/>
    </row>
    <row r="478" spans="1:18" ht="18">
      <c r="A478" s="14"/>
      <c r="B478" s="150" t="str">
        <f t="shared" ref="B478:B479" si="80">UPPER(H478)</f>
        <v>POST PRODUCTION / ORIGINAL SCORES &amp; SONGS</v>
      </c>
      <c r="C478" s="141"/>
      <c r="D478" s="141"/>
      <c r="E478" s="141"/>
      <c r="F478" s="141"/>
      <c r="G478" s="28"/>
      <c r="H478" s="167" t="s">
        <v>435</v>
      </c>
      <c r="I478" s="141"/>
      <c r="J478" s="141"/>
      <c r="K478" s="141"/>
      <c r="L478" s="141"/>
      <c r="M478" s="29"/>
      <c r="N478" s="149" t="s">
        <v>888</v>
      </c>
      <c r="O478" s="141"/>
      <c r="P478" s="141"/>
      <c r="Q478" s="141"/>
      <c r="R478" s="141"/>
    </row>
    <row r="479" spans="1:18" ht="15">
      <c r="A479" s="14"/>
      <c r="B479" s="146" t="str">
        <f t="shared" si="80"/>
        <v>MUSIC BY EPISODE</v>
      </c>
      <c r="C479" s="141"/>
      <c r="D479" s="141"/>
      <c r="E479" s="141"/>
      <c r="F479" s="141"/>
      <c r="G479" s="3"/>
      <c r="H479" s="149" t="s">
        <v>476</v>
      </c>
      <c r="I479" s="141"/>
      <c r="J479" s="141"/>
      <c r="K479" s="141"/>
      <c r="L479" s="141"/>
      <c r="M479" s="8"/>
      <c r="N479" s="149" t="s">
        <v>919</v>
      </c>
      <c r="O479" s="141"/>
      <c r="P479" s="141"/>
      <c r="Q479" s="141"/>
      <c r="R479" s="141"/>
    </row>
    <row r="480" spans="1:18" ht="15">
      <c r="A480" s="14"/>
      <c r="B480" s="6"/>
      <c r="C480" s="10" t="str">
        <f t="shared" ref="C480:C493" si="81">UPPER(I480)</f>
        <v/>
      </c>
      <c r="D480" s="42"/>
      <c r="E480" s="57" t="str">
        <f t="shared" ref="E480:E493" si="82">UPPER(K480)</f>
        <v/>
      </c>
      <c r="F480" s="6"/>
      <c r="G480" s="3"/>
      <c r="H480" s="5"/>
      <c r="I480" s="82"/>
      <c r="J480" s="83"/>
      <c r="K480" s="84"/>
      <c r="L480" s="5"/>
      <c r="M480" s="8"/>
      <c r="N480" s="149"/>
      <c r="O480" s="141"/>
      <c r="P480" s="141"/>
      <c r="Q480" s="141"/>
      <c r="R480" s="141"/>
    </row>
    <row r="481" spans="1:18" ht="15">
      <c r="A481" s="14"/>
      <c r="B481" s="6"/>
      <c r="C481" s="10" t="str">
        <f t="shared" si="81"/>
        <v>MUSIC SUPERVISOR</v>
      </c>
      <c r="D481" s="42"/>
      <c r="E481" s="57" t="str">
        <f t="shared" si="82"/>
        <v>YOONHO KIM</v>
      </c>
      <c r="F481" s="6"/>
      <c r="G481" s="3"/>
      <c r="H481" s="3"/>
      <c r="I481" s="30" t="s">
        <v>447</v>
      </c>
      <c r="J481" s="24"/>
      <c r="K481" s="22" t="s">
        <v>448</v>
      </c>
      <c r="L481" s="3"/>
      <c r="M481" s="8"/>
      <c r="N481" s="3"/>
      <c r="O481" s="8" t="s">
        <v>898</v>
      </c>
      <c r="P481" s="3"/>
      <c r="Q481" s="3" t="s">
        <v>899</v>
      </c>
      <c r="R481" s="3"/>
    </row>
    <row r="482" spans="1:18" ht="15">
      <c r="A482" s="14"/>
      <c r="B482" s="6"/>
      <c r="C482" s="10" t="str">
        <f t="shared" si="81"/>
        <v/>
      </c>
      <c r="D482" s="42"/>
      <c r="E482" s="57" t="str">
        <f t="shared" si="82"/>
        <v/>
      </c>
      <c r="F482" s="6"/>
      <c r="G482" s="3"/>
      <c r="H482" s="3"/>
      <c r="I482" s="94"/>
      <c r="J482" s="14"/>
      <c r="K482" s="14"/>
      <c r="L482" s="3"/>
      <c r="M482" s="8"/>
      <c r="N482" s="3"/>
      <c r="O482" s="8"/>
      <c r="P482" s="3"/>
      <c r="Q482" s="3"/>
      <c r="R482" s="3"/>
    </row>
    <row r="483" spans="1:18" ht="15">
      <c r="A483" s="14"/>
      <c r="B483" s="6"/>
      <c r="C483" s="10" t="str">
        <f t="shared" si="81"/>
        <v>LEAD COMPOSER</v>
      </c>
      <c r="D483" s="42"/>
      <c r="E483" s="57" t="str">
        <f t="shared" si="82"/>
        <v>SIEUN KIM</v>
      </c>
      <c r="F483" s="6"/>
      <c r="G483" s="3"/>
      <c r="H483" s="5"/>
      <c r="I483" s="30" t="s">
        <v>449</v>
      </c>
      <c r="J483" s="24"/>
      <c r="K483" s="22" t="s">
        <v>463</v>
      </c>
      <c r="L483" s="5"/>
      <c r="M483" s="8"/>
      <c r="N483" s="3"/>
      <c r="O483" s="8" t="s">
        <v>900</v>
      </c>
      <c r="P483" s="3"/>
      <c r="Q483" s="3" t="s">
        <v>901</v>
      </c>
      <c r="R483" s="3"/>
    </row>
    <row r="484" spans="1:18" ht="15">
      <c r="A484" s="14"/>
      <c r="B484" s="6"/>
      <c r="C484" s="10" t="str">
        <f t="shared" si="81"/>
        <v/>
      </c>
      <c r="D484" s="42"/>
      <c r="E484" s="57" t="str">
        <f t="shared" si="82"/>
        <v/>
      </c>
      <c r="F484" s="6"/>
      <c r="G484" s="3"/>
      <c r="H484" s="3"/>
      <c r="I484" s="75"/>
      <c r="J484" s="75"/>
      <c r="K484" s="75"/>
      <c r="L484" s="3"/>
      <c r="M484" s="8"/>
      <c r="N484" s="3"/>
      <c r="O484" s="8"/>
      <c r="P484" s="3"/>
      <c r="Q484" s="3"/>
      <c r="R484" s="3"/>
    </row>
    <row r="485" spans="1:18" ht="15">
      <c r="A485" s="14"/>
      <c r="B485" s="6"/>
      <c r="C485" s="10" t="str">
        <f t="shared" si="81"/>
        <v>ADDITIONAL COMPOSER</v>
      </c>
      <c r="D485" s="42"/>
      <c r="E485" s="57" t="str">
        <f t="shared" si="82"/>
        <v>BUMPIZ</v>
      </c>
      <c r="F485" s="6"/>
      <c r="G485" s="3"/>
      <c r="H485" s="3"/>
      <c r="I485" s="30" t="s">
        <v>451</v>
      </c>
      <c r="J485" s="24"/>
      <c r="K485" s="22" t="s">
        <v>456</v>
      </c>
      <c r="L485" s="3"/>
      <c r="M485" s="8"/>
      <c r="N485" s="3"/>
      <c r="O485" s="8" t="s">
        <v>902</v>
      </c>
      <c r="P485" s="3"/>
      <c r="Q485" s="2" t="s">
        <v>456</v>
      </c>
      <c r="R485" s="3"/>
    </row>
    <row r="486" spans="1:18" ht="15">
      <c r="A486" s="14"/>
      <c r="B486" s="6"/>
      <c r="C486" s="10" t="str">
        <f t="shared" si="81"/>
        <v/>
      </c>
      <c r="D486" s="42"/>
      <c r="E486" s="57" t="str">
        <f t="shared" si="82"/>
        <v>DOLLY HWANG</v>
      </c>
      <c r="F486" s="6"/>
      <c r="G486" s="3"/>
      <c r="H486" s="3"/>
      <c r="I486" s="30"/>
      <c r="J486" s="24"/>
      <c r="K486" s="22" t="s">
        <v>453</v>
      </c>
      <c r="L486" s="3"/>
      <c r="M486" s="8"/>
      <c r="N486" s="3"/>
      <c r="O486" s="8"/>
      <c r="P486" s="3"/>
      <c r="Q486" s="2" t="s">
        <v>453</v>
      </c>
      <c r="R486" s="3"/>
    </row>
    <row r="487" spans="1:18" ht="15">
      <c r="A487" s="14"/>
      <c r="B487" s="6"/>
      <c r="C487" s="10" t="str">
        <f t="shared" si="81"/>
        <v/>
      </c>
      <c r="D487" s="42"/>
      <c r="E487" s="57" t="str">
        <f t="shared" si="82"/>
        <v>HAEHOON LEE</v>
      </c>
      <c r="F487" s="6"/>
      <c r="G487" s="3"/>
      <c r="H487" s="3"/>
      <c r="I487" s="94"/>
      <c r="J487" s="14"/>
      <c r="K487" s="22" t="s">
        <v>454</v>
      </c>
      <c r="L487" s="3"/>
      <c r="M487" s="8"/>
      <c r="N487" s="3"/>
      <c r="O487" s="8"/>
      <c r="P487" s="3"/>
      <c r="Q487" s="3" t="s">
        <v>904</v>
      </c>
      <c r="R487" s="3"/>
    </row>
    <row r="488" spans="1:18" ht="15">
      <c r="A488" s="14"/>
      <c r="B488" s="6"/>
      <c r="C488" s="10" t="str">
        <f t="shared" si="81"/>
        <v/>
      </c>
      <c r="D488" s="42"/>
      <c r="E488" s="57" t="str">
        <f t="shared" si="82"/>
        <v>SOYOUNG KWON</v>
      </c>
      <c r="F488" s="6"/>
      <c r="G488" s="3"/>
      <c r="H488" s="3"/>
      <c r="I488" s="30"/>
      <c r="J488" s="24"/>
      <c r="K488" s="22" t="s">
        <v>455</v>
      </c>
      <c r="L488" s="3"/>
      <c r="M488" s="8"/>
      <c r="N488" s="3"/>
      <c r="O488" s="8"/>
      <c r="P488" s="3"/>
      <c r="Q488" s="3" t="s">
        <v>905</v>
      </c>
      <c r="R488" s="3"/>
    </row>
    <row r="489" spans="1:18" ht="15">
      <c r="A489" s="14"/>
      <c r="B489" s="6"/>
      <c r="C489" s="10" t="str">
        <f t="shared" si="81"/>
        <v/>
      </c>
      <c r="D489" s="42"/>
      <c r="E489" s="57" t="str">
        <f t="shared" si="82"/>
        <v/>
      </c>
      <c r="F489" s="6"/>
      <c r="G489" s="3"/>
      <c r="H489" s="5"/>
      <c r="I489" s="44"/>
      <c r="J489" s="14"/>
      <c r="K489" s="14"/>
      <c r="L489" s="5"/>
      <c r="M489" s="8"/>
      <c r="N489" s="3"/>
      <c r="O489" s="8"/>
      <c r="P489" s="3"/>
      <c r="Q489" s="3"/>
      <c r="R489" s="3"/>
    </row>
    <row r="490" spans="1:18" ht="15">
      <c r="A490" s="14"/>
      <c r="B490" s="6"/>
      <c r="C490" s="10" t="str">
        <f t="shared" si="81"/>
        <v>LEAD SOUND DESIGNER</v>
      </c>
      <c r="D490" s="42"/>
      <c r="E490" s="57" t="str">
        <f t="shared" si="82"/>
        <v>HYEJEONG HWANG</v>
      </c>
      <c r="F490" s="6"/>
      <c r="G490" s="3"/>
      <c r="H490" s="3"/>
      <c r="I490" s="30" t="s">
        <v>478</v>
      </c>
      <c r="J490" s="24"/>
      <c r="K490" s="22" t="s">
        <v>441</v>
      </c>
      <c r="L490" s="3"/>
      <c r="M490" s="8"/>
      <c r="N490" s="3"/>
      <c r="O490" s="8" t="s">
        <v>920</v>
      </c>
      <c r="P490" s="3"/>
      <c r="Q490" s="3" t="s">
        <v>885</v>
      </c>
      <c r="R490" s="3"/>
    </row>
    <row r="491" spans="1:18" ht="15">
      <c r="A491" s="14"/>
      <c r="B491" s="6"/>
      <c r="C491" s="10" t="str">
        <f t="shared" si="81"/>
        <v/>
      </c>
      <c r="D491" s="42"/>
      <c r="E491" s="57" t="str">
        <f t="shared" si="82"/>
        <v/>
      </c>
      <c r="F491" s="6"/>
      <c r="G491" s="3"/>
      <c r="H491" s="3"/>
      <c r="I491" s="94"/>
      <c r="J491" s="14"/>
      <c r="K491" s="14"/>
      <c r="L491" s="3"/>
      <c r="M491" s="8"/>
      <c r="N491" s="8"/>
      <c r="O491" s="8"/>
      <c r="P491" s="3"/>
      <c r="Q491" s="3"/>
      <c r="R491" s="3"/>
    </row>
    <row r="492" spans="1:18" ht="15">
      <c r="A492" s="14"/>
      <c r="B492" s="6"/>
      <c r="C492" s="10" t="str">
        <f t="shared" si="81"/>
        <v>FOLEY DESIGNER</v>
      </c>
      <c r="D492" s="42"/>
      <c r="E492" s="57" t="str">
        <f t="shared" si="82"/>
        <v>HYEJEONG HWANG</v>
      </c>
      <c r="F492" s="6"/>
      <c r="G492" s="3"/>
      <c r="H492" s="3"/>
      <c r="I492" s="30" t="s">
        <v>479</v>
      </c>
      <c r="J492" s="24"/>
      <c r="K492" s="22" t="s">
        <v>441</v>
      </c>
      <c r="L492" s="3"/>
      <c r="M492" s="8"/>
      <c r="N492" s="8"/>
      <c r="O492" s="8" t="s">
        <v>921</v>
      </c>
      <c r="P492" s="3"/>
      <c r="Q492" s="3" t="s">
        <v>885</v>
      </c>
      <c r="R492" s="3"/>
    </row>
    <row r="493" spans="1:18" ht="12.75">
      <c r="A493" s="14"/>
      <c r="B493" s="42"/>
      <c r="C493" s="42" t="str">
        <f t="shared" si="81"/>
        <v/>
      </c>
      <c r="D493" s="42"/>
      <c r="E493" s="57" t="str">
        <f t="shared" si="82"/>
        <v/>
      </c>
      <c r="F493" s="42"/>
      <c r="G493" s="3"/>
      <c r="H493" s="3"/>
      <c r="I493" s="8"/>
      <c r="J493" s="3"/>
      <c r="K493" s="3"/>
      <c r="L493" s="3"/>
      <c r="M493" s="8"/>
      <c r="N493" s="8"/>
      <c r="O493" s="8"/>
      <c r="P493" s="3"/>
      <c r="Q493" s="3"/>
      <c r="R493" s="3"/>
    </row>
    <row r="494" spans="1:18" ht="12.75">
      <c r="A494" s="14"/>
      <c r="B494" s="3"/>
      <c r="C494" s="3"/>
      <c r="D494" s="3"/>
      <c r="E494" s="80"/>
      <c r="F494" s="3"/>
      <c r="G494" s="3"/>
      <c r="H494" s="3"/>
      <c r="I494" s="8"/>
      <c r="J494" s="3"/>
      <c r="K494" s="3"/>
      <c r="L494" s="3"/>
      <c r="M494" s="8"/>
      <c r="N494" s="8"/>
      <c r="O494" s="8"/>
      <c r="P494" s="3"/>
      <c r="Q494" s="3"/>
      <c r="R494" s="3"/>
    </row>
    <row r="495" spans="1:18" ht="15">
      <c r="A495" s="14"/>
      <c r="B495" s="58"/>
      <c r="C495" s="58"/>
      <c r="D495" s="58"/>
      <c r="E495" s="58"/>
      <c r="F495" s="58"/>
      <c r="G495" s="3"/>
      <c r="H495" s="5"/>
      <c r="I495" s="5"/>
      <c r="J495" s="5"/>
      <c r="K495" s="5"/>
      <c r="L495" s="5"/>
      <c r="M495" s="8"/>
      <c r="N495" s="8"/>
      <c r="O495" s="8"/>
      <c r="P495" s="3"/>
      <c r="Q495" s="3"/>
      <c r="R495" s="3"/>
    </row>
    <row r="496" spans="1:18" ht="18">
      <c r="A496" s="14"/>
      <c r="B496" s="153" t="str">
        <f>UPPER(H496)</f>
        <v>MASTERING</v>
      </c>
      <c r="C496" s="141"/>
      <c r="D496" s="141"/>
      <c r="E496" s="141"/>
      <c r="F496" s="141"/>
      <c r="G496" s="28"/>
      <c r="H496" s="167" t="s">
        <v>481</v>
      </c>
      <c r="I496" s="141"/>
      <c r="J496" s="141"/>
      <c r="K496" s="141"/>
      <c r="L496" s="141"/>
      <c r="M496" s="29"/>
      <c r="N496" s="149" t="s">
        <v>923</v>
      </c>
      <c r="O496" s="141"/>
      <c r="P496" s="141"/>
      <c r="Q496" s="141"/>
      <c r="R496" s="141"/>
    </row>
    <row r="497" spans="1:18" ht="12.75">
      <c r="A497" s="14"/>
      <c r="B497" s="42"/>
      <c r="C497" s="10"/>
      <c r="D497" s="42"/>
      <c r="E497" s="57"/>
      <c r="F497" s="59"/>
      <c r="G497" s="3"/>
      <c r="H497" s="3"/>
      <c r="I497" s="8"/>
      <c r="J497" s="3"/>
      <c r="K497" s="3"/>
      <c r="L497" s="3"/>
      <c r="M497" s="8"/>
      <c r="N497" s="3"/>
      <c r="O497" s="8"/>
      <c r="P497" s="3"/>
      <c r="Q497" s="3"/>
      <c r="R497" s="3"/>
    </row>
    <row r="498" spans="1:18" ht="12.75">
      <c r="A498" s="14"/>
      <c r="B498" s="42" t="str">
        <f t="shared" ref="B498:C498" si="83">UPPER(H498)</f>
        <v/>
      </c>
      <c r="C498" s="10" t="str">
        <f t="shared" si="83"/>
        <v>STUDIO</v>
      </c>
      <c r="D498" s="42"/>
      <c r="E498" s="57" t="str">
        <f>UPPER(K498)</f>
        <v>SBA</v>
      </c>
      <c r="F498" s="59"/>
      <c r="G498" s="3"/>
      <c r="H498" s="3"/>
      <c r="I498" s="8" t="s">
        <v>482</v>
      </c>
      <c r="J498" s="3"/>
      <c r="K498" s="3" t="s">
        <v>483</v>
      </c>
      <c r="L498" s="3"/>
      <c r="M498" s="8"/>
      <c r="N498" s="3"/>
      <c r="O498" s="8" t="s">
        <v>924</v>
      </c>
      <c r="P498" s="3"/>
      <c r="Q498" s="3" t="s">
        <v>483</v>
      </c>
      <c r="R498" s="3"/>
    </row>
    <row r="499" spans="1:18" ht="12.75">
      <c r="A499" s="14"/>
      <c r="B499" s="42"/>
      <c r="C499" s="10"/>
      <c r="D499" s="42"/>
      <c r="E499" s="57"/>
      <c r="F499" s="59"/>
      <c r="G499" s="3"/>
      <c r="H499" s="3"/>
      <c r="I499" s="8"/>
      <c r="J499" s="3"/>
      <c r="K499" s="3"/>
      <c r="L499" s="3"/>
      <c r="M499" s="8"/>
      <c r="N499" s="3"/>
      <c r="O499" s="3"/>
      <c r="P499" s="3"/>
      <c r="Q499" s="3"/>
      <c r="R499" s="3"/>
    </row>
    <row r="500" spans="1:18" ht="12.75">
      <c r="A500" s="14"/>
      <c r="B500" s="42"/>
      <c r="C500" s="10" t="str">
        <f>UPPER(I500)</f>
        <v>STUDIO DEPT. DIRECTOR</v>
      </c>
      <c r="D500" s="42"/>
      <c r="E500" s="57" t="str">
        <f>UPPER(K500)</f>
        <v>JONGMIN HAHM</v>
      </c>
      <c r="F500" s="59"/>
      <c r="G500" s="3"/>
      <c r="H500" s="3"/>
      <c r="I500" s="8" t="s">
        <v>484</v>
      </c>
      <c r="J500" s="3"/>
      <c r="K500" s="3" t="s">
        <v>485</v>
      </c>
      <c r="L500" s="3"/>
      <c r="M500" s="8"/>
      <c r="N500" s="3"/>
      <c r="O500" s="8" t="s">
        <v>925</v>
      </c>
      <c r="P500" s="3"/>
      <c r="Q500" s="3" t="s">
        <v>926</v>
      </c>
      <c r="R500" s="3"/>
    </row>
    <row r="501" spans="1:18" ht="12.75">
      <c r="A501" s="14"/>
      <c r="B501" s="42"/>
      <c r="C501" s="10"/>
      <c r="D501" s="42"/>
      <c r="E501" s="57"/>
      <c r="F501" s="59"/>
      <c r="G501" s="3"/>
      <c r="H501" s="3"/>
      <c r="I501" s="8"/>
      <c r="J501" s="3"/>
      <c r="K501" s="3"/>
      <c r="L501" s="3"/>
      <c r="M501" s="8"/>
      <c r="N501" s="3"/>
      <c r="O501" s="3"/>
      <c r="P501" s="3"/>
      <c r="Q501" s="3"/>
      <c r="R501" s="3"/>
    </row>
    <row r="502" spans="1:18" ht="12.75">
      <c r="A502" s="14"/>
      <c r="B502" s="42" t="str">
        <f t="shared" ref="B502:C502" si="84">UPPER(H502)</f>
        <v/>
      </c>
      <c r="C502" s="10" t="str">
        <f t="shared" si="84"/>
        <v>STUDIO MANAGER</v>
      </c>
      <c r="D502" s="42"/>
      <c r="E502" s="57" t="str">
        <f t="shared" ref="E502:E503" si="85">UPPER(K502)</f>
        <v>MYUNGHOON LEE</v>
      </c>
      <c r="F502" s="59"/>
      <c r="G502" s="3"/>
      <c r="H502" s="3"/>
      <c r="I502" s="8" t="s">
        <v>486</v>
      </c>
      <c r="J502" s="3"/>
      <c r="K502" s="3" t="s">
        <v>487</v>
      </c>
      <c r="L502" s="3"/>
      <c r="M502" s="8"/>
      <c r="N502" s="3"/>
      <c r="O502" s="8" t="s">
        <v>927</v>
      </c>
      <c r="P502" s="3"/>
      <c r="Q502" s="3" t="s">
        <v>928</v>
      </c>
      <c r="R502" s="3"/>
    </row>
    <row r="503" spans="1:18" ht="12.75">
      <c r="A503" s="14"/>
      <c r="B503" s="42" t="str">
        <f t="shared" ref="B503:C503" si="86">UPPER(H503)</f>
        <v/>
      </c>
      <c r="C503" s="10" t="str">
        <f t="shared" si="86"/>
        <v/>
      </c>
      <c r="D503" s="42"/>
      <c r="E503" s="57" t="str">
        <f t="shared" si="85"/>
        <v>HAESU JEON</v>
      </c>
      <c r="F503" s="59"/>
      <c r="G503" s="3"/>
      <c r="H503" s="3"/>
      <c r="I503" s="8"/>
      <c r="J503" s="3"/>
      <c r="K503" s="3" t="s">
        <v>488</v>
      </c>
      <c r="L503" s="3"/>
      <c r="M503" s="8"/>
      <c r="N503" s="8"/>
      <c r="O503" s="3"/>
      <c r="P503" s="3"/>
      <c r="Q503" s="3" t="s">
        <v>929</v>
      </c>
      <c r="R503" s="3"/>
    </row>
    <row r="504" spans="1:18" ht="12.75">
      <c r="A504" s="14"/>
      <c r="B504" s="42"/>
      <c r="C504" s="10"/>
      <c r="D504" s="42"/>
      <c r="E504" s="57"/>
      <c r="F504" s="59"/>
      <c r="G504" s="3"/>
      <c r="H504" s="3"/>
      <c r="I504" s="8"/>
      <c r="J504" s="3"/>
      <c r="K504" s="3"/>
      <c r="L504" s="3"/>
      <c r="M504" s="8"/>
      <c r="N504" s="8"/>
      <c r="O504" s="8"/>
      <c r="P504" s="3"/>
      <c r="Q504" s="3"/>
      <c r="R504" s="3"/>
    </row>
    <row r="505" spans="1:18" ht="12.75">
      <c r="A505" s="14"/>
      <c r="B505" s="11"/>
      <c r="C505" s="12" t="str">
        <f>UPPER(I505)</f>
        <v/>
      </c>
      <c r="D505" s="11"/>
      <c r="E505" s="11" t="str">
        <f>UPPER(K505)</f>
        <v/>
      </c>
      <c r="F505" s="11"/>
      <c r="G505" s="3"/>
      <c r="H505" s="3"/>
      <c r="I505" s="8"/>
      <c r="J505" s="3"/>
      <c r="K505" s="13"/>
      <c r="L505" s="3"/>
      <c r="M505" s="8"/>
      <c r="N505" s="8"/>
      <c r="O505" s="8"/>
      <c r="P505" s="3"/>
      <c r="Q505" s="3"/>
      <c r="R505" s="3"/>
    </row>
    <row r="506" spans="1:18" ht="15">
      <c r="A506" s="14"/>
      <c r="B506" s="58"/>
      <c r="C506" s="58"/>
      <c r="D506" s="58"/>
      <c r="E506" s="58"/>
      <c r="F506" s="58"/>
      <c r="G506" s="3"/>
      <c r="H506" s="5"/>
      <c r="I506" s="5"/>
      <c r="J506" s="5"/>
      <c r="K506" s="5"/>
      <c r="L506" s="5"/>
      <c r="M506" s="8"/>
      <c r="N506" s="8"/>
      <c r="O506" s="8"/>
      <c r="P506" s="3"/>
      <c r="Q506" s="3"/>
      <c r="R506" s="3"/>
    </row>
    <row r="507" spans="1:18" ht="18">
      <c r="A507" s="14"/>
      <c r="B507" s="153" t="str">
        <f t="shared" ref="B507:B509" si="87">UPPER(H507)</f>
        <v>MASTERING</v>
      </c>
      <c r="C507" s="141"/>
      <c r="D507" s="141"/>
      <c r="E507" s="141"/>
      <c r="F507" s="141"/>
      <c r="G507" s="28"/>
      <c r="H507" s="167" t="s">
        <v>481</v>
      </c>
      <c r="I507" s="141"/>
      <c r="J507" s="141"/>
      <c r="K507" s="141"/>
      <c r="L507" s="141"/>
      <c r="M507" s="8"/>
      <c r="N507" s="149" t="s">
        <v>923</v>
      </c>
      <c r="O507" s="141"/>
      <c r="P507" s="141"/>
      <c r="Q507" s="141"/>
      <c r="R507" s="141"/>
    </row>
    <row r="508" spans="1:18" ht="15">
      <c r="A508" s="14"/>
      <c r="B508" s="146" t="str">
        <f t="shared" si="87"/>
        <v>IYUNO</v>
      </c>
      <c r="C508" s="141"/>
      <c r="D508" s="141"/>
      <c r="E508" s="141"/>
      <c r="F508" s="141"/>
      <c r="G508" s="3"/>
      <c r="H508" s="169" t="s">
        <v>489</v>
      </c>
      <c r="I508" s="141"/>
      <c r="J508" s="141"/>
      <c r="K508" s="141"/>
      <c r="L508" s="141"/>
      <c r="M508" s="8"/>
      <c r="N508" s="155" t="s">
        <v>489</v>
      </c>
      <c r="O508" s="141"/>
      <c r="P508" s="141"/>
      <c r="Q508" s="141"/>
      <c r="R508" s="141"/>
    </row>
    <row r="509" spans="1:18" ht="12.75">
      <c r="A509" s="14"/>
      <c r="B509" s="42" t="str">
        <f t="shared" si="87"/>
        <v/>
      </c>
      <c r="C509" s="10" t="str">
        <f t="shared" ref="C509:C512" si="88">UPPER(I509)</f>
        <v/>
      </c>
      <c r="D509" s="42"/>
      <c r="E509" s="57" t="str">
        <f t="shared" ref="E509:E518" si="89">UPPER(K509)</f>
        <v/>
      </c>
      <c r="F509" s="59"/>
      <c r="G509" s="3"/>
      <c r="H509" s="3"/>
      <c r="I509" s="8"/>
      <c r="J509" s="3"/>
      <c r="K509" s="3"/>
      <c r="L509" s="3"/>
      <c r="M509" s="8"/>
      <c r="N509" s="8"/>
      <c r="O509" s="21"/>
      <c r="P509" s="3"/>
      <c r="Q509" s="3"/>
      <c r="R509" s="3"/>
    </row>
    <row r="510" spans="1:18" ht="12.75">
      <c r="A510" s="14"/>
      <c r="B510" s="42"/>
      <c r="C510" s="10" t="str">
        <f t="shared" si="88"/>
        <v>MEDIA OPERATIONS SUPERVISOR</v>
      </c>
      <c r="D510" s="42"/>
      <c r="E510" s="57" t="str">
        <f t="shared" si="89"/>
        <v>JINWOO YANG</v>
      </c>
      <c r="F510" s="59"/>
      <c r="G510" s="3"/>
      <c r="H510" s="3"/>
      <c r="I510" s="8" t="s">
        <v>490</v>
      </c>
      <c r="J510" s="3"/>
      <c r="K510" s="3" t="s">
        <v>491</v>
      </c>
      <c r="L510" s="3"/>
      <c r="M510" s="8"/>
      <c r="N510" s="8"/>
      <c r="O510" s="21" t="s">
        <v>930</v>
      </c>
      <c r="P510" s="3"/>
      <c r="Q510" s="3" t="s">
        <v>931</v>
      </c>
      <c r="R510" s="3"/>
    </row>
    <row r="511" spans="1:18" ht="12.75">
      <c r="A511" s="14"/>
      <c r="B511" s="42"/>
      <c r="C511" s="10" t="str">
        <f t="shared" si="88"/>
        <v/>
      </c>
      <c r="D511" s="42"/>
      <c r="E511" s="57" t="str">
        <f t="shared" si="89"/>
        <v/>
      </c>
      <c r="F511" s="59"/>
      <c r="G511" s="3"/>
      <c r="H511" s="3"/>
      <c r="I511" s="8"/>
      <c r="J511" s="3"/>
      <c r="K511" s="3"/>
      <c r="L511" s="3"/>
      <c r="M511" s="8"/>
      <c r="N511" s="8"/>
      <c r="O511" s="21"/>
      <c r="P511" s="3"/>
      <c r="Q511" s="3"/>
      <c r="R511" s="3"/>
    </row>
    <row r="512" spans="1:18" ht="12.75">
      <c r="A512" s="14"/>
      <c r="B512" s="42"/>
      <c r="C512" s="10" t="str">
        <f t="shared" si="88"/>
        <v>PROJECT MANAGER</v>
      </c>
      <c r="D512" s="42"/>
      <c r="E512" s="57" t="str">
        <f t="shared" si="89"/>
        <v>WONJEONG SONG</v>
      </c>
      <c r="F512" s="59"/>
      <c r="G512" s="3"/>
      <c r="H512" s="3"/>
      <c r="I512" s="8" t="s">
        <v>492</v>
      </c>
      <c r="J512" s="3"/>
      <c r="K512" s="3" t="s">
        <v>493</v>
      </c>
      <c r="L512" s="3"/>
      <c r="M512" s="8"/>
      <c r="N512" s="8"/>
      <c r="O512" s="21" t="s">
        <v>932</v>
      </c>
      <c r="P512" s="3"/>
      <c r="Q512" s="3" t="s">
        <v>933</v>
      </c>
      <c r="R512" s="3"/>
    </row>
    <row r="513" spans="1:18" ht="12.75">
      <c r="A513" s="14"/>
      <c r="B513" s="42" t="str">
        <f t="shared" ref="B513:C513" si="90">UPPER(H513)</f>
        <v/>
      </c>
      <c r="C513" s="10" t="str">
        <f t="shared" si="90"/>
        <v/>
      </c>
      <c r="D513" s="42"/>
      <c r="E513" s="57" t="str">
        <f t="shared" si="89"/>
        <v/>
      </c>
      <c r="F513" s="59"/>
      <c r="G513" s="3"/>
      <c r="H513" s="3"/>
      <c r="I513" s="8"/>
      <c r="J513" s="3"/>
      <c r="K513" s="3"/>
      <c r="L513" s="3"/>
      <c r="M513" s="8"/>
      <c r="N513" s="8"/>
      <c r="O513" s="21"/>
      <c r="P513" s="3"/>
      <c r="Q513" s="3"/>
      <c r="R513" s="3"/>
    </row>
    <row r="514" spans="1:18" ht="12.75">
      <c r="A514" s="14"/>
      <c r="B514" s="42" t="str">
        <f t="shared" ref="B514:C514" si="91">UPPER(H514)</f>
        <v/>
      </c>
      <c r="C514" s="10" t="str">
        <f t="shared" si="91"/>
        <v>VIDEO EDITOR</v>
      </c>
      <c r="D514" s="42"/>
      <c r="E514" s="57" t="str">
        <f t="shared" si="89"/>
        <v>SANGYOUNG CHO</v>
      </c>
      <c r="F514" s="59"/>
      <c r="G514" s="3"/>
      <c r="H514" s="3"/>
      <c r="I514" s="8" t="s">
        <v>494</v>
      </c>
      <c r="J514" s="3"/>
      <c r="K514" s="3" t="s">
        <v>495</v>
      </c>
      <c r="L514" s="3"/>
      <c r="M514" s="8"/>
      <c r="N514" s="8"/>
      <c r="O514" s="21" t="s">
        <v>934</v>
      </c>
      <c r="P514" s="3"/>
      <c r="Q514" s="3" t="s">
        <v>935</v>
      </c>
      <c r="R514" s="3"/>
    </row>
    <row r="515" spans="1:18" ht="12.75">
      <c r="A515" s="14"/>
      <c r="B515" s="42"/>
      <c r="C515" s="10" t="str">
        <f t="shared" ref="C515:C518" si="92">UPPER(I515)</f>
        <v/>
      </c>
      <c r="D515" s="42"/>
      <c r="E515" s="57" t="str">
        <f t="shared" si="89"/>
        <v>JINAH JEONG</v>
      </c>
      <c r="F515" s="59"/>
      <c r="G515" s="3"/>
      <c r="H515" s="3"/>
      <c r="I515" s="8"/>
      <c r="J515" s="3"/>
      <c r="K515" s="3" t="s">
        <v>496</v>
      </c>
      <c r="L515" s="3"/>
      <c r="M515" s="8"/>
      <c r="N515" s="8"/>
      <c r="O515" s="21"/>
      <c r="P515" s="3"/>
      <c r="Q515" s="3" t="s">
        <v>936</v>
      </c>
      <c r="R515" s="3"/>
    </row>
    <row r="516" spans="1:18" ht="12.75">
      <c r="A516" s="14"/>
      <c r="B516" s="42"/>
      <c r="C516" s="10" t="str">
        <f t="shared" si="92"/>
        <v/>
      </c>
      <c r="D516" s="42"/>
      <c r="E516" s="57" t="str">
        <f t="shared" si="89"/>
        <v>SONGI YOON</v>
      </c>
      <c r="F516" s="59"/>
      <c r="G516" s="3"/>
      <c r="H516" s="3"/>
      <c r="I516" s="8"/>
      <c r="J516" s="3"/>
      <c r="K516" s="3" t="s">
        <v>497</v>
      </c>
      <c r="L516" s="3"/>
      <c r="M516" s="8"/>
      <c r="N516" s="8"/>
      <c r="O516" s="21"/>
      <c r="P516" s="3"/>
      <c r="Q516" s="3" t="s">
        <v>937</v>
      </c>
      <c r="R516" s="3"/>
    </row>
    <row r="517" spans="1:18" ht="12.75">
      <c r="A517" s="14"/>
      <c r="B517" s="42"/>
      <c r="C517" s="10" t="str">
        <f t="shared" si="92"/>
        <v/>
      </c>
      <c r="D517" s="42"/>
      <c r="E517" s="57" t="str">
        <f t="shared" si="89"/>
        <v/>
      </c>
      <c r="F517" s="59"/>
      <c r="G517" s="3"/>
      <c r="H517" s="3"/>
      <c r="I517" s="8"/>
      <c r="J517" s="3"/>
      <c r="K517" s="3"/>
      <c r="L517" s="3"/>
      <c r="M517" s="8"/>
      <c r="N517" s="8"/>
      <c r="O517" s="21"/>
      <c r="P517" s="3"/>
      <c r="Q517" s="3"/>
      <c r="R517" s="3"/>
    </row>
    <row r="518" spans="1:18" ht="12.75">
      <c r="A518" s="14"/>
      <c r="B518" s="42"/>
      <c r="C518" s="10" t="str">
        <f t="shared" si="92"/>
        <v>ASSET MANAGER</v>
      </c>
      <c r="D518" s="42"/>
      <c r="E518" s="57" t="str">
        <f t="shared" si="89"/>
        <v>SANGMIN PARK</v>
      </c>
      <c r="F518" s="59"/>
      <c r="G518" s="3"/>
      <c r="H518" s="3"/>
      <c r="I518" s="8" t="s">
        <v>498</v>
      </c>
      <c r="J518" s="3"/>
      <c r="K518" s="3" t="s">
        <v>499</v>
      </c>
      <c r="L518" s="3"/>
      <c r="M518" s="8"/>
      <c r="N518" s="8"/>
      <c r="O518" s="21" t="s">
        <v>938</v>
      </c>
      <c r="P518" s="3"/>
      <c r="Q518" s="3" t="s">
        <v>939</v>
      </c>
      <c r="R518" s="3"/>
    </row>
    <row r="519" spans="1:18" ht="12.75">
      <c r="A519" s="14"/>
      <c r="B519" s="9"/>
      <c r="C519" s="9"/>
      <c r="D519" s="9"/>
      <c r="E519" s="9"/>
      <c r="F519" s="9"/>
      <c r="G519" s="3"/>
      <c r="H519" s="3"/>
      <c r="I519" s="8"/>
      <c r="J519" s="3"/>
      <c r="K519" s="3"/>
      <c r="L519" s="3"/>
      <c r="M519" s="8"/>
      <c r="N519" s="8"/>
      <c r="O519" s="8"/>
      <c r="P519" s="3"/>
      <c r="Q519" s="3"/>
      <c r="R519" s="3"/>
    </row>
    <row r="520" spans="1:18" ht="12.75">
      <c r="A520" s="14"/>
      <c r="B520" s="11"/>
      <c r="C520" s="12"/>
      <c r="D520" s="11"/>
      <c r="E520" s="11"/>
      <c r="F520" s="11"/>
      <c r="G520" s="3"/>
      <c r="H520" s="3"/>
      <c r="I520" s="8"/>
      <c r="J520" s="3"/>
      <c r="K520" s="13"/>
      <c r="L520" s="3"/>
      <c r="M520" s="8"/>
      <c r="N520" s="8"/>
      <c r="O520" s="8"/>
      <c r="P520" s="3"/>
      <c r="Q520" s="3"/>
      <c r="R520" s="3"/>
    </row>
    <row r="521" spans="1:18" ht="15">
      <c r="A521" s="14"/>
      <c r="B521" s="6"/>
      <c r="C521" s="6"/>
      <c r="D521" s="6"/>
      <c r="E521" s="6"/>
      <c r="F521" s="6"/>
      <c r="G521" s="3"/>
      <c r="H521" s="5"/>
      <c r="I521" s="5"/>
      <c r="J521" s="5"/>
      <c r="K521" s="5"/>
      <c r="L521" s="5"/>
      <c r="M521" s="8"/>
      <c r="N521" s="8"/>
      <c r="O521" s="8"/>
      <c r="P521" s="3"/>
      <c r="Q521" s="3"/>
      <c r="R521" s="3"/>
    </row>
    <row r="522" spans="1:18" ht="18">
      <c r="A522" s="14"/>
      <c r="B522" s="150" t="str">
        <f>UPPER(H522)</f>
        <v>TENCENT VIDEO</v>
      </c>
      <c r="C522" s="141"/>
      <c r="D522" s="141"/>
      <c r="E522" s="141"/>
      <c r="F522" s="141"/>
      <c r="G522" s="28"/>
      <c r="H522" s="167" t="s">
        <v>500</v>
      </c>
      <c r="I522" s="141"/>
      <c r="J522" s="141"/>
      <c r="K522" s="141"/>
      <c r="L522" s="141"/>
      <c r="M522" s="29"/>
      <c r="N522" s="149" t="s">
        <v>500</v>
      </c>
      <c r="O522" s="141"/>
      <c r="P522" s="141"/>
      <c r="Q522" s="141"/>
      <c r="R522" s="141"/>
    </row>
    <row r="523" spans="1:18" ht="12.75">
      <c r="A523" s="14"/>
      <c r="B523" s="9"/>
      <c r="C523" s="10" t="str">
        <f t="shared" ref="C523:C543" si="93">UPPER(I523)</f>
        <v>BUSINESS DIRECTOR</v>
      </c>
      <c r="D523" s="9"/>
      <c r="E523" s="9" t="str">
        <f t="shared" ref="E523:E545" si="94">UPPER(K523)</f>
        <v>VERN WANG</v>
      </c>
      <c r="F523" s="9"/>
      <c r="G523" s="3"/>
      <c r="H523" s="3"/>
      <c r="I523" s="8" t="s">
        <v>501</v>
      </c>
      <c r="J523" s="3"/>
      <c r="K523" s="2" t="s">
        <v>502</v>
      </c>
      <c r="L523" s="3"/>
      <c r="M523" s="8"/>
      <c r="N523" s="8"/>
      <c r="O523" s="8" t="s">
        <v>501</v>
      </c>
      <c r="P523" s="3"/>
      <c r="Q523" s="2" t="s">
        <v>502</v>
      </c>
      <c r="R523" s="3"/>
    </row>
    <row r="524" spans="1:18" ht="12.75">
      <c r="A524" s="14"/>
      <c r="B524" s="9"/>
      <c r="C524" s="10" t="str">
        <f t="shared" si="93"/>
        <v/>
      </c>
      <c r="D524" s="9"/>
      <c r="E524" s="9" t="str">
        <f t="shared" si="94"/>
        <v>ANN WANG</v>
      </c>
      <c r="F524" s="9"/>
      <c r="G524" s="3"/>
      <c r="H524" s="3"/>
      <c r="I524" s="8"/>
      <c r="J524" s="3"/>
      <c r="K524" s="2" t="s">
        <v>503</v>
      </c>
      <c r="L524" s="7"/>
      <c r="M524" s="7"/>
      <c r="N524" s="7"/>
      <c r="O524" s="8"/>
      <c r="P524" s="3"/>
      <c r="Q524" s="2" t="s">
        <v>503</v>
      </c>
      <c r="R524" s="3"/>
    </row>
    <row r="525" spans="1:18" ht="12.75">
      <c r="A525" s="14"/>
      <c r="B525" s="9"/>
      <c r="C525" s="10" t="str">
        <f t="shared" si="93"/>
        <v>PRODUCER</v>
      </c>
      <c r="D525" s="9"/>
      <c r="E525" s="9" t="str">
        <f t="shared" si="94"/>
        <v>LEEGER LIU</v>
      </c>
      <c r="F525" s="9"/>
      <c r="G525" s="3"/>
      <c r="H525" s="3"/>
      <c r="I525" s="36" t="s">
        <v>504</v>
      </c>
      <c r="J525" s="3"/>
      <c r="K525" s="2" t="s">
        <v>505</v>
      </c>
      <c r="L525" s="7"/>
      <c r="M525" s="7"/>
      <c r="N525" s="7"/>
      <c r="O525" s="36" t="s">
        <v>504</v>
      </c>
      <c r="P525" s="3"/>
      <c r="Q525" s="2" t="s">
        <v>505</v>
      </c>
      <c r="R525" s="3"/>
    </row>
    <row r="526" spans="1:18" ht="12.75">
      <c r="A526" s="14"/>
      <c r="B526" s="9"/>
      <c r="C526" s="10" t="str">
        <f t="shared" si="93"/>
        <v/>
      </c>
      <c r="D526" s="9"/>
      <c r="E526" s="9" t="str">
        <f t="shared" si="94"/>
        <v>ANGEL GENG</v>
      </c>
      <c r="F526" s="9"/>
      <c r="G526" s="3"/>
      <c r="H526" s="3"/>
      <c r="I526" s="8"/>
      <c r="J526" s="3"/>
      <c r="K526" s="2" t="s">
        <v>506</v>
      </c>
      <c r="L526" s="7"/>
      <c r="M526" s="7"/>
      <c r="N526" s="7"/>
      <c r="O526" s="8"/>
      <c r="P526" s="3"/>
      <c r="Q526" s="2" t="s">
        <v>506</v>
      </c>
      <c r="R526" s="3"/>
    </row>
    <row r="527" spans="1:18" ht="12.75">
      <c r="A527" s="14"/>
      <c r="B527" s="9"/>
      <c r="C527" s="10" t="str">
        <f t="shared" si="93"/>
        <v/>
      </c>
      <c r="D527" s="9"/>
      <c r="E527" s="9" t="str">
        <f t="shared" si="94"/>
        <v>LILLIANS LI</v>
      </c>
      <c r="F527" s="9"/>
      <c r="G527" s="3"/>
      <c r="H527" s="3"/>
      <c r="I527" s="8"/>
      <c r="J527" s="3"/>
      <c r="K527" s="2" t="s">
        <v>507</v>
      </c>
      <c r="L527" s="60"/>
      <c r="M527" s="60"/>
      <c r="N527" s="60"/>
      <c r="O527" s="8"/>
      <c r="P527" s="3"/>
      <c r="Q527" s="2" t="s">
        <v>507</v>
      </c>
      <c r="R527" s="3"/>
    </row>
    <row r="528" spans="1:18" ht="12.75">
      <c r="A528" s="14"/>
      <c r="B528" s="9"/>
      <c r="C528" s="10" t="str">
        <f t="shared" si="93"/>
        <v>PROGRAMMING EDITOR</v>
      </c>
      <c r="D528" s="9"/>
      <c r="E528" s="9" t="str">
        <f t="shared" si="94"/>
        <v>XINCI CHANG</v>
      </c>
      <c r="F528" s="9"/>
      <c r="G528" s="3"/>
      <c r="H528" s="3"/>
      <c r="I528" s="36" t="s">
        <v>508</v>
      </c>
      <c r="J528" s="3"/>
      <c r="K528" s="2" t="s">
        <v>509</v>
      </c>
      <c r="L528" s="7"/>
      <c r="M528" s="7"/>
      <c r="N528" s="7"/>
      <c r="O528" s="36" t="s">
        <v>508</v>
      </c>
      <c r="P528" s="3"/>
      <c r="Q528" s="2" t="s">
        <v>509</v>
      </c>
      <c r="R528" s="3"/>
    </row>
    <row r="529" spans="1:18" ht="12.75">
      <c r="A529" s="14"/>
      <c r="B529" s="9"/>
      <c r="C529" s="10" t="str">
        <f t="shared" si="93"/>
        <v/>
      </c>
      <c r="D529" s="9"/>
      <c r="E529" s="9" t="str">
        <f t="shared" si="94"/>
        <v>NAIYUE HU</v>
      </c>
      <c r="F529" s="9"/>
      <c r="G529" s="3"/>
      <c r="H529" s="3"/>
      <c r="I529" s="8"/>
      <c r="J529" s="3"/>
      <c r="K529" s="2" t="s">
        <v>510</v>
      </c>
      <c r="L529" s="7"/>
      <c r="M529" s="7"/>
      <c r="N529" s="7"/>
      <c r="O529" s="8"/>
      <c r="P529" s="3"/>
      <c r="Q529" s="2" t="s">
        <v>510</v>
      </c>
      <c r="R529" s="3"/>
    </row>
    <row r="530" spans="1:18" ht="12.75">
      <c r="A530" s="14"/>
      <c r="B530" s="9"/>
      <c r="C530" s="10" t="str">
        <f t="shared" si="93"/>
        <v/>
      </c>
      <c r="D530" s="9"/>
      <c r="E530" s="9" t="str">
        <f t="shared" si="94"/>
        <v>JING LIN</v>
      </c>
      <c r="F530" s="9"/>
      <c r="G530" s="3"/>
      <c r="H530" s="3"/>
      <c r="I530" s="8"/>
      <c r="J530" s="3"/>
      <c r="K530" s="2" t="s">
        <v>511</v>
      </c>
      <c r="L530" s="7"/>
      <c r="M530" s="7"/>
      <c r="N530" s="7"/>
      <c r="O530" s="8"/>
      <c r="P530" s="3"/>
      <c r="Q530" s="2" t="s">
        <v>511</v>
      </c>
      <c r="R530" s="3"/>
    </row>
    <row r="531" spans="1:18" ht="12.75">
      <c r="A531" s="14"/>
      <c r="B531" s="9"/>
      <c r="C531" s="10" t="str">
        <f t="shared" si="93"/>
        <v/>
      </c>
      <c r="D531" s="9"/>
      <c r="E531" s="9" t="str">
        <f t="shared" si="94"/>
        <v>YOYO GAO</v>
      </c>
      <c r="F531" s="9"/>
      <c r="G531" s="3"/>
      <c r="H531" s="3"/>
      <c r="I531" s="8"/>
      <c r="J531" s="3"/>
      <c r="K531" s="2" t="s">
        <v>512</v>
      </c>
      <c r="L531" s="7"/>
      <c r="M531" s="7"/>
      <c r="N531" s="7"/>
      <c r="O531" s="8"/>
      <c r="P531" s="3"/>
      <c r="Q531" s="2" t="s">
        <v>512</v>
      </c>
      <c r="R531" s="3"/>
    </row>
    <row r="532" spans="1:18" ht="12.75">
      <c r="A532" s="14"/>
      <c r="B532" s="9"/>
      <c r="C532" s="10" t="str">
        <f t="shared" si="93"/>
        <v/>
      </c>
      <c r="D532" s="9"/>
      <c r="E532" s="9" t="str">
        <f t="shared" si="94"/>
        <v>KRYSTAL YANG</v>
      </c>
      <c r="F532" s="9"/>
      <c r="G532" s="3"/>
      <c r="H532" s="3"/>
      <c r="I532" s="8"/>
      <c r="J532" s="3"/>
      <c r="K532" s="2" t="s">
        <v>513</v>
      </c>
      <c r="L532" s="7"/>
      <c r="M532" s="7"/>
      <c r="N532" s="7"/>
      <c r="O532" s="8"/>
      <c r="P532" s="3"/>
      <c r="Q532" s="2" t="s">
        <v>513</v>
      </c>
      <c r="R532" s="3"/>
    </row>
    <row r="533" spans="1:18" ht="12.75">
      <c r="A533" s="14"/>
      <c r="B533" s="9"/>
      <c r="C533" s="10" t="str">
        <f t="shared" si="93"/>
        <v/>
      </c>
      <c r="D533" s="9"/>
      <c r="E533" s="9" t="str">
        <f t="shared" si="94"/>
        <v>BETTY MEI</v>
      </c>
      <c r="F533" s="9"/>
      <c r="G533" s="3"/>
      <c r="H533" s="3"/>
      <c r="I533" s="8"/>
      <c r="J533" s="3"/>
      <c r="K533" s="2" t="s">
        <v>514</v>
      </c>
      <c r="L533" s="7"/>
      <c r="M533" s="7"/>
      <c r="N533" s="7"/>
      <c r="O533" s="8"/>
      <c r="P533" s="3"/>
      <c r="Q533" s="2" t="s">
        <v>514</v>
      </c>
      <c r="R533" s="3"/>
    </row>
    <row r="534" spans="1:18" ht="12.75">
      <c r="A534" s="14"/>
      <c r="B534" s="9"/>
      <c r="C534" s="10" t="str">
        <f t="shared" si="93"/>
        <v/>
      </c>
      <c r="D534" s="9"/>
      <c r="E534" s="9" t="str">
        <f t="shared" si="94"/>
        <v>RHEA LIU</v>
      </c>
      <c r="F534" s="9"/>
      <c r="G534" s="3"/>
      <c r="H534" s="3"/>
      <c r="I534" s="8"/>
      <c r="J534" s="3"/>
      <c r="K534" s="2" t="s">
        <v>515</v>
      </c>
      <c r="L534" s="7"/>
      <c r="M534" s="7"/>
      <c r="N534" s="7"/>
      <c r="O534" s="8"/>
      <c r="P534" s="3"/>
      <c r="Q534" s="2" t="s">
        <v>515</v>
      </c>
      <c r="R534" s="3"/>
    </row>
    <row r="535" spans="1:18" ht="12.75">
      <c r="A535" s="14"/>
      <c r="B535" s="9"/>
      <c r="C535" s="10" t="str">
        <f t="shared" si="93"/>
        <v/>
      </c>
      <c r="D535" s="9"/>
      <c r="E535" s="9" t="str">
        <f t="shared" si="94"/>
        <v>ZHENGDAO CHEN</v>
      </c>
      <c r="F535" s="9"/>
      <c r="G535" s="3"/>
      <c r="H535" s="3"/>
      <c r="I535" s="8"/>
      <c r="J535" s="3"/>
      <c r="K535" s="2" t="s">
        <v>516</v>
      </c>
      <c r="L535" s="3"/>
      <c r="M535" s="8"/>
      <c r="N535" s="8"/>
      <c r="O535" s="8"/>
      <c r="P535" s="3"/>
      <c r="Q535" s="2" t="s">
        <v>516</v>
      </c>
      <c r="R535" s="3"/>
    </row>
    <row r="536" spans="1:18" ht="12.75">
      <c r="A536" s="14"/>
      <c r="B536" s="9"/>
      <c r="C536" s="10" t="str">
        <f t="shared" si="93"/>
        <v>BUSINESS EDITOR</v>
      </c>
      <c r="D536" s="9"/>
      <c r="E536" s="9" t="str">
        <f t="shared" si="94"/>
        <v>LAINEY LIU</v>
      </c>
      <c r="F536" s="9"/>
      <c r="G536" s="3"/>
      <c r="H536" s="3"/>
      <c r="I536" s="36" t="s">
        <v>517</v>
      </c>
      <c r="J536" s="3"/>
      <c r="K536" s="2" t="s">
        <v>518</v>
      </c>
      <c r="L536" s="3"/>
      <c r="M536" s="8"/>
      <c r="N536" s="8"/>
      <c r="O536" s="36" t="s">
        <v>517</v>
      </c>
      <c r="P536" s="3"/>
      <c r="Q536" s="2" t="s">
        <v>518</v>
      </c>
      <c r="R536" s="3"/>
    </row>
    <row r="537" spans="1:18" ht="12.75">
      <c r="A537" s="14"/>
      <c r="B537" s="9"/>
      <c r="C537" s="10" t="str">
        <f t="shared" si="93"/>
        <v/>
      </c>
      <c r="D537" s="9"/>
      <c r="E537" s="9" t="str">
        <f t="shared" si="94"/>
        <v>DEE ZHANG</v>
      </c>
      <c r="F537" s="9"/>
      <c r="G537" s="3"/>
      <c r="H537" s="3"/>
      <c r="I537" s="8"/>
      <c r="J537" s="3"/>
      <c r="K537" s="2" t="s">
        <v>519</v>
      </c>
      <c r="L537" s="3"/>
      <c r="M537" s="8"/>
      <c r="N537" s="8"/>
      <c r="O537" s="8"/>
      <c r="P537" s="3"/>
      <c r="Q537" s="2" t="s">
        <v>519</v>
      </c>
      <c r="R537" s="3"/>
    </row>
    <row r="538" spans="1:18" ht="12.75">
      <c r="A538" s="14"/>
      <c r="B538" s="9"/>
      <c r="C538" s="10" t="str">
        <f t="shared" si="93"/>
        <v>LEGAL</v>
      </c>
      <c r="D538" s="9"/>
      <c r="E538" s="9" t="str">
        <f t="shared" si="94"/>
        <v>KAN ZHANG</v>
      </c>
      <c r="F538" s="9"/>
      <c r="G538" s="3"/>
      <c r="H538" s="3"/>
      <c r="I538" s="36" t="s">
        <v>520</v>
      </c>
      <c r="J538" s="3"/>
      <c r="K538" s="2" t="s">
        <v>521</v>
      </c>
      <c r="L538" s="3"/>
      <c r="M538" s="8"/>
      <c r="N538" s="8"/>
      <c r="O538" s="36" t="s">
        <v>520</v>
      </c>
      <c r="P538" s="3"/>
      <c r="Q538" s="2" t="s">
        <v>521</v>
      </c>
      <c r="R538" s="3"/>
    </row>
    <row r="539" spans="1:18" ht="12.75">
      <c r="A539" s="14"/>
      <c r="B539" s="9"/>
      <c r="C539" s="10" t="str">
        <f t="shared" si="93"/>
        <v>FINANCE &amp; TAX</v>
      </c>
      <c r="D539" s="9"/>
      <c r="E539" s="9" t="str">
        <f t="shared" si="94"/>
        <v xml:space="preserve">XIAOCHEN ZHANG </v>
      </c>
      <c r="F539" s="9"/>
      <c r="G539" s="3"/>
      <c r="H539" s="3"/>
      <c r="I539" s="36" t="s">
        <v>522</v>
      </c>
      <c r="J539" s="3"/>
      <c r="K539" s="2" t="s">
        <v>523</v>
      </c>
      <c r="L539" s="3"/>
      <c r="M539" s="8"/>
      <c r="N539" s="8"/>
      <c r="O539" s="36" t="s">
        <v>522</v>
      </c>
      <c r="P539" s="3"/>
      <c r="Q539" s="2" t="s">
        <v>523</v>
      </c>
      <c r="R539" s="3"/>
    </row>
    <row r="540" spans="1:18" ht="12.75">
      <c r="A540" s="14"/>
      <c r="B540" s="9"/>
      <c r="C540" s="10" t="str">
        <f t="shared" si="93"/>
        <v/>
      </c>
      <c r="D540" s="9"/>
      <c r="E540" s="9" t="str">
        <f t="shared" si="94"/>
        <v>YING CHEN</v>
      </c>
      <c r="F540" s="9"/>
      <c r="G540" s="3"/>
      <c r="H540" s="3"/>
      <c r="I540" s="2"/>
      <c r="J540" s="3"/>
      <c r="K540" s="2" t="s">
        <v>524</v>
      </c>
      <c r="L540" s="3"/>
      <c r="M540" s="8"/>
      <c r="N540" s="8"/>
      <c r="O540" s="2"/>
      <c r="P540" s="3"/>
      <c r="Q540" s="2" t="s">
        <v>524</v>
      </c>
      <c r="R540" s="3"/>
    </row>
    <row r="541" spans="1:18" ht="12.75">
      <c r="A541" s="14"/>
      <c r="B541" s="9"/>
      <c r="C541" s="10" t="str">
        <f t="shared" si="93"/>
        <v>MARKETING</v>
      </c>
      <c r="D541" s="9"/>
      <c r="E541" s="9" t="str">
        <f t="shared" si="94"/>
        <v>TRACY CUI</v>
      </c>
      <c r="F541" s="9"/>
      <c r="G541" s="3"/>
      <c r="H541" s="3"/>
      <c r="I541" s="36" t="s">
        <v>525</v>
      </c>
      <c r="J541" s="3"/>
      <c r="K541" s="2" t="s">
        <v>526</v>
      </c>
      <c r="L541" s="3"/>
      <c r="M541" s="8"/>
      <c r="N541" s="8"/>
      <c r="O541" s="36" t="s">
        <v>525</v>
      </c>
      <c r="P541" s="3"/>
      <c r="Q541" s="2" t="s">
        <v>526</v>
      </c>
      <c r="R541" s="3"/>
    </row>
    <row r="542" spans="1:18" ht="12.75">
      <c r="A542" s="14"/>
      <c r="B542" s="9"/>
      <c r="C542" s="10" t="str">
        <f t="shared" si="93"/>
        <v/>
      </c>
      <c r="D542" s="9"/>
      <c r="E542" s="9" t="str">
        <f t="shared" si="94"/>
        <v>MENGJIE HE</v>
      </c>
      <c r="F542" s="9"/>
      <c r="G542" s="3"/>
      <c r="H542" s="3"/>
      <c r="I542" s="8"/>
      <c r="J542" s="3"/>
      <c r="K542" s="2" t="s">
        <v>527</v>
      </c>
      <c r="L542" s="3"/>
      <c r="M542" s="8"/>
      <c r="N542" s="8"/>
      <c r="O542" s="8"/>
      <c r="P542" s="3"/>
      <c r="Q542" s="2" t="s">
        <v>527</v>
      </c>
      <c r="R542" s="3"/>
    </row>
    <row r="543" spans="1:18" ht="12.75">
      <c r="A543" s="14"/>
      <c r="B543" s="9"/>
      <c r="C543" s="10" t="str">
        <f t="shared" si="93"/>
        <v/>
      </c>
      <c r="D543" s="9"/>
      <c r="E543" s="9" t="str">
        <f t="shared" si="94"/>
        <v>IRIS ZHANG</v>
      </c>
      <c r="F543" s="9"/>
      <c r="G543" s="3"/>
      <c r="H543" s="3"/>
      <c r="I543" s="8"/>
      <c r="J543" s="3"/>
      <c r="K543" s="2" t="s">
        <v>528</v>
      </c>
      <c r="L543" s="3"/>
      <c r="M543" s="8"/>
      <c r="N543" s="8"/>
      <c r="O543" s="8"/>
      <c r="P543" s="3"/>
      <c r="Q543" s="2" t="s">
        <v>528</v>
      </c>
      <c r="R543" s="3"/>
    </row>
    <row r="544" spans="1:18" ht="12.75">
      <c r="A544" s="14"/>
      <c r="B544" s="9"/>
      <c r="C544" s="10"/>
      <c r="D544" s="9"/>
      <c r="E544" s="9" t="str">
        <f t="shared" si="94"/>
        <v>AARON YU</v>
      </c>
      <c r="F544" s="9"/>
      <c r="G544" s="3"/>
      <c r="H544" s="3"/>
      <c r="I544" s="8"/>
      <c r="J544" s="3"/>
      <c r="K544" s="2" t="s">
        <v>529</v>
      </c>
      <c r="L544" s="3"/>
      <c r="M544" s="8"/>
      <c r="N544" s="8"/>
      <c r="O544" s="8"/>
      <c r="P544" s="3"/>
      <c r="Q544" s="2" t="s">
        <v>529</v>
      </c>
      <c r="R544" s="3"/>
    </row>
    <row r="545" spans="1:18" ht="12.75">
      <c r="A545" s="14"/>
      <c r="B545" s="9"/>
      <c r="C545" s="9"/>
      <c r="D545" s="9"/>
      <c r="E545" s="9" t="str">
        <f t="shared" si="94"/>
        <v/>
      </c>
      <c r="F545" s="9"/>
      <c r="G545" s="3"/>
      <c r="H545" s="3"/>
      <c r="I545" s="8"/>
      <c r="J545" s="3"/>
      <c r="K545" s="2"/>
      <c r="L545" s="3"/>
      <c r="M545" s="8"/>
      <c r="N545" s="8"/>
      <c r="O545" s="8"/>
      <c r="P545" s="3"/>
      <c r="Q545" s="3"/>
      <c r="R545" s="3"/>
    </row>
    <row r="546" spans="1:18" ht="12.75">
      <c r="A546" s="14"/>
      <c r="B546" s="11"/>
      <c r="C546" s="12"/>
      <c r="D546" s="11"/>
      <c r="E546" s="11"/>
      <c r="F546" s="11"/>
      <c r="G546" s="3"/>
      <c r="H546" s="3"/>
      <c r="I546" s="8"/>
      <c r="J546" s="3"/>
      <c r="K546" s="13"/>
      <c r="L546" s="3"/>
      <c r="M546" s="8"/>
      <c r="N546" s="8"/>
      <c r="O546" s="8"/>
      <c r="P546" s="3"/>
      <c r="Q546" s="3"/>
      <c r="R546" s="3"/>
    </row>
    <row r="547" spans="1:18" ht="12.75">
      <c r="A547" s="14"/>
      <c r="B547" s="61"/>
      <c r="C547" s="61"/>
      <c r="D547" s="61"/>
      <c r="E547" s="61"/>
      <c r="F547" s="61"/>
      <c r="G547" s="3"/>
      <c r="H547" s="7"/>
      <c r="I547" s="7"/>
      <c r="J547" s="7"/>
      <c r="K547" s="7"/>
      <c r="L547" s="7"/>
      <c r="M547" s="8"/>
      <c r="N547" s="8"/>
      <c r="O547" s="8"/>
      <c r="P547" s="3"/>
      <c r="Q547" s="3"/>
      <c r="R547" s="3"/>
    </row>
    <row r="548" spans="1:18" ht="12.75">
      <c r="A548" s="14"/>
      <c r="B548" s="143" t="str">
        <f t="shared" ref="B548:B551" si="95">UPPER(H548)</f>
        <v>PRODUCTION SERVICES PROVIDED BY</v>
      </c>
      <c r="C548" s="141"/>
      <c r="D548" s="141"/>
      <c r="E548" s="141"/>
      <c r="F548" s="141"/>
      <c r="G548" s="3"/>
      <c r="H548" s="145" t="s">
        <v>530</v>
      </c>
      <c r="I548" s="141"/>
      <c r="J548" s="141"/>
      <c r="K548" s="141"/>
      <c r="L548" s="141"/>
      <c r="M548" s="8"/>
      <c r="N548" s="145" t="s">
        <v>940</v>
      </c>
      <c r="O548" s="141"/>
      <c r="P548" s="141"/>
      <c r="Q548" s="141"/>
      <c r="R548" s="141"/>
    </row>
    <row r="549" spans="1:18" ht="15">
      <c r="A549" s="14"/>
      <c r="B549" s="146" t="str">
        <f t="shared" si="95"/>
        <v>THE MONK STUDIOS</v>
      </c>
      <c r="C549" s="141"/>
      <c r="D549" s="141"/>
      <c r="E549" s="141"/>
      <c r="F549" s="141"/>
      <c r="G549" s="8"/>
      <c r="H549" s="149" t="s">
        <v>202</v>
      </c>
      <c r="I549" s="141"/>
      <c r="J549" s="141"/>
      <c r="K549" s="141"/>
      <c r="L549" s="141"/>
      <c r="M549" s="8"/>
      <c r="N549" s="149" t="s">
        <v>202</v>
      </c>
      <c r="O549" s="141"/>
      <c r="P549" s="141"/>
      <c r="Q549" s="141"/>
      <c r="R549" s="141"/>
    </row>
    <row r="550" spans="1:18" ht="12.75">
      <c r="A550" s="14"/>
      <c r="B550" s="9" t="str">
        <f t="shared" si="95"/>
        <v/>
      </c>
      <c r="C550" s="10" t="str">
        <f>UPPER(I550)</f>
        <v/>
      </c>
      <c r="D550" s="9"/>
      <c r="E550" s="9" t="str">
        <f>UPPER(K550)</f>
        <v/>
      </c>
      <c r="F550" s="9"/>
      <c r="G550" s="3"/>
      <c r="H550" s="76"/>
      <c r="I550" s="8"/>
      <c r="J550" s="3"/>
      <c r="K550" s="13"/>
      <c r="L550" s="3"/>
      <c r="M550" s="8"/>
      <c r="N550" s="76"/>
      <c r="O550" s="8"/>
      <c r="P550" s="3"/>
      <c r="Q550" s="13"/>
      <c r="R550" s="3"/>
    </row>
    <row r="551" spans="1:18" ht="15">
      <c r="A551" s="14"/>
      <c r="B551" s="146" t="str">
        <f t="shared" si="95"/>
        <v>MANAGEMENT</v>
      </c>
      <c r="C551" s="141"/>
      <c r="D551" s="141"/>
      <c r="E551" s="141"/>
      <c r="F551" s="141"/>
      <c r="G551" s="3"/>
      <c r="H551" s="151" t="s">
        <v>392</v>
      </c>
      <c r="I551" s="141"/>
      <c r="J551" s="141"/>
      <c r="K551" s="141"/>
      <c r="L551" s="141"/>
      <c r="M551" s="8"/>
      <c r="N551" s="151" t="s">
        <v>392</v>
      </c>
      <c r="O551" s="141"/>
      <c r="P551" s="141"/>
      <c r="Q551" s="141"/>
      <c r="R551" s="141"/>
    </row>
    <row r="552" spans="1:18" ht="12.75">
      <c r="A552" s="14"/>
      <c r="B552" s="9"/>
      <c r="C552" s="10" t="str">
        <f t="shared" ref="C552:C572" si="96">UPPER(I552)</f>
        <v>PRODUCTION EXECUTIVE</v>
      </c>
      <c r="D552" s="9"/>
      <c r="E552" s="9" t="str">
        <f t="shared" ref="E552:E572" si="97">UPPER(K552)</f>
        <v>JUCK SOMSAMAN</v>
      </c>
      <c r="F552" s="9"/>
      <c r="G552" s="3"/>
      <c r="H552" s="13"/>
      <c r="I552" s="90" t="s">
        <v>531</v>
      </c>
      <c r="J552" s="3"/>
      <c r="K552" s="87" t="s">
        <v>532</v>
      </c>
      <c r="L552" s="3"/>
      <c r="M552" s="63"/>
      <c r="N552" s="13"/>
      <c r="O552" s="90" t="s">
        <v>531</v>
      </c>
      <c r="P552" s="3"/>
      <c r="Q552" s="87" t="s">
        <v>532</v>
      </c>
      <c r="R552" s="3"/>
    </row>
    <row r="553" spans="1:18" ht="12.75">
      <c r="A553" s="14"/>
      <c r="B553" s="9"/>
      <c r="C553" s="10" t="str">
        <f t="shared" si="96"/>
        <v/>
      </c>
      <c r="D553" s="9"/>
      <c r="E553" s="9" t="str">
        <f t="shared" si="97"/>
        <v/>
      </c>
      <c r="F553" s="9"/>
      <c r="G553" s="3"/>
      <c r="H553" s="13"/>
      <c r="I553" s="90"/>
      <c r="J553" s="3"/>
      <c r="K553" s="87"/>
      <c r="L553" s="3"/>
      <c r="M553" s="8"/>
      <c r="N553" s="13"/>
      <c r="O553" s="90"/>
      <c r="P553" s="3"/>
      <c r="Q553" s="87"/>
      <c r="R553" s="3"/>
    </row>
    <row r="554" spans="1:18" ht="12.75">
      <c r="A554" s="14"/>
      <c r="B554" s="9"/>
      <c r="C554" s="10" t="str">
        <f t="shared" si="96"/>
        <v>PRODUCTION MANAGER</v>
      </c>
      <c r="D554" s="9"/>
      <c r="E554" s="9" t="str">
        <f t="shared" si="97"/>
        <v>NAPASSARA CHAISUKDAMRONG</v>
      </c>
      <c r="F554" s="9"/>
      <c r="G554" s="3"/>
      <c r="H554" s="13"/>
      <c r="I554" s="90" t="s">
        <v>152</v>
      </c>
      <c r="J554" s="3"/>
      <c r="K554" s="87" t="s">
        <v>533</v>
      </c>
      <c r="L554" s="3"/>
      <c r="M554" s="8"/>
      <c r="N554" s="13"/>
      <c r="O554" s="90" t="s">
        <v>152</v>
      </c>
      <c r="P554" s="3"/>
      <c r="Q554" s="87" t="s">
        <v>533</v>
      </c>
      <c r="R554" s="3"/>
    </row>
    <row r="555" spans="1:18" ht="12.75">
      <c r="A555" s="14"/>
      <c r="B555" s="9"/>
      <c r="C555" s="10" t="str">
        <f t="shared" si="96"/>
        <v/>
      </c>
      <c r="D555" s="9"/>
      <c r="E555" s="9" t="str">
        <f t="shared" si="97"/>
        <v>RUJIRA POKSOMBOONKIJ</v>
      </c>
      <c r="F555" s="9"/>
      <c r="G555" s="3"/>
      <c r="H555" s="13"/>
      <c r="I555" s="90"/>
      <c r="J555" s="3"/>
      <c r="K555" s="87" t="s">
        <v>534</v>
      </c>
      <c r="L555" s="3"/>
      <c r="M555" s="8"/>
      <c r="N555" s="13"/>
      <c r="O555" s="90"/>
      <c r="P555" s="3"/>
      <c r="Q555" s="87" t="s">
        <v>534</v>
      </c>
      <c r="R555" s="3"/>
    </row>
    <row r="556" spans="1:18" ht="12.75">
      <c r="A556" s="14"/>
      <c r="B556" s="9"/>
      <c r="C556" s="10" t="str">
        <f t="shared" si="96"/>
        <v/>
      </c>
      <c r="D556" s="9"/>
      <c r="E556" s="9" t="str">
        <f t="shared" si="97"/>
        <v/>
      </c>
      <c r="F556" s="9"/>
      <c r="G556" s="3"/>
      <c r="H556" s="13"/>
      <c r="I556" s="90"/>
      <c r="J556" s="3"/>
      <c r="K556" s="95"/>
      <c r="L556" s="3"/>
      <c r="M556" s="8"/>
      <c r="N556" s="13"/>
      <c r="O556" s="90"/>
      <c r="P556" s="3"/>
      <c r="Q556" s="87"/>
      <c r="R556" s="3"/>
    </row>
    <row r="557" spans="1:18" ht="12.75">
      <c r="A557" s="14"/>
      <c r="B557" s="9"/>
      <c r="C557" s="10" t="str">
        <f t="shared" si="96"/>
        <v>CG SUPEVISOR</v>
      </c>
      <c r="D557" s="9"/>
      <c r="E557" s="9" t="str">
        <f t="shared" si="97"/>
        <v>KATHA NA BADALUNG</v>
      </c>
      <c r="F557" s="9"/>
      <c r="G557" s="3"/>
      <c r="H557" s="13"/>
      <c r="I557" s="90" t="s">
        <v>535</v>
      </c>
      <c r="J557" s="3"/>
      <c r="K557" s="95" t="s">
        <v>536</v>
      </c>
      <c r="L557" s="3"/>
      <c r="M557" s="8"/>
      <c r="N557" s="13"/>
      <c r="O557" s="90" t="s">
        <v>535</v>
      </c>
      <c r="P557" s="3"/>
      <c r="Q557" s="87" t="s">
        <v>536</v>
      </c>
      <c r="R557" s="3"/>
    </row>
    <row r="558" spans="1:18" ht="12.75">
      <c r="A558" s="14"/>
      <c r="B558" s="9"/>
      <c r="C558" s="10" t="str">
        <f t="shared" si="96"/>
        <v/>
      </c>
      <c r="D558" s="9"/>
      <c r="E558" s="9" t="str">
        <f t="shared" si="97"/>
        <v/>
      </c>
      <c r="F558" s="9"/>
      <c r="G558" s="3"/>
      <c r="H558" s="13"/>
      <c r="I558" s="90"/>
      <c r="J558" s="3"/>
      <c r="K558" s="87"/>
      <c r="L558" s="3"/>
      <c r="M558" s="8"/>
      <c r="N558" s="13"/>
      <c r="O558" s="90"/>
      <c r="P558" s="3"/>
      <c r="Q558" s="87"/>
      <c r="R558" s="3"/>
    </row>
    <row r="559" spans="1:18" ht="12.75">
      <c r="A559" s="14"/>
      <c r="B559" s="9"/>
      <c r="C559" s="10" t="str">
        <f t="shared" si="96"/>
        <v>PRODUCER</v>
      </c>
      <c r="D559" s="9"/>
      <c r="E559" s="9" t="str">
        <f t="shared" si="97"/>
        <v>BUDSARIN PANOMMA</v>
      </c>
      <c r="F559" s="9"/>
      <c r="G559" s="3"/>
      <c r="H559" s="13"/>
      <c r="I559" s="90" t="s">
        <v>504</v>
      </c>
      <c r="J559" s="3"/>
      <c r="K559" s="87" t="s">
        <v>537</v>
      </c>
      <c r="L559" s="3"/>
      <c r="M559" s="8"/>
      <c r="N559" s="13"/>
      <c r="O559" s="90" t="s">
        <v>504</v>
      </c>
      <c r="P559" s="3"/>
      <c r="Q559" s="87" t="s">
        <v>537</v>
      </c>
      <c r="R559" s="3"/>
    </row>
    <row r="560" spans="1:18" ht="12.75">
      <c r="A560" s="14"/>
      <c r="B560" s="9"/>
      <c r="C560" s="10" t="str">
        <f t="shared" si="96"/>
        <v/>
      </c>
      <c r="D560" s="9"/>
      <c r="E560" s="9" t="str">
        <f t="shared" si="97"/>
        <v/>
      </c>
      <c r="F560" s="9"/>
      <c r="G560" s="3"/>
      <c r="H560" s="13"/>
      <c r="I560" s="90"/>
      <c r="J560" s="3"/>
      <c r="K560" s="95"/>
      <c r="L560" s="3"/>
      <c r="M560" s="63"/>
      <c r="N560" s="13"/>
      <c r="O560" s="90"/>
      <c r="P560" s="3"/>
      <c r="Q560" s="87"/>
      <c r="R560" s="3"/>
    </row>
    <row r="561" spans="1:18" ht="12.75">
      <c r="A561" s="14"/>
      <c r="B561" s="9"/>
      <c r="C561" s="10" t="str">
        <f t="shared" si="96"/>
        <v>ASSET MANAGER</v>
      </c>
      <c r="D561" s="9"/>
      <c r="E561" s="9" t="str">
        <f t="shared" si="97"/>
        <v>PALAPAS NIMAWAN</v>
      </c>
      <c r="F561" s="9"/>
      <c r="G561" s="3"/>
      <c r="H561" s="13"/>
      <c r="I561" s="90" t="s">
        <v>498</v>
      </c>
      <c r="J561" s="3"/>
      <c r="K561" s="95" t="s">
        <v>538</v>
      </c>
      <c r="L561" s="3"/>
      <c r="M561" s="63"/>
      <c r="N561" s="13"/>
      <c r="O561" s="90" t="s">
        <v>498</v>
      </c>
      <c r="P561" s="3"/>
      <c r="Q561" s="87" t="s">
        <v>538</v>
      </c>
      <c r="R561" s="3"/>
    </row>
    <row r="562" spans="1:18" ht="12.75">
      <c r="A562" s="14"/>
      <c r="B562" s="9"/>
      <c r="C562" s="10" t="str">
        <f t="shared" si="96"/>
        <v>ANIMATION MANAGER</v>
      </c>
      <c r="D562" s="9"/>
      <c r="E562" s="9" t="str">
        <f t="shared" si="97"/>
        <v>PARINYA PONGSANGIAM</v>
      </c>
      <c r="F562" s="9"/>
      <c r="G562" s="3"/>
      <c r="H562" s="13"/>
      <c r="I562" s="90" t="s">
        <v>539</v>
      </c>
      <c r="J562" s="3"/>
      <c r="K562" s="95" t="s">
        <v>540</v>
      </c>
      <c r="L562" s="3"/>
      <c r="M562" s="8"/>
      <c r="N562" s="13"/>
      <c r="O562" s="90" t="s">
        <v>539</v>
      </c>
      <c r="P562" s="3"/>
      <c r="Q562" s="87" t="s">
        <v>540</v>
      </c>
      <c r="R562" s="3"/>
    </row>
    <row r="563" spans="1:18" ht="12.75">
      <c r="A563" s="14"/>
      <c r="B563" s="9"/>
      <c r="C563" s="10" t="str">
        <f t="shared" si="96"/>
        <v>CG MANAGER</v>
      </c>
      <c r="D563" s="9"/>
      <c r="E563" s="9" t="str">
        <f t="shared" si="97"/>
        <v>SASIPORN PANOMMA</v>
      </c>
      <c r="F563" s="9"/>
      <c r="G563" s="3"/>
      <c r="H563" s="13"/>
      <c r="I563" s="90" t="s">
        <v>541</v>
      </c>
      <c r="J563" s="3"/>
      <c r="K563" s="87" t="s">
        <v>542</v>
      </c>
      <c r="L563" s="3"/>
      <c r="M563" s="63"/>
      <c r="N563" s="13"/>
      <c r="O563" s="90" t="s">
        <v>541</v>
      </c>
      <c r="P563" s="3"/>
      <c r="Q563" s="87" t="s">
        <v>542</v>
      </c>
      <c r="R563" s="3"/>
    </row>
    <row r="564" spans="1:18" ht="12.75">
      <c r="A564" s="14"/>
      <c r="B564" s="9"/>
      <c r="C564" s="10" t="str">
        <f t="shared" si="96"/>
        <v/>
      </c>
      <c r="D564" s="9"/>
      <c r="E564" s="9" t="str">
        <f t="shared" si="97"/>
        <v/>
      </c>
      <c r="F564" s="9"/>
      <c r="G564" s="3"/>
      <c r="H564" s="13"/>
      <c r="I564" s="90"/>
      <c r="J564" s="3"/>
      <c r="K564" s="87"/>
      <c r="L564" s="3"/>
      <c r="M564" s="8"/>
      <c r="N564" s="13"/>
      <c r="O564" s="90"/>
      <c r="P564" s="3"/>
      <c r="Q564" s="87"/>
      <c r="R564" s="3"/>
    </row>
    <row r="565" spans="1:18" ht="12.75">
      <c r="A565" s="14"/>
      <c r="B565" s="9"/>
      <c r="C565" s="10" t="str">
        <f t="shared" si="96"/>
        <v>ASSET COORDINATOR</v>
      </c>
      <c r="D565" s="9"/>
      <c r="E565" s="9" t="str">
        <f t="shared" si="97"/>
        <v>CHUTCHAPHOL KHANTASOPHON</v>
      </c>
      <c r="F565" s="9"/>
      <c r="G565" s="3"/>
      <c r="H565" s="13"/>
      <c r="I565" s="90" t="s">
        <v>543</v>
      </c>
      <c r="J565" s="3"/>
      <c r="K565" s="87" t="s">
        <v>544</v>
      </c>
      <c r="L565" s="3"/>
      <c r="M565" s="8"/>
      <c r="N565" s="13"/>
      <c r="O565" s="90" t="s">
        <v>543</v>
      </c>
      <c r="P565" s="3"/>
      <c r="Q565" s="87" t="s">
        <v>544</v>
      </c>
      <c r="R565" s="3"/>
    </row>
    <row r="566" spans="1:18" ht="12.75">
      <c r="A566" s="14"/>
      <c r="B566" s="9"/>
      <c r="C566" s="10" t="str">
        <f t="shared" si="96"/>
        <v/>
      </c>
      <c r="D566" s="9"/>
      <c r="E566" s="9" t="str">
        <f t="shared" si="97"/>
        <v>WARISSARA PETSAKUL</v>
      </c>
      <c r="F566" s="9"/>
      <c r="G566" s="3"/>
      <c r="H566" s="13"/>
      <c r="I566" s="90"/>
      <c r="J566" s="3"/>
      <c r="K566" s="87" t="s">
        <v>545</v>
      </c>
      <c r="L566" s="3"/>
      <c r="M566" s="63"/>
      <c r="N566" s="13"/>
      <c r="O566" s="90"/>
      <c r="P566" s="3"/>
      <c r="Q566" s="87" t="s">
        <v>545</v>
      </c>
      <c r="R566" s="3"/>
    </row>
    <row r="567" spans="1:18" ht="12.75">
      <c r="A567" s="14"/>
      <c r="B567" s="9"/>
      <c r="C567" s="10" t="str">
        <f t="shared" si="96"/>
        <v>LAYOUT COORDINATOR</v>
      </c>
      <c r="D567" s="9"/>
      <c r="E567" s="9" t="str">
        <f t="shared" si="97"/>
        <v>PATSAWAN CHUASRITRAKUL</v>
      </c>
      <c r="F567" s="9"/>
      <c r="G567" s="3"/>
      <c r="H567" s="13"/>
      <c r="I567" s="90" t="s">
        <v>546</v>
      </c>
      <c r="J567" s="3"/>
      <c r="K567" s="87" t="s">
        <v>547</v>
      </c>
      <c r="L567" s="3"/>
      <c r="M567" s="8"/>
      <c r="N567" s="13"/>
      <c r="O567" s="90" t="s">
        <v>546</v>
      </c>
      <c r="P567" s="3"/>
      <c r="Q567" s="87" t="s">
        <v>547</v>
      </c>
      <c r="R567" s="3"/>
    </row>
    <row r="568" spans="1:18" ht="12.75">
      <c r="A568" s="14"/>
      <c r="B568" s="9"/>
      <c r="C568" s="10" t="str">
        <f t="shared" si="96"/>
        <v>ANIMATION COORDINATOR</v>
      </c>
      <c r="D568" s="9"/>
      <c r="E568" s="9" t="str">
        <f t="shared" si="97"/>
        <v>SAWITA STARPITCHAYANANT</v>
      </c>
      <c r="F568" s="9"/>
      <c r="G568" s="3"/>
      <c r="H568" s="13"/>
      <c r="I568" s="90" t="s">
        <v>548</v>
      </c>
      <c r="J568" s="3"/>
      <c r="K568" s="87" t="s">
        <v>549</v>
      </c>
      <c r="L568" s="3"/>
      <c r="M568" s="8"/>
      <c r="N568" s="13"/>
      <c r="O568" s="90" t="s">
        <v>548</v>
      </c>
      <c r="P568" s="3"/>
      <c r="Q568" s="87" t="s">
        <v>549</v>
      </c>
      <c r="R568" s="3"/>
    </row>
    <row r="569" spans="1:18" ht="12.75">
      <c r="A569" s="14"/>
      <c r="B569" s="9"/>
      <c r="C569" s="10" t="str">
        <f t="shared" si="96"/>
        <v/>
      </c>
      <c r="D569" s="9"/>
      <c r="E569" s="9" t="str">
        <f t="shared" si="97"/>
        <v>KUNLAPHAT JEERAMANEEMAI</v>
      </c>
      <c r="F569" s="9"/>
      <c r="G569" s="3"/>
      <c r="H569" s="13"/>
      <c r="I569" s="90"/>
      <c r="J569" s="3"/>
      <c r="K569" s="87" t="s">
        <v>550</v>
      </c>
      <c r="L569" s="3"/>
      <c r="M569" s="8"/>
      <c r="N569" s="13"/>
      <c r="O569" s="90"/>
      <c r="P569" s="3"/>
      <c r="Q569" s="87" t="s">
        <v>550</v>
      </c>
      <c r="R569" s="3"/>
    </row>
    <row r="570" spans="1:18" ht="12.75">
      <c r="A570" s="14"/>
      <c r="B570" s="9"/>
      <c r="C570" s="10" t="str">
        <f t="shared" si="96"/>
        <v/>
      </c>
      <c r="D570" s="9"/>
      <c r="E570" s="9" t="str">
        <f t="shared" si="97"/>
        <v>PUNYAWEE TUNGJAISUE</v>
      </c>
      <c r="F570" s="9"/>
      <c r="G570" s="3"/>
      <c r="H570" s="13"/>
      <c r="I570" s="90"/>
      <c r="J570" s="3"/>
      <c r="K570" s="87" t="s">
        <v>551</v>
      </c>
      <c r="L570" s="3"/>
      <c r="M570" s="8"/>
      <c r="N570" s="13"/>
      <c r="O570" s="90"/>
      <c r="P570" s="3"/>
      <c r="Q570" s="87" t="s">
        <v>551</v>
      </c>
      <c r="R570" s="3"/>
    </row>
    <row r="571" spans="1:18" ht="12.75">
      <c r="A571" s="14"/>
      <c r="B571" s="9"/>
      <c r="C571" s="10" t="str">
        <f t="shared" si="96"/>
        <v>FX COORDINATOR</v>
      </c>
      <c r="D571" s="9"/>
      <c r="E571" s="9" t="str">
        <f t="shared" si="97"/>
        <v>NAVIPAS SUTTICHONSAKUL</v>
      </c>
      <c r="F571" s="9"/>
      <c r="G571" s="3"/>
      <c r="H571" s="13"/>
      <c r="I571" s="90" t="s">
        <v>552</v>
      </c>
      <c r="J571" s="3"/>
      <c r="K571" s="87" t="s">
        <v>553</v>
      </c>
      <c r="L571" s="3"/>
      <c r="M571" s="8"/>
      <c r="N571" s="13"/>
      <c r="O571" s="90" t="s">
        <v>552</v>
      </c>
      <c r="P571" s="3"/>
      <c r="Q571" s="87" t="s">
        <v>553</v>
      </c>
      <c r="R571" s="3"/>
    </row>
    <row r="572" spans="1:18" ht="12.75">
      <c r="A572" s="14"/>
      <c r="B572" s="9"/>
      <c r="C572" s="10" t="str">
        <f t="shared" si="96"/>
        <v>LRC COORDINATOR</v>
      </c>
      <c r="D572" s="9"/>
      <c r="E572" s="9" t="str">
        <f t="shared" si="97"/>
        <v>SUNIDA DANGTHONGKUM</v>
      </c>
      <c r="F572" s="9"/>
      <c r="G572" s="3"/>
      <c r="H572" s="13"/>
      <c r="I572" s="90" t="s">
        <v>554</v>
      </c>
      <c r="J572" s="3"/>
      <c r="K572" s="87" t="s">
        <v>555</v>
      </c>
      <c r="L572" s="3"/>
      <c r="M572" s="8"/>
      <c r="N572" s="13"/>
      <c r="O572" s="90" t="s">
        <v>554</v>
      </c>
      <c r="P572" s="3"/>
      <c r="Q572" s="87" t="s">
        <v>555</v>
      </c>
      <c r="R572" s="3"/>
    </row>
    <row r="573" spans="1:18" ht="12.75">
      <c r="A573" s="14"/>
      <c r="B573" s="9"/>
      <c r="C573" s="10"/>
      <c r="D573" s="9"/>
      <c r="E573" s="9"/>
      <c r="F573" s="9"/>
      <c r="G573" s="3"/>
      <c r="H573" s="13"/>
      <c r="I573" s="90"/>
      <c r="J573" s="3"/>
      <c r="K573" s="87"/>
      <c r="L573" s="3"/>
      <c r="M573" s="8"/>
      <c r="N573" s="13"/>
      <c r="O573" s="8"/>
      <c r="P573" s="3"/>
      <c r="Q573" s="13"/>
      <c r="R573" s="3"/>
    </row>
    <row r="574" spans="1:18" ht="12.75">
      <c r="A574" s="14"/>
      <c r="B574" s="11"/>
      <c r="C574" s="12" t="str">
        <f>UPPER(I574)</f>
        <v/>
      </c>
      <c r="D574" s="11"/>
      <c r="E574" s="11" t="str">
        <f>UPPER(K574)</f>
        <v/>
      </c>
      <c r="F574" s="11"/>
      <c r="G574" s="3"/>
      <c r="H574" s="13"/>
      <c r="I574" s="8"/>
      <c r="J574" s="3"/>
      <c r="K574" s="13"/>
      <c r="L574" s="3"/>
      <c r="M574" s="8"/>
      <c r="N574" s="8"/>
      <c r="O574" s="8"/>
      <c r="P574" s="3"/>
      <c r="Q574" s="3"/>
      <c r="R574" s="3"/>
    </row>
    <row r="575" spans="1:18" ht="15">
      <c r="A575" s="14"/>
      <c r="B575" s="6"/>
      <c r="C575" s="6"/>
      <c r="D575" s="6"/>
      <c r="E575" s="6"/>
      <c r="F575" s="6"/>
      <c r="G575" s="3"/>
      <c r="H575" s="74"/>
      <c r="I575" s="5"/>
      <c r="J575" s="5"/>
      <c r="K575" s="5"/>
      <c r="L575" s="74"/>
      <c r="M575" s="8"/>
      <c r="N575" s="8"/>
      <c r="O575" s="8"/>
      <c r="P575" s="3"/>
      <c r="Q575" s="3"/>
      <c r="R575" s="3"/>
    </row>
    <row r="576" spans="1:18" ht="12.75">
      <c r="A576" s="14"/>
      <c r="B576" s="143" t="str">
        <f t="shared" ref="B576:B577" si="98">UPPER(H576)</f>
        <v>PRODUCTION SERVICES PROVIDED BY</v>
      </c>
      <c r="C576" s="141"/>
      <c r="D576" s="141"/>
      <c r="E576" s="141"/>
      <c r="F576" s="141"/>
      <c r="G576" s="3"/>
      <c r="H576" s="145" t="s">
        <v>530</v>
      </c>
      <c r="I576" s="141"/>
      <c r="J576" s="141"/>
      <c r="K576" s="141"/>
      <c r="L576" s="141"/>
      <c r="M576" s="8"/>
      <c r="N576" s="145" t="s">
        <v>940</v>
      </c>
      <c r="O576" s="141"/>
      <c r="P576" s="141"/>
      <c r="Q576" s="141"/>
      <c r="R576" s="141"/>
    </row>
    <row r="577" spans="1:18" ht="15">
      <c r="A577" s="14"/>
      <c r="B577" s="146" t="str">
        <f t="shared" si="98"/>
        <v>THE MONK STUDIOS</v>
      </c>
      <c r="C577" s="141"/>
      <c r="D577" s="141"/>
      <c r="E577" s="141"/>
      <c r="F577" s="141"/>
      <c r="G577" s="8"/>
      <c r="H577" s="149" t="s">
        <v>202</v>
      </c>
      <c r="I577" s="141"/>
      <c r="J577" s="141"/>
      <c r="K577" s="141"/>
      <c r="L577" s="141"/>
      <c r="M577" s="8"/>
      <c r="N577" s="149" t="s">
        <v>202</v>
      </c>
      <c r="O577" s="141"/>
      <c r="P577" s="141"/>
      <c r="Q577" s="141"/>
      <c r="R577" s="141"/>
    </row>
    <row r="578" spans="1:18" ht="15">
      <c r="A578" s="14"/>
      <c r="B578" s="6"/>
      <c r="C578" s="6"/>
      <c r="D578" s="6"/>
      <c r="E578" s="6"/>
      <c r="F578" s="6"/>
      <c r="G578" s="3"/>
      <c r="H578" s="74"/>
      <c r="I578" s="5"/>
      <c r="J578" s="5"/>
      <c r="K578" s="5"/>
      <c r="L578" s="74"/>
      <c r="M578" s="8"/>
      <c r="N578" s="74"/>
      <c r="O578" s="5"/>
      <c r="P578" s="5"/>
      <c r="Q578" s="5"/>
      <c r="R578" s="74"/>
    </row>
    <row r="579" spans="1:18" ht="15">
      <c r="A579" s="14"/>
      <c r="B579" s="146" t="str">
        <f>UPPER(H579)</f>
        <v>PIPELINE &amp; TD</v>
      </c>
      <c r="C579" s="141"/>
      <c r="D579" s="141"/>
      <c r="E579" s="141"/>
      <c r="F579" s="141"/>
      <c r="G579" s="3"/>
      <c r="H579" s="151" t="s">
        <v>558</v>
      </c>
      <c r="I579" s="141"/>
      <c r="J579" s="141"/>
      <c r="K579" s="141"/>
      <c r="L579" s="141"/>
      <c r="M579" s="8"/>
      <c r="N579" s="151" t="s">
        <v>558</v>
      </c>
      <c r="O579" s="141"/>
      <c r="P579" s="141"/>
      <c r="Q579" s="141"/>
      <c r="R579" s="141"/>
    </row>
    <row r="580" spans="1:18" ht="12.75">
      <c r="A580" s="14"/>
      <c r="B580" s="9"/>
      <c r="C580" s="10" t="str">
        <f>UPPER(I580)</f>
        <v>HEAD OF PIPELINE</v>
      </c>
      <c r="D580" s="9"/>
      <c r="E580" s="9" t="str">
        <f t="shared" ref="E580:E599" si="99">UPPER(K580)</f>
        <v>MICHAEL ISARASAK KHANTHAROD</v>
      </c>
      <c r="F580" s="9"/>
      <c r="G580" s="3"/>
      <c r="H580" s="13"/>
      <c r="I580" s="36" t="s">
        <v>561</v>
      </c>
      <c r="J580" s="3"/>
      <c r="K580" s="31" t="s">
        <v>562</v>
      </c>
      <c r="L580" s="3"/>
      <c r="M580" s="8"/>
      <c r="N580" s="13"/>
      <c r="O580" s="36" t="s">
        <v>561</v>
      </c>
      <c r="P580" s="3"/>
      <c r="Q580" s="31" t="s">
        <v>562</v>
      </c>
      <c r="R580" s="3"/>
    </row>
    <row r="581" spans="1:18" ht="12.75">
      <c r="A581" s="14"/>
      <c r="B581" s="9"/>
      <c r="C581" s="10"/>
      <c r="D581" s="9"/>
      <c r="E581" s="9" t="str">
        <f t="shared" si="99"/>
        <v/>
      </c>
      <c r="F581" s="9"/>
      <c r="G581" s="3"/>
      <c r="H581" s="13"/>
      <c r="I581" s="36"/>
      <c r="J581" s="3"/>
      <c r="K581" s="31"/>
      <c r="L581" s="3"/>
      <c r="M581" s="8"/>
      <c r="N581" s="13"/>
      <c r="O581" s="36"/>
      <c r="P581" s="3"/>
      <c r="Q581" s="31"/>
      <c r="R581" s="3"/>
    </row>
    <row r="582" spans="1:18" ht="12.75">
      <c r="A582" s="14"/>
      <c r="B582" s="9"/>
      <c r="C582" s="10" t="str">
        <f>UPPER(I582)</f>
        <v>LEAD PIPELINE</v>
      </c>
      <c r="D582" s="9"/>
      <c r="E582" s="9" t="str">
        <f t="shared" si="99"/>
        <v>SARINPORN PINTUSOPON</v>
      </c>
      <c r="F582" s="9"/>
      <c r="G582" s="3"/>
      <c r="H582" s="13"/>
      <c r="I582" s="36" t="s">
        <v>563</v>
      </c>
      <c r="J582" s="3"/>
      <c r="K582" s="31" t="s">
        <v>564</v>
      </c>
      <c r="L582" s="3"/>
      <c r="M582" s="8"/>
      <c r="N582" s="13"/>
      <c r="O582" s="36" t="s">
        <v>563</v>
      </c>
      <c r="P582" s="3"/>
      <c r="Q582" s="31" t="s">
        <v>564</v>
      </c>
      <c r="R582" s="3"/>
    </row>
    <row r="583" spans="1:18" ht="12.75">
      <c r="A583" s="14"/>
      <c r="B583" s="9"/>
      <c r="C583" s="10"/>
      <c r="D583" s="9"/>
      <c r="E583" s="9" t="str">
        <f t="shared" si="99"/>
        <v/>
      </c>
      <c r="F583" s="9"/>
      <c r="G583" s="3"/>
      <c r="H583" s="13"/>
      <c r="I583" s="36"/>
      <c r="J583" s="3"/>
      <c r="K583" s="31"/>
      <c r="L583" s="3"/>
      <c r="M583" s="8"/>
      <c r="N583" s="13"/>
      <c r="O583" s="36"/>
      <c r="P583" s="3"/>
      <c r="Q583" s="31"/>
      <c r="R583" s="3"/>
    </row>
    <row r="584" spans="1:18" ht="12.75">
      <c r="A584" s="14"/>
      <c r="B584" s="9"/>
      <c r="C584" s="10" t="str">
        <f>UPPER(I584)</f>
        <v>PIPELINE DEVELOPER</v>
      </c>
      <c r="D584" s="9"/>
      <c r="E584" s="9" t="str">
        <f t="shared" si="99"/>
        <v>TANARAT LUANG-ON</v>
      </c>
      <c r="F584" s="9"/>
      <c r="G584" s="3"/>
      <c r="H584" s="13"/>
      <c r="I584" s="36" t="s">
        <v>565</v>
      </c>
      <c r="J584" s="3"/>
      <c r="K584" s="31" t="s">
        <v>566</v>
      </c>
      <c r="L584" s="3"/>
      <c r="M584" s="8"/>
      <c r="N584" s="13"/>
      <c r="O584" s="36" t="s">
        <v>565</v>
      </c>
      <c r="P584" s="3"/>
      <c r="Q584" s="31" t="s">
        <v>566</v>
      </c>
      <c r="R584" s="3"/>
    </row>
    <row r="585" spans="1:18" ht="12.75">
      <c r="A585" s="14"/>
      <c r="B585" s="9"/>
      <c r="C585" s="10"/>
      <c r="D585" s="9"/>
      <c r="E585" s="9" t="str">
        <f t="shared" si="99"/>
        <v>THANYATHON TAYANGKHANON</v>
      </c>
      <c r="F585" s="9"/>
      <c r="G585" s="3"/>
      <c r="H585" s="13"/>
      <c r="I585" s="36"/>
      <c r="J585" s="3"/>
      <c r="K585" s="31" t="s">
        <v>567</v>
      </c>
      <c r="L585" s="3"/>
      <c r="M585" s="8"/>
      <c r="N585" s="13"/>
      <c r="O585" s="36"/>
      <c r="P585" s="3"/>
      <c r="Q585" s="31" t="s">
        <v>567</v>
      </c>
      <c r="R585" s="3"/>
    </row>
    <row r="586" spans="1:18" ht="12.75">
      <c r="A586" s="14"/>
      <c r="B586" s="9"/>
      <c r="C586" s="10" t="str">
        <f t="shared" ref="C586:C589" si="100">UPPER(I586)</f>
        <v/>
      </c>
      <c r="D586" s="9"/>
      <c r="E586" s="9" t="str">
        <f t="shared" si="99"/>
        <v>NUTTAPON VANAKITTISTIEN</v>
      </c>
      <c r="F586" s="9"/>
      <c r="G586" s="3"/>
      <c r="H586" s="13"/>
      <c r="I586" s="36"/>
      <c r="J586" s="3"/>
      <c r="K586" s="31" t="s">
        <v>568</v>
      </c>
      <c r="L586" s="3"/>
      <c r="M586" s="63"/>
      <c r="N586" s="13"/>
      <c r="O586" s="36"/>
      <c r="P586" s="3"/>
      <c r="Q586" s="31" t="s">
        <v>568</v>
      </c>
      <c r="R586" s="3"/>
    </row>
    <row r="587" spans="1:18" ht="12.75">
      <c r="A587" s="14"/>
      <c r="B587" s="9"/>
      <c r="C587" s="10" t="str">
        <f t="shared" si="100"/>
        <v/>
      </c>
      <c r="D587" s="9"/>
      <c r="E587" s="9" t="str">
        <f t="shared" si="99"/>
        <v>APISIT SENLUANG</v>
      </c>
      <c r="F587" s="9"/>
      <c r="G587" s="3"/>
      <c r="H587" s="13"/>
      <c r="I587" s="36"/>
      <c r="J587" s="3"/>
      <c r="K587" s="31" t="s">
        <v>569</v>
      </c>
      <c r="L587" s="3"/>
      <c r="M587" s="8"/>
      <c r="N587" s="13"/>
      <c r="O587" s="36"/>
      <c r="P587" s="3"/>
      <c r="Q587" s="31" t="s">
        <v>569</v>
      </c>
      <c r="R587" s="3"/>
    </row>
    <row r="588" spans="1:18" ht="12.75">
      <c r="A588" s="14"/>
      <c r="B588" s="9"/>
      <c r="C588" s="10" t="str">
        <f t="shared" si="100"/>
        <v/>
      </c>
      <c r="D588" s="9"/>
      <c r="E588" s="9" t="str">
        <f t="shared" si="99"/>
        <v/>
      </c>
      <c r="F588" s="9"/>
      <c r="G588" s="3"/>
      <c r="H588" s="13"/>
      <c r="I588" s="36"/>
      <c r="J588" s="3"/>
      <c r="K588" s="31"/>
      <c r="L588" s="3"/>
      <c r="M588" s="8"/>
      <c r="N588" s="13"/>
      <c r="O588" s="36"/>
      <c r="P588" s="3"/>
      <c r="Q588" s="31"/>
      <c r="R588" s="3"/>
    </row>
    <row r="589" spans="1:18" ht="12.75">
      <c r="A589" s="14"/>
      <c r="B589" s="9"/>
      <c r="C589" s="10" t="str">
        <f t="shared" si="100"/>
        <v>LEAD TECHNICAL DIRECTOR</v>
      </c>
      <c r="D589" s="9"/>
      <c r="E589" s="9" t="str">
        <f t="shared" si="99"/>
        <v>THANAPAT TUMMATI</v>
      </c>
      <c r="F589" s="9"/>
      <c r="G589" s="3"/>
      <c r="H589" s="13"/>
      <c r="I589" s="36" t="s">
        <v>570</v>
      </c>
      <c r="J589" s="3"/>
      <c r="K589" s="31" t="s">
        <v>571</v>
      </c>
      <c r="L589" s="3"/>
      <c r="M589" s="8"/>
      <c r="N589" s="13"/>
      <c r="O589" s="36" t="s">
        <v>570</v>
      </c>
      <c r="P589" s="3"/>
      <c r="Q589" s="31" t="s">
        <v>571</v>
      </c>
      <c r="R589" s="3"/>
    </row>
    <row r="590" spans="1:18" ht="12.75">
      <c r="A590" s="14"/>
      <c r="B590" s="9"/>
      <c r="C590" s="10"/>
      <c r="D590" s="9"/>
      <c r="E590" s="9" t="str">
        <f t="shared" si="99"/>
        <v/>
      </c>
      <c r="F590" s="9"/>
      <c r="G590" s="3"/>
      <c r="H590" s="13"/>
      <c r="I590" s="36"/>
      <c r="J590" s="3"/>
      <c r="K590" s="31"/>
      <c r="L590" s="3"/>
      <c r="M590" s="8"/>
      <c r="N590" s="13"/>
      <c r="O590" s="36"/>
      <c r="P590" s="3"/>
      <c r="Q590" s="31"/>
      <c r="R590" s="3"/>
    </row>
    <row r="591" spans="1:18" ht="12.75">
      <c r="A591" s="14"/>
      <c r="B591" s="9"/>
      <c r="C591" s="10" t="str">
        <f>UPPER(I591)</f>
        <v>TECHNICAL DIRECTOR</v>
      </c>
      <c r="D591" s="9"/>
      <c r="E591" s="9" t="str">
        <f t="shared" si="99"/>
        <v>TANAWOOT  SINGTHONGPRASERT</v>
      </c>
      <c r="F591" s="9"/>
      <c r="G591" s="3"/>
      <c r="H591" s="13"/>
      <c r="I591" s="36" t="s">
        <v>572</v>
      </c>
      <c r="J591" s="3"/>
      <c r="K591" s="31" t="s">
        <v>646</v>
      </c>
      <c r="L591" s="3"/>
      <c r="M591" s="8"/>
      <c r="N591" s="13"/>
      <c r="O591" s="36" t="s">
        <v>572</v>
      </c>
      <c r="P591" s="3"/>
      <c r="Q591" s="31" t="s">
        <v>646</v>
      </c>
      <c r="R591" s="3"/>
    </row>
    <row r="592" spans="1:18" ht="12.75">
      <c r="A592" s="14"/>
      <c r="B592" s="9"/>
      <c r="C592" s="10"/>
      <c r="D592" s="9"/>
      <c r="E592" s="9" t="str">
        <f t="shared" si="99"/>
        <v>PEERAPAT SRIPENG</v>
      </c>
      <c r="F592" s="9"/>
      <c r="G592" s="3"/>
      <c r="H592" s="13"/>
      <c r="I592" s="36"/>
      <c r="J592" s="3"/>
      <c r="K592" s="31" t="s">
        <v>574</v>
      </c>
      <c r="L592" s="3"/>
      <c r="M592" s="8"/>
      <c r="N592" s="13"/>
      <c r="O592" s="36"/>
      <c r="P592" s="3"/>
      <c r="Q592" s="31" t="s">
        <v>574</v>
      </c>
      <c r="R592" s="3"/>
    </row>
    <row r="593" spans="1:18" ht="12.75">
      <c r="A593" s="14"/>
      <c r="B593" s="9"/>
      <c r="C593" s="10" t="str">
        <f t="shared" ref="C593:C597" si="101">UPPER(I593)</f>
        <v/>
      </c>
      <c r="D593" s="9"/>
      <c r="E593" s="9" t="str">
        <f t="shared" si="99"/>
        <v>THIRADA THEETHUM</v>
      </c>
      <c r="F593" s="9"/>
      <c r="G593" s="3"/>
      <c r="H593" s="13"/>
      <c r="I593" s="36"/>
      <c r="J593" s="3"/>
      <c r="K593" s="31" t="s">
        <v>575</v>
      </c>
      <c r="L593" s="3"/>
      <c r="M593" s="8"/>
      <c r="N593" s="13"/>
      <c r="O593" s="36"/>
      <c r="P593" s="3"/>
      <c r="Q593" s="31" t="s">
        <v>575</v>
      </c>
      <c r="R593" s="3"/>
    </row>
    <row r="594" spans="1:18" ht="12.75">
      <c r="A594" s="14"/>
      <c r="B594" s="9"/>
      <c r="C594" s="10" t="str">
        <f t="shared" si="101"/>
        <v/>
      </c>
      <c r="D594" s="9"/>
      <c r="E594" s="9" t="str">
        <f t="shared" si="99"/>
        <v>NICHAPAT KACHACHEEWA</v>
      </c>
      <c r="F594" s="9"/>
      <c r="G594" s="3"/>
      <c r="H594" s="13"/>
      <c r="I594" s="36"/>
      <c r="J594" s="3"/>
      <c r="K594" s="31" t="s">
        <v>576</v>
      </c>
      <c r="L594" s="3"/>
      <c r="M594" s="8"/>
      <c r="N594" s="13"/>
      <c r="O594" s="36"/>
      <c r="P594" s="3"/>
      <c r="Q594" s="31" t="s">
        <v>576</v>
      </c>
      <c r="R594" s="3"/>
    </row>
    <row r="595" spans="1:18" ht="12.75">
      <c r="A595" s="14"/>
      <c r="B595" s="9"/>
      <c r="C595" s="10" t="str">
        <f t="shared" si="101"/>
        <v/>
      </c>
      <c r="D595" s="9"/>
      <c r="E595" s="9" t="str">
        <f t="shared" si="99"/>
        <v>SUCHADA  KHAMWAN</v>
      </c>
      <c r="F595" s="9"/>
      <c r="G595" s="3"/>
      <c r="H595" s="13"/>
      <c r="I595" s="36"/>
      <c r="J595" s="3"/>
      <c r="K595" s="31" t="s">
        <v>577</v>
      </c>
      <c r="L595" s="3"/>
      <c r="M595" s="8"/>
      <c r="N595" s="13"/>
      <c r="O595" s="36"/>
      <c r="P595" s="3"/>
      <c r="Q595" s="31" t="s">
        <v>577</v>
      </c>
      <c r="R595" s="3"/>
    </row>
    <row r="596" spans="1:18" ht="12.75">
      <c r="A596" s="14"/>
      <c r="B596" s="9"/>
      <c r="C596" s="10" t="str">
        <f t="shared" si="101"/>
        <v/>
      </c>
      <c r="D596" s="9"/>
      <c r="E596" s="9" t="str">
        <f t="shared" si="99"/>
        <v/>
      </c>
      <c r="F596" s="9"/>
      <c r="G596" s="3"/>
      <c r="H596" s="13"/>
      <c r="I596" s="36"/>
      <c r="J596" s="3"/>
      <c r="K596" s="31"/>
      <c r="L596" s="3"/>
      <c r="M596" s="8"/>
      <c r="N596" s="13"/>
      <c r="O596" s="36"/>
      <c r="P596" s="3"/>
      <c r="Q596" s="31"/>
      <c r="R596" s="3"/>
    </row>
    <row r="597" spans="1:18" ht="12.75">
      <c r="A597" s="14"/>
      <c r="B597" s="9"/>
      <c r="C597" s="10" t="str">
        <f t="shared" si="101"/>
        <v>RIG TECHNICAL DIRECTOR</v>
      </c>
      <c r="D597" s="9"/>
      <c r="E597" s="9" t="str">
        <f t="shared" si="99"/>
        <v>PONGSOPON  SROYSOMWONG</v>
      </c>
      <c r="F597" s="9"/>
      <c r="G597" s="3"/>
      <c r="H597" s="13"/>
      <c r="I597" s="36" t="s">
        <v>578</v>
      </c>
      <c r="J597" s="3"/>
      <c r="K597" s="31" t="s">
        <v>647</v>
      </c>
      <c r="L597" s="3"/>
      <c r="M597" s="8"/>
      <c r="N597" s="13"/>
      <c r="O597" s="36" t="s">
        <v>578</v>
      </c>
      <c r="P597" s="3"/>
      <c r="Q597" s="31" t="s">
        <v>647</v>
      </c>
      <c r="R597" s="3"/>
    </row>
    <row r="598" spans="1:18" ht="12.75">
      <c r="A598" s="14"/>
      <c r="B598" s="9"/>
      <c r="C598" s="10"/>
      <c r="D598" s="9"/>
      <c r="E598" s="9" t="str">
        <f t="shared" si="99"/>
        <v>SARAWUT SUWAN</v>
      </c>
      <c r="F598" s="9"/>
      <c r="G598" s="3"/>
      <c r="H598" s="13"/>
      <c r="I598" s="36"/>
      <c r="J598" s="3"/>
      <c r="K598" s="31" t="s">
        <v>580</v>
      </c>
      <c r="L598" s="3"/>
      <c r="M598" s="8"/>
      <c r="N598" s="13"/>
      <c r="O598" s="36"/>
      <c r="P598" s="3"/>
      <c r="Q598" s="31" t="s">
        <v>580</v>
      </c>
      <c r="R598" s="3"/>
    </row>
    <row r="599" spans="1:18" ht="15.75" customHeight="1">
      <c r="A599" s="14"/>
      <c r="B599" s="9"/>
      <c r="C599" s="10" t="str">
        <f>UPPER(I599)</f>
        <v/>
      </c>
      <c r="D599" s="9"/>
      <c r="E599" s="9" t="str">
        <f t="shared" si="99"/>
        <v/>
      </c>
      <c r="F599" s="9"/>
      <c r="G599" s="3"/>
      <c r="H599" s="13"/>
      <c r="I599" s="36"/>
      <c r="J599" s="3"/>
      <c r="K599" s="31"/>
      <c r="L599" s="3"/>
      <c r="M599" s="8"/>
      <c r="N599" s="13"/>
      <c r="O599" s="8"/>
      <c r="P599" s="3"/>
      <c r="Q599" s="81"/>
      <c r="R599" s="3"/>
    </row>
    <row r="600" spans="1:18" ht="15">
      <c r="A600" s="14"/>
      <c r="B600" s="26"/>
      <c r="C600" s="26"/>
      <c r="D600" s="26"/>
      <c r="E600" s="26"/>
      <c r="F600" s="26"/>
      <c r="G600" s="3"/>
      <c r="H600" s="74"/>
      <c r="I600" s="74"/>
      <c r="J600" s="74"/>
      <c r="K600" s="74"/>
      <c r="L600" s="74"/>
      <c r="M600" s="8"/>
      <c r="N600" s="13"/>
      <c r="O600" s="8"/>
      <c r="P600" s="3"/>
      <c r="Q600" s="13"/>
      <c r="R600" s="3"/>
    </row>
    <row r="601" spans="1:18" ht="15">
      <c r="A601" s="14"/>
      <c r="B601" s="6"/>
      <c r="C601" s="6"/>
      <c r="D601" s="6"/>
      <c r="E601" s="6"/>
      <c r="F601" s="6"/>
      <c r="G601" s="3"/>
      <c r="H601" s="74"/>
      <c r="I601" s="74"/>
      <c r="J601" s="74"/>
      <c r="K601" s="74"/>
      <c r="L601" s="74"/>
      <c r="M601" s="8"/>
      <c r="N601" s="13"/>
      <c r="O601" s="8"/>
      <c r="P601" s="3"/>
      <c r="Q601" s="13"/>
      <c r="R601" s="3"/>
    </row>
    <row r="602" spans="1:18" ht="12.75">
      <c r="A602" s="14"/>
      <c r="B602" s="143" t="str">
        <f t="shared" ref="B602:B603" si="102">UPPER(H602)</f>
        <v>PRODUCTION SERVICES PROVIDED BY</v>
      </c>
      <c r="C602" s="141"/>
      <c r="D602" s="141"/>
      <c r="E602" s="141"/>
      <c r="F602" s="141"/>
      <c r="G602" s="3"/>
      <c r="H602" s="145" t="s">
        <v>530</v>
      </c>
      <c r="I602" s="141"/>
      <c r="J602" s="141"/>
      <c r="K602" s="141"/>
      <c r="L602" s="141"/>
      <c r="M602" s="8"/>
      <c r="N602" s="145" t="s">
        <v>940</v>
      </c>
      <c r="O602" s="141"/>
      <c r="P602" s="141"/>
      <c r="Q602" s="141"/>
      <c r="R602" s="141"/>
    </row>
    <row r="603" spans="1:18" ht="15">
      <c r="A603" s="14"/>
      <c r="B603" s="146" t="str">
        <f t="shared" si="102"/>
        <v>THE MONK STUDIOS</v>
      </c>
      <c r="C603" s="141"/>
      <c r="D603" s="141"/>
      <c r="E603" s="141"/>
      <c r="F603" s="141"/>
      <c r="G603" s="8"/>
      <c r="H603" s="149" t="s">
        <v>202</v>
      </c>
      <c r="I603" s="141"/>
      <c r="J603" s="141"/>
      <c r="K603" s="141"/>
      <c r="L603" s="141"/>
      <c r="M603" s="8"/>
      <c r="N603" s="149" t="s">
        <v>202</v>
      </c>
      <c r="O603" s="141"/>
      <c r="P603" s="141"/>
      <c r="Q603" s="141"/>
      <c r="R603" s="141"/>
    </row>
    <row r="604" spans="1:18" ht="12.75">
      <c r="A604" s="14"/>
      <c r="B604" s="9"/>
      <c r="C604" s="10"/>
      <c r="D604" s="9"/>
      <c r="E604" s="9"/>
      <c r="F604" s="9"/>
      <c r="G604" s="3"/>
      <c r="H604" s="13"/>
      <c r="I604" s="8"/>
      <c r="J604" s="3"/>
      <c r="K604" s="13"/>
      <c r="L604" s="3"/>
      <c r="M604" s="8"/>
      <c r="N604" s="13"/>
      <c r="O604" s="8"/>
      <c r="P604" s="3"/>
      <c r="Q604" s="13"/>
      <c r="R604" s="3"/>
    </row>
    <row r="605" spans="1:18" ht="15">
      <c r="A605" s="14"/>
      <c r="B605" s="146" t="str">
        <f>UPPER(H605)</f>
        <v>IT</v>
      </c>
      <c r="C605" s="141"/>
      <c r="D605" s="141"/>
      <c r="E605" s="141"/>
      <c r="F605" s="141"/>
      <c r="G605" s="3"/>
      <c r="H605" s="151" t="s">
        <v>581</v>
      </c>
      <c r="I605" s="141"/>
      <c r="J605" s="141"/>
      <c r="K605" s="141"/>
      <c r="L605" s="141"/>
      <c r="M605" s="8"/>
      <c r="N605" s="151" t="s">
        <v>581</v>
      </c>
      <c r="O605" s="141"/>
      <c r="P605" s="141"/>
      <c r="Q605" s="141"/>
      <c r="R605" s="141"/>
    </row>
    <row r="606" spans="1:18" ht="12.75">
      <c r="A606" s="14"/>
      <c r="B606" s="9"/>
      <c r="C606" s="10" t="str">
        <f t="shared" ref="C606:C613" si="103">UPPER(I606)</f>
        <v>IT DIRECTOR</v>
      </c>
      <c r="D606" s="9"/>
      <c r="E606" s="9" t="str">
        <f t="shared" ref="E606:E613" si="104">UPPER(K606)</f>
        <v>PAKORN CHUTINIMITKUL</v>
      </c>
      <c r="F606" s="9"/>
      <c r="G606" s="3"/>
      <c r="H606" s="13"/>
      <c r="I606" s="86" t="s">
        <v>582</v>
      </c>
      <c r="J606" s="3"/>
      <c r="K606" s="89" t="s">
        <v>583</v>
      </c>
      <c r="L606" s="3"/>
      <c r="M606" s="8"/>
      <c r="N606" s="13"/>
      <c r="O606" s="86" t="s">
        <v>582</v>
      </c>
      <c r="P606" s="3"/>
      <c r="Q606" s="89" t="s">
        <v>583</v>
      </c>
      <c r="R606" s="3"/>
    </row>
    <row r="607" spans="1:18" ht="12.75">
      <c r="A607" s="14"/>
      <c r="B607" s="9"/>
      <c r="C607" s="10" t="str">
        <f t="shared" si="103"/>
        <v/>
      </c>
      <c r="D607" s="9"/>
      <c r="E607" s="9" t="str">
        <f t="shared" si="104"/>
        <v/>
      </c>
      <c r="F607" s="9"/>
      <c r="G607" s="3"/>
      <c r="H607" s="13"/>
      <c r="I607" s="86"/>
      <c r="J607" s="3"/>
      <c r="K607" s="89"/>
      <c r="L607" s="3"/>
      <c r="M607" s="8"/>
      <c r="N607" s="13"/>
      <c r="O607" s="86"/>
      <c r="P607" s="3"/>
      <c r="Q607" s="89"/>
      <c r="R607" s="3"/>
    </row>
    <row r="608" spans="1:18" ht="12.75">
      <c r="A608" s="14"/>
      <c r="B608" s="9"/>
      <c r="C608" s="10" t="str">
        <f t="shared" si="103"/>
        <v>SYSTEM ENGINEER</v>
      </c>
      <c r="D608" s="9"/>
      <c r="E608" s="9" t="str">
        <f t="shared" si="104"/>
        <v>NATEE KOONJATURAPAT</v>
      </c>
      <c r="F608" s="9"/>
      <c r="G608" s="3"/>
      <c r="H608" s="13"/>
      <c r="I608" s="86" t="s">
        <v>584</v>
      </c>
      <c r="J608" s="3"/>
      <c r="K608" s="89" t="s">
        <v>585</v>
      </c>
      <c r="L608" s="3"/>
      <c r="M608" s="8"/>
      <c r="N608" s="13"/>
      <c r="O608" s="86" t="s">
        <v>584</v>
      </c>
      <c r="P608" s="3"/>
      <c r="Q608" s="89" t="s">
        <v>585</v>
      </c>
      <c r="R608" s="3"/>
    </row>
    <row r="609" spans="1:18" ht="12.75">
      <c r="A609" s="14"/>
      <c r="B609" s="9"/>
      <c r="C609" s="10" t="str">
        <f t="shared" si="103"/>
        <v/>
      </c>
      <c r="D609" s="9"/>
      <c r="E609" s="9" t="str">
        <f t="shared" si="104"/>
        <v/>
      </c>
      <c r="F609" s="9"/>
      <c r="G609" s="3"/>
      <c r="H609" s="13"/>
      <c r="I609" s="86"/>
      <c r="J609" s="3"/>
      <c r="K609" s="89"/>
      <c r="L609" s="3"/>
      <c r="M609" s="8"/>
      <c r="N609" s="13"/>
      <c r="O609" s="86"/>
      <c r="P609" s="3"/>
      <c r="Q609" s="89"/>
      <c r="R609" s="3"/>
    </row>
    <row r="610" spans="1:18" ht="12.75">
      <c r="A610" s="14"/>
      <c r="B610" s="9"/>
      <c r="C610" s="10" t="str">
        <f t="shared" si="103"/>
        <v>IT SUPPORT</v>
      </c>
      <c r="D610" s="9"/>
      <c r="E610" s="9" t="str">
        <f t="shared" si="104"/>
        <v>CHATCHAI LOHSIRI</v>
      </c>
      <c r="F610" s="9"/>
      <c r="G610" s="3"/>
      <c r="H610" s="13"/>
      <c r="I610" s="86" t="s">
        <v>586</v>
      </c>
      <c r="J610" s="3"/>
      <c r="K610" s="89" t="s">
        <v>587</v>
      </c>
      <c r="L610" s="3"/>
      <c r="M610" s="8"/>
      <c r="N610" s="13"/>
      <c r="O610" s="86" t="s">
        <v>586</v>
      </c>
      <c r="P610" s="3"/>
      <c r="Q610" s="89" t="s">
        <v>587</v>
      </c>
      <c r="R610" s="3"/>
    </row>
    <row r="611" spans="1:18" ht="12.75">
      <c r="A611" s="14"/>
      <c r="B611" s="9"/>
      <c r="C611" s="10" t="str">
        <f t="shared" si="103"/>
        <v/>
      </c>
      <c r="D611" s="9"/>
      <c r="E611" s="9" t="str">
        <f t="shared" si="104"/>
        <v>WIMONWAN LERTTHONGKAM</v>
      </c>
      <c r="F611" s="9"/>
      <c r="G611" s="3"/>
      <c r="H611" s="13"/>
      <c r="I611" s="86"/>
      <c r="J611" s="3"/>
      <c r="K611" s="89" t="s">
        <v>588</v>
      </c>
      <c r="L611" s="3"/>
      <c r="M611" s="8"/>
      <c r="N611" s="13"/>
      <c r="O611" s="86"/>
      <c r="P611" s="3"/>
      <c r="Q611" s="89" t="s">
        <v>588</v>
      </c>
      <c r="R611" s="3"/>
    </row>
    <row r="612" spans="1:18" ht="12.75">
      <c r="A612" s="14"/>
      <c r="B612" s="9"/>
      <c r="C612" s="10" t="str">
        <f t="shared" si="103"/>
        <v/>
      </c>
      <c r="D612" s="9"/>
      <c r="E612" s="9" t="str">
        <f t="shared" si="104"/>
        <v/>
      </c>
      <c r="F612" s="9"/>
      <c r="G612" s="3"/>
      <c r="H612" s="13"/>
      <c r="I612" s="8"/>
      <c r="J612" s="3"/>
      <c r="K612" s="76"/>
      <c r="L612" s="3"/>
      <c r="M612" s="8"/>
      <c r="N612" s="13"/>
      <c r="O612" s="8"/>
      <c r="P612" s="3"/>
      <c r="Q612" s="76"/>
      <c r="R612" s="3"/>
    </row>
    <row r="613" spans="1:18" ht="12.75">
      <c r="A613" s="14"/>
      <c r="B613" s="11"/>
      <c r="C613" s="12" t="str">
        <f t="shared" si="103"/>
        <v/>
      </c>
      <c r="D613" s="11"/>
      <c r="E613" s="11" t="str">
        <f t="shared" si="104"/>
        <v/>
      </c>
      <c r="F613" s="11"/>
      <c r="G613" s="3"/>
      <c r="H613" s="3"/>
      <c r="I613" s="8"/>
      <c r="J613" s="3"/>
      <c r="K613" s="13"/>
      <c r="L613" s="3"/>
      <c r="M613" s="8"/>
      <c r="N613" s="8"/>
      <c r="O613" s="8"/>
      <c r="P613" s="3"/>
      <c r="Q613" s="3"/>
      <c r="R613" s="3"/>
    </row>
    <row r="614" spans="1:18" ht="12.75">
      <c r="A614" s="14"/>
      <c r="B614" s="61"/>
      <c r="C614" s="61"/>
      <c r="D614" s="61"/>
      <c r="E614" s="61"/>
      <c r="F614" s="61"/>
      <c r="G614" s="3"/>
      <c r="H614" s="7"/>
      <c r="I614" s="7"/>
      <c r="J614" s="7"/>
      <c r="K614" s="7"/>
      <c r="L614" s="7"/>
      <c r="M614" s="8"/>
      <c r="N614" s="8"/>
      <c r="O614" s="8"/>
      <c r="P614" s="3"/>
      <c r="Q614" s="3"/>
      <c r="R614" s="3"/>
    </row>
    <row r="615" spans="1:18" ht="12.75">
      <c r="A615" s="14"/>
      <c r="B615" s="143" t="str">
        <f t="shared" ref="B615:B616" si="105">UPPER(H615)</f>
        <v>PRODUCTION SERVICES PROVIDED BY</v>
      </c>
      <c r="C615" s="141"/>
      <c r="D615" s="141"/>
      <c r="E615" s="141"/>
      <c r="F615" s="141"/>
      <c r="G615" s="3"/>
      <c r="H615" s="145" t="s">
        <v>530</v>
      </c>
      <c r="I615" s="141"/>
      <c r="J615" s="141"/>
      <c r="K615" s="141"/>
      <c r="L615" s="141"/>
      <c r="M615" s="8"/>
      <c r="N615" s="145" t="s">
        <v>940</v>
      </c>
      <c r="O615" s="141"/>
      <c r="P615" s="141"/>
      <c r="Q615" s="141"/>
      <c r="R615" s="141"/>
    </row>
    <row r="616" spans="1:18" ht="15">
      <c r="A616" s="14"/>
      <c r="B616" s="146" t="str">
        <f t="shared" si="105"/>
        <v>STUDIO GOINDOL INC.</v>
      </c>
      <c r="C616" s="141"/>
      <c r="D616" s="141"/>
      <c r="E616" s="141"/>
      <c r="F616" s="141"/>
      <c r="G616" s="3"/>
      <c r="H616" s="149" t="s">
        <v>176</v>
      </c>
      <c r="I616" s="141"/>
      <c r="J616" s="141"/>
      <c r="K616" s="141"/>
      <c r="L616" s="141"/>
      <c r="M616" s="8"/>
      <c r="N616" s="149" t="s">
        <v>176</v>
      </c>
      <c r="O616" s="141"/>
      <c r="P616" s="141"/>
      <c r="Q616" s="141"/>
      <c r="R616" s="141"/>
    </row>
    <row r="617" spans="1:18" ht="15">
      <c r="A617" s="14"/>
      <c r="B617" s="6"/>
      <c r="C617" s="6"/>
      <c r="D617" s="6"/>
      <c r="E617" s="6"/>
      <c r="F617" s="6"/>
      <c r="G617" s="3"/>
      <c r="H617" s="5"/>
      <c r="I617" s="5"/>
      <c r="J617" s="5"/>
      <c r="K617" s="5"/>
      <c r="L617" s="5"/>
      <c r="M617" s="8"/>
      <c r="N617" s="15"/>
      <c r="O617" s="15"/>
      <c r="P617" s="15"/>
      <c r="Q617" s="15"/>
      <c r="R617" s="15"/>
    </row>
    <row r="618" spans="1:18" ht="15">
      <c r="A618" s="14"/>
      <c r="B618" s="146" t="str">
        <f>UPPER(H618)</f>
        <v>STORYBOARD &amp; DESIGN</v>
      </c>
      <c r="C618" s="141"/>
      <c r="D618" s="141"/>
      <c r="E618" s="141"/>
      <c r="F618" s="141"/>
      <c r="G618" s="3"/>
      <c r="H618" s="149" t="s">
        <v>589</v>
      </c>
      <c r="I618" s="141"/>
      <c r="J618" s="141"/>
      <c r="K618" s="141"/>
      <c r="L618" s="141"/>
      <c r="M618" s="8"/>
      <c r="N618" s="149" t="s">
        <v>941</v>
      </c>
      <c r="O618" s="141"/>
      <c r="P618" s="141"/>
      <c r="Q618" s="141"/>
      <c r="R618" s="141"/>
    </row>
    <row r="619" spans="1:18" ht="12.75">
      <c r="A619" s="14"/>
      <c r="B619" s="9"/>
      <c r="C619" s="10" t="str">
        <f>UPPER(I619)</f>
        <v>CHIEF PRODUCER</v>
      </c>
      <c r="D619" s="9"/>
      <c r="E619" s="9" t="str">
        <f>UPPER(K619)</f>
        <v>JUNGSOO HUR</v>
      </c>
      <c r="F619" s="9"/>
      <c r="G619" s="3"/>
      <c r="H619" s="3"/>
      <c r="I619" s="63" t="s">
        <v>590</v>
      </c>
      <c r="J619" s="3"/>
      <c r="K619" s="3" t="s">
        <v>591</v>
      </c>
      <c r="L619" s="3"/>
      <c r="M619" s="8"/>
      <c r="N619" s="3"/>
      <c r="O619" s="63" t="s">
        <v>772</v>
      </c>
      <c r="P619" s="3"/>
      <c r="Q619" s="3" t="s">
        <v>942</v>
      </c>
      <c r="R619" s="3"/>
    </row>
    <row r="620" spans="1:18" ht="12.75">
      <c r="A620" s="14"/>
      <c r="B620" s="9"/>
      <c r="C620" s="10"/>
      <c r="D620" s="9"/>
      <c r="E620" s="9"/>
      <c r="F620" s="9"/>
      <c r="G620" s="3"/>
      <c r="H620" s="3"/>
      <c r="I620" s="8"/>
      <c r="J620" s="3"/>
      <c r="K620" s="3"/>
      <c r="L620" s="3"/>
      <c r="M620" s="8"/>
      <c r="N620" s="3"/>
      <c r="O620" s="8"/>
      <c r="P620" s="3"/>
      <c r="Q620" s="3"/>
      <c r="R620" s="3"/>
    </row>
    <row r="621" spans="1:18" ht="12.75">
      <c r="A621" s="14"/>
      <c r="B621" s="9"/>
      <c r="C621" s="10" t="str">
        <f>UPPER(I621)</f>
        <v>PRODUCER</v>
      </c>
      <c r="D621" s="9"/>
      <c r="E621" s="9" t="str">
        <f>UPPER(K621)</f>
        <v>GEUNJEONG KIM</v>
      </c>
      <c r="F621" s="9"/>
      <c r="G621" s="3"/>
      <c r="H621" s="3"/>
      <c r="I621" s="8" t="s">
        <v>504</v>
      </c>
      <c r="J621" s="3"/>
      <c r="K621" s="3" t="s">
        <v>592</v>
      </c>
      <c r="L621" s="3"/>
      <c r="M621" s="8"/>
      <c r="N621" s="3"/>
      <c r="O621" s="8" t="s">
        <v>773</v>
      </c>
      <c r="P621" s="3"/>
      <c r="Q621" s="3" t="s">
        <v>943</v>
      </c>
      <c r="R621" s="3"/>
    </row>
    <row r="622" spans="1:18" ht="12.75">
      <c r="A622" s="14"/>
      <c r="B622" s="9"/>
      <c r="C622" s="10"/>
      <c r="D622" s="9"/>
      <c r="E622" s="9"/>
      <c r="F622" s="9"/>
      <c r="G622" s="3"/>
      <c r="H622" s="3"/>
      <c r="I622" s="8"/>
      <c r="J622" s="3"/>
      <c r="K622" s="3"/>
      <c r="L622" s="3"/>
      <c r="M622" s="8"/>
      <c r="N622" s="3"/>
      <c r="O622" s="8"/>
      <c r="P622" s="3"/>
      <c r="Q622" s="3"/>
      <c r="R622" s="3"/>
    </row>
    <row r="623" spans="1:18" ht="12.75">
      <c r="A623" s="14"/>
      <c r="B623" s="9"/>
      <c r="C623" s="10" t="str">
        <f>UPPER(I623)</f>
        <v>COORDINATOR</v>
      </c>
      <c r="D623" s="9"/>
      <c r="E623" s="9" t="str">
        <f>UPPER(K623)</f>
        <v>JOWON JUNG</v>
      </c>
      <c r="F623" s="9"/>
      <c r="G623" s="3"/>
      <c r="H623" s="3"/>
      <c r="I623" s="8" t="s">
        <v>593</v>
      </c>
      <c r="J623" s="3"/>
      <c r="K623" s="3" t="s">
        <v>594</v>
      </c>
      <c r="L623" s="3"/>
      <c r="M623" s="8"/>
      <c r="N623" s="3"/>
      <c r="O623" s="8" t="s">
        <v>944</v>
      </c>
      <c r="P623" s="3"/>
      <c r="Q623" s="3" t="s">
        <v>945</v>
      </c>
      <c r="R623" s="3"/>
    </row>
    <row r="624" spans="1:18" ht="12.75">
      <c r="A624" s="14"/>
      <c r="B624" s="9"/>
      <c r="C624" s="10"/>
      <c r="D624" s="9"/>
      <c r="E624" s="9"/>
      <c r="F624" s="9"/>
      <c r="G624" s="3"/>
      <c r="H624" s="3"/>
      <c r="I624" s="8"/>
      <c r="J624" s="3"/>
      <c r="K624" s="3"/>
      <c r="L624" s="3"/>
      <c r="M624" s="8"/>
      <c r="N624" s="3"/>
      <c r="O624" s="8"/>
      <c r="P624" s="3"/>
      <c r="Q624" s="3"/>
      <c r="R624" s="3"/>
    </row>
    <row r="625" spans="1:18" ht="12.75">
      <c r="A625" s="14"/>
      <c r="B625" s="9"/>
      <c r="C625" s="10" t="str">
        <f t="shared" ref="C625:C632" si="106">UPPER(I625)</f>
        <v>LEAD DESIGNER</v>
      </c>
      <c r="D625" s="9"/>
      <c r="E625" s="9" t="str">
        <f t="shared" ref="E625:E632" si="107">UPPER(K625)</f>
        <v>WOOJIN SEOK</v>
      </c>
      <c r="F625" s="9"/>
      <c r="G625" s="3"/>
      <c r="H625" s="3"/>
      <c r="I625" s="8" t="s">
        <v>595</v>
      </c>
      <c r="J625" s="3"/>
      <c r="K625" s="3" t="s">
        <v>596</v>
      </c>
      <c r="L625" s="3"/>
      <c r="M625" s="8"/>
      <c r="N625" s="3"/>
      <c r="O625" s="8" t="s">
        <v>946</v>
      </c>
      <c r="P625" s="3"/>
      <c r="Q625" s="3" t="s">
        <v>947</v>
      </c>
      <c r="R625" s="3"/>
    </row>
    <row r="626" spans="1:18" ht="12.75">
      <c r="A626" s="14"/>
      <c r="B626" s="9"/>
      <c r="C626" s="10" t="str">
        <f t="shared" si="106"/>
        <v/>
      </c>
      <c r="D626" s="9"/>
      <c r="E626" s="9" t="str">
        <f t="shared" si="107"/>
        <v/>
      </c>
      <c r="F626" s="9"/>
      <c r="G626" s="3"/>
      <c r="H626" s="3"/>
      <c r="I626" s="8"/>
      <c r="J626" s="3"/>
      <c r="K626" s="3"/>
      <c r="L626" s="3"/>
      <c r="M626" s="8"/>
      <c r="N626" s="3"/>
      <c r="O626" s="8"/>
      <c r="P626" s="3"/>
      <c r="Q626" s="3"/>
      <c r="R626" s="3"/>
    </row>
    <row r="627" spans="1:18" ht="12.75">
      <c r="A627" s="14"/>
      <c r="B627" s="9"/>
      <c r="C627" s="10" t="str">
        <f t="shared" si="106"/>
        <v>DESIGNER</v>
      </c>
      <c r="D627" s="9"/>
      <c r="E627" s="9" t="str">
        <f t="shared" si="107"/>
        <v>JIHYUN KIM</v>
      </c>
      <c r="F627" s="9"/>
      <c r="G627" s="3"/>
      <c r="H627" s="3"/>
      <c r="I627" s="8" t="s">
        <v>597</v>
      </c>
      <c r="J627" s="3"/>
      <c r="K627" s="3" t="s">
        <v>598</v>
      </c>
      <c r="L627" s="3"/>
      <c r="M627" s="8"/>
      <c r="N627" s="3"/>
      <c r="O627" s="8" t="s">
        <v>948</v>
      </c>
      <c r="P627" s="3"/>
      <c r="Q627" s="3" t="s">
        <v>771</v>
      </c>
      <c r="R627" s="3"/>
    </row>
    <row r="628" spans="1:18" ht="12.75">
      <c r="A628" s="14"/>
      <c r="B628" s="9"/>
      <c r="C628" s="10" t="str">
        <f t="shared" si="106"/>
        <v/>
      </c>
      <c r="D628" s="9"/>
      <c r="E628" s="9" t="str">
        <f t="shared" si="107"/>
        <v>MINCHANG KIM</v>
      </c>
      <c r="F628" s="9"/>
      <c r="G628" s="3"/>
      <c r="H628" s="3"/>
      <c r="I628" s="8"/>
      <c r="J628" s="3"/>
      <c r="K628" s="3" t="s">
        <v>599</v>
      </c>
      <c r="L628" s="3"/>
      <c r="M628" s="8"/>
      <c r="N628" s="3"/>
      <c r="O628" s="3"/>
      <c r="P628" s="3"/>
      <c r="Q628" s="3" t="s">
        <v>949</v>
      </c>
      <c r="R628" s="3"/>
    </row>
    <row r="629" spans="1:18" ht="12.75">
      <c r="A629" s="14"/>
      <c r="B629" s="9"/>
      <c r="C629" s="10" t="str">
        <f t="shared" si="106"/>
        <v/>
      </c>
      <c r="D629" s="9"/>
      <c r="E629" s="9" t="str">
        <f t="shared" si="107"/>
        <v>JAEWOOK JOO</v>
      </c>
      <c r="F629" s="9"/>
      <c r="G629" s="3"/>
      <c r="H629" s="3"/>
      <c r="I629" s="8"/>
      <c r="J629" s="3"/>
      <c r="K629" s="3" t="s">
        <v>600</v>
      </c>
      <c r="L629" s="3"/>
      <c r="M629" s="8"/>
      <c r="N629" s="3"/>
      <c r="O629" s="3"/>
      <c r="P629" s="3"/>
      <c r="Q629" s="3" t="s">
        <v>950</v>
      </c>
      <c r="R629" s="3"/>
    </row>
    <row r="630" spans="1:18" ht="12.75">
      <c r="A630" s="14"/>
      <c r="B630" s="9"/>
      <c r="C630" s="10" t="str">
        <f t="shared" si="106"/>
        <v/>
      </c>
      <c r="D630" s="9"/>
      <c r="E630" s="9" t="str">
        <f t="shared" si="107"/>
        <v>NAMOK EU</v>
      </c>
      <c r="F630" s="9"/>
      <c r="G630" s="3"/>
      <c r="H630" s="3"/>
      <c r="I630" s="8"/>
      <c r="J630" s="3"/>
      <c r="K630" s="3" t="s">
        <v>601</v>
      </c>
      <c r="L630" s="3"/>
      <c r="M630" s="8"/>
      <c r="N630" s="3"/>
      <c r="O630" s="3"/>
      <c r="P630" s="3"/>
      <c r="Q630" s="3" t="s">
        <v>951</v>
      </c>
      <c r="R630" s="3"/>
    </row>
    <row r="631" spans="1:18" ht="12.75">
      <c r="A631" s="14"/>
      <c r="B631" s="9"/>
      <c r="C631" s="10" t="str">
        <f t="shared" si="106"/>
        <v/>
      </c>
      <c r="D631" s="9"/>
      <c r="E631" s="9" t="str">
        <f t="shared" si="107"/>
        <v>DAI JEONG</v>
      </c>
      <c r="F631" s="9"/>
      <c r="G631" s="3"/>
      <c r="H631" s="3"/>
      <c r="I631" s="8"/>
      <c r="J631" s="3"/>
      <c r="K631" s="3" t="s">
        <v>602</v>
      </c>
      <c r="L631" s="3"/>
      <c r="M631" s="8"/>
      <c r="N631" s="3"/>
      <c r="O631" s="3"/>
      <c r="P631" s="3"/>
      <c r="Q631" s="3" t="s">
        <v>952</v>
      </c>
      <c r="R631" s="3"/>
    </row>
    <row r="632" spans="1:18" ht="12.75">
      <c r="A632" s="14"/>
      <c r="B632" s="9"/>
      <c r="C632" s="10" t="str">
        <f t="shared" si="106"/>
        <v/>
      </c>
      <c r="D632" s="9"/>
      <c r="E632" s="9" t="str">
        <f t="shared" si="107"/>
        <v/>
      </c>
      <c r="F632" s="9"/>
      <c r="G632" s="3"/>
      <c r="H632" s="3"/>
      <c r="I632" s="8"/>
      <c r="J632" s="3"/>
      <c r="K632" s="3"/>
      <c r="L632" s="3"/>
      <c r="M632" s="8"/>
      <c r="N632" s="8"/>
      <c r="O632" s="8"/>
      <c r="P632" s="3"/>
      <c r="Q632" s="3"/>
      <c r="R632" s="3"/>
    </row>
    <row r="633" spans="1:18" ht="12.75">
      <c r="A633" s="14"/>
      <c r="B633" s="3"/>
      <c r="C633" s="12"/>
      <c r="D633" s="3"/>
      <c r="E633" s="11"/>
      <c r="F633" s="3"/>
      <c r="G633" s="3"/>
      <c r="H633" s="8"/>
      <c r="I633" s="8"/>
      <c r="J633" s="8"/>
      <c r="K633" s="13"/>
      <c r="L633" s="8"/>
      <c r="M633" s="8"/>
      <c r="N633" s="8"/>
      <c r="O633" s="8"/>
      <c r="P633" s="3"/>
      <c r="Q633" s="3"/>
      <c r="R633" s="3"/>
    </row>
    <row r="634" spans="1:18" ht="12.75">
      <c r="A634" s="14"/>
      <c r="B634" s="3"/>
      <c r="C634" s="12" t="str">
        <f>UPPER(I634)</f>
        <v/>
      </c>
      <c r="D634" s="11"/>
      <c r="E634" s="11" t="str">
        <f>UPPER(K634)</f>
        <v/>
      </c>
      <c r="F634" s="3"/>
      <c r="G634" s="3"/>
      <c r="H634" s="8"/>
      <c r="I634" s="8"/>
      <c r="J634" s="8"/>
      <c r="K634" s="13"/>
      <c r="L634" s="8"/>
      <c r="M634" s="8"/>
      <c r="N634" s="8"/>
      <c r="O634" s="8"/>
      <c r="P634" s="3"/>
      <c r="Q634" s="3"/>
      <c r="R634" s="3"/>
    </row>
    <row r="635" spans="1:18" ht="12.75">
      <c r="A635" s="14"/>
      <c r="B635" s="3"/>
      <c r="C635" s="3"/>
      <c r="D635" s="3"/>
      <c r="E635" s="3"/>
      <c r="F635" s="3"/>
      <c r="G635" s="3"/>
      <c r="H635" s="3"/>
      <c r="I635" s="8"/>
      <c r="J635" s="3"/>
      <c r="K635" s="3"/>
      <c r="L635" s="3"/>
      <c r="M635" s="3"/>
      <c r="N635" s="3"/>
      <c r="O635" s="8"/>
      <c r="P635" s="3"/>
      <c r="Q635" s="3"/>
      <c r="R635" s="3"/>
    </row>
    <row r="636" spans="1:18" ht="12.75"/>
    <row r="637" spans="1:18" ht="12.75"/>
    <row r="638" spans="1:18" ht="12.75"/>
    <row r="639" spans="1:18" ht="12.75"/>
    <row r="640" spans="1:18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</sheetData>
  <mergeCells count="197">
    <mergeCell ref="H371:L371"/>
    <mergeCell ref="N371:R371"/>
    <mergeCell ref="B388:F388"/>
    <mergeCell ref="H388:L388"/>
    <mergeCell ref="N388:R388"/>
    <mergeCell ref="N393:R393"/>
    <mergeCell ref="N399:R399"/>
    <mergeCell ref="B401:F401"/>
    <mergeCell ref="H289:L289"/>
    <mergeCell ref="N289:R289"/>
    <mergeCell ref="B267:F267"/>
    <mergeCell ref="H267:L267"/>
    <mergeCell ref="N267:R267"/>
    <mergeCell ref="B268:F268"/>
    <mergeCell ref="H268:L268"/>
    <mergeCell ref="N268:R268"/>
    <mergeCell ref="B289:F289"/>
    <mergeCell ref="H325:L325"/>
    <mergeCell ref="N325:R325"/>
    <mergeCell ref="B313:F313"/>
    <mergeCell ref="H313:L313"/>
    <mergeCell ref="N313:R313"/>
    <mergeCell ref="B314:F314"/>
    <mergeCell ref="H314:L314"/>
    <mergeCell ref="N314:R314"/>
    <mergeCell ref="B325:F325"/>
    <mergeCell ref="B331:F331"/>
    <mergeCell ref="H348:L348"/>
    <mergeCell ref="H349:L349"/>
    <mergeCell ref="B371:F371"/>
    <mergeCell ref="N466:R466"/>
    <mergeCell ref="N478:R478"/>
    <mergeCell ref="N479:R479"/>
    <mergeCell ref="N480:R480"/>
    <mergeCell ref="N496:R496"/>
    <mergeCell ref="H466:L466"/>
    <mergeCell ref="H469:L469"/>
    <mergeCell ref="B466:F466"/>
    <mergeCell ref="B478:F478"/>
    <mergeCell ref="H478:L478"/>
    <mergeCell ref="B479:F479"/>
    <mergeCell ref="H479:L479"/>
    <mergeCell ref="B496:F496"/>
    <mergeCell ref="H579:L579"/>
    <mergeCell ref="N579:R579"/>
    <mergeCell ref="B576:F576"/>
    <mergeCell ref="H576:L576"/>
    <mergeCell ref="N576:R576"/>
    <mergeCell ref="B577:F577"/>
    <mergeCell ref="H577:L577"/>
    <mergeCell ref="N577:R577"/>
    <mergeCell ref="B579:F579"/>
    <mergeCell ref="H605:L605"/>
    <mergeCell ref="N605:R605"/>
    <mergeCell ref="B602:F602"/>
    <mergeCell ref="H602:L602"/>
    <mergeCell ref="N602:R602"/>
    <mergeCell ref="B603:F603"/>
    <mergeCell ref="H603:L603"/>
    <mergeCell ref="N603:R603"/>
    <mergeCell ref="B605:F605"/>
    <mergeCell ref="B435:F435"/>
    <mergeCell ref="H435:L435"/>
    <mergeCell ref="N435:R435"/>
    <mergeCell ref="B453:F453"/>
    <mergeCell ref="H453:L453"/>
    <mergeCell ref="B454:F454"/>
    <mergeCell ref="B455:F455"/>
    <mergeCell ref="N455:R455"/>
    <mergeCell ref="N465:R465"/>
    <mergeCell ref="H454:L454"/>
    <mergeCell ref="H455:L455"/>
    <mergeCell ref="H458:L458"/>
    <mergeCell ref="B465:F465"/>
    <mergeCell ref="H465:L465"/>
    <mergeCell ref="N453:R453"/>
    <mergeCell ref="N454:R454"/>
    <mergeCell ref="H496:L496"/>
    <mergeCell ref="H522:L522"/>
    <mergeCell ref="N522:R522"/>
    <mergeCell ref="B507:F507"/>
    <mergeCell ref="H507:L507"/>
    <mergeCell ref="N507:R507"/>
    <mergeCell ref="B508:F508"/>
    <mergeCell ref="H508:L508"/>
    <mergeCell ref="N508:R508"/>
    <mergeCell ref="B522:F522"/>
    <mergeCell ref="H618:L618"/>
    <mergeCell ref="N618:R618"/>
    <mergeCell ref="B615:F615"/>
    <mergeCell ref="H615:L615"/>
    <mergeCell ref="N615:R615"/>
    <mergeCell ref="B616:F616"/>
    <mergeCell ref="H616:L616"/>
    <mergeCell ref="N616:R616"/>
    <mergeCell ref="B618:F618"/>
    <mergeCell ref="N153:R153"/>
    <mergeCell ref="N154:R154"/>
    <mergeCell ref="B132:F132"/>
    <mergeCell ref="H132:L132"/>
    <mergeCell ref="N132:R132"/>
    <mergeCell ref="B153:F153"/>
    <mergeCell ref="H153:L153"/>
    <mergeCell ref="B154:F154"/>
    <mergeCell ref="H154:L154"/>
    <mergeCell ref="H186:L186"/>
    <mergeCell ref="N186:R186"/>
    <mergeCell ref="B173:F173"/>
    <mergeCell ref="H173:L173"/>
    <mergeCell ref="N173:R173"/>
    <mergeCell ref="B174:F174"/>
    <mergeCell ref="H174:L174"/>
    <mergeCell ref="N174:R174"/>
    <mergeCell ref="B186:F186"/>
    <mergeCell ref="H206:L206"/>
    <mergeCell ref="N206:R206"/>
    <mergeCell ref="B190:F190"/>
    <mergeCell ref="H190:L190"/>
    <mergeCell ref="N190:R190"/>
    <mergeCell ref="B201:F201"/>
    <mergeCell ref="H201:L201"/>
    <mergeCell ref="N201:R201"/>
    <mergeCell ref="B206:F206"/>
    <mergeCell ref="H253:L253"/>
    <mergeCell ref="N253:R253"/>
    <mergeCell ref="B226:F226"/>
    <mergeCell ref="H226:L226"/>
    <mergeCell ref="N226:R226"/>
    <mergeCell ref="B227:F227"/>
    <mergeCell ref="H227:L227"/>
    <mergeCell ref="N227:R227"/>
    <mergeCell ref="B253:F253"/>
    <mergeCell ref="A1:R2"/>
    <mergeCell ref="B4:F4"/>
    <mergeCell ref="H4:L4"/>
    <mergeCell ref="N4:R4"/>
    <mergeCell ref="B25:F25"/>
    <mergeCell ref="H25:L25"/>
    <mergeCell ref="N25:R25"/>
    <mergeCell ref="B52:F52"/>
    <mergeCell ref="H52:L52"/>
    <mergeCell ref="N52:R52"/>
    <mergeCell ref="B53:F53"/>
    <mergeCell ref="H53:L53"/>
    <mergeCell ref="N53:R53"/>
    <mergeCell ref="B69:F69"/>
    <mergeCell ref="H91:L91"/>
    <mergeCell ref="N91:R91"/>
    <mergeCell ref="B70:F70"/>
    <mergeCell ref="H70:L70"/>
    <mergeCell ref="N70:R70"/>
    <mergeCell ref="B82:F82"/>
    <mergeCell ref="H82:L82"/>
    <mergeCell ref="N82:R82"/>
    <mergeCell ref="B91:F91"/>
    <mergeCell ref="H131:L131"/>
    <mergeCell ref="N131:R131"/>
    <mergeCell ref="B104:F104"/>
    <mergeCell ref="H104:L104"/>
    <mergeCell ref="N104:R104"/>
    <mergeCell ref="B105:F105"/>
    <mergeCell ref="H105:L105"/>
    <mergeCell ref="N105:R105"/>
    <mergeCell ref="B131:F131"/>
    <mergeCell ref="B290:F290"/>
    <mergeCell ref="H290:L290"/>
    <mergeCell ref="N290:R290"/>
    <mergeCell ref="H434:L434"/>
    <mergeCell ref="N434:R434"/>
    <mergeCell ref="B414:F414"/>
    <mergeCell ref="H414:L414"/>
    <mergeCell ref="N414:R414"/>
    <mergeCell ref="B415:F415"/>
    <mergeCell ref="H415:L415"/>
    <mergeCell ref="N415:R415"/>
    <mergeCell ref="B434:F434"/>
    <mergeCell ref="H331:L331"/>
    <mergeCell ref="N331:R331"/>
    <mergeCell ref="B334:F334"/>
    <mergeCell ref="B348:F348"/>
    <mergeCell ref="N348:R348"/>
    <mergeCell ref="B349:F349"/>
    <mergeCell ref="N349:R349"/>
    <mergeCell ref="H401:L401"/>
    <mergeCell ref="N401:R401"/>
    <mergeCell ref="B394:F394"/>
    <mergeCell ref="H394:L394"/>
    <mergeCell ref="N394:R394"/>
    <mergeCell ref="H551:L551"/>
    <mergeCell ref="N551:R551"/>
    <mergeCell ref="B548:F548"/>
    <mergeCell ref="H548:L548"/>
    <mergeCell ref="N548:R548"/>
    <mergeCell ref="B549:F549"/>
    <mergeCell ref="H549:L549"/>
    <mergeCell ref="N549:R549"/>
    <mergeCell ref="B551:F551"/>
  </mergeCells>
  <phoneticPr fontId="5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R766"/>
  <sheetViews>
    <sheetView workbookViewId="0">
      <pane ySplit="2" topLeftCell="A3" activePane="bottomLeft" state="frozen"/>
      <selection pane="bottomLeft" sqref="A1:R2"/>
    </sheetView>
  </sheetViews>
  <sheetFormatPr defaultColWidth="12.5703125" defaultRowHeight="15.75" customHeight="1"/>
  <cols>
    <col min="1" max="1" width="2.5703125" customWidth="1"/>
    <col min="2" max="2" width="20" customWidth="1"/>
    <col min="3" max="3" width="18.85546875" customWidth="1"/>
    <col min="4" max="4" width="1.42578125" customWidth="1"/>
    <col min="5" max="6" width="18.85546875" customWidth="1"/>
    <col min="7" max="7" width="1.42578125" customWidth="1"/>
    <col min="8" max="9" width="18.85546875" customWidth="1"/>
    <col min="10" max="10" width="1.42578125" customWidth="1"/>
    <col min="11" max="12" width="18.85546875" customWidth="1"/>
    <col min="13" max="13" width="1.42578125" customWidth="1"/>
    <col min="16" max="16" width="1.42578125" customWidth="1"/>
  </cols>
  <sheetData>
    <row r="1" spans="1:18" ht="12.75">
      <c r="A1" s="152" t="s">
        <v>742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</row>
    <row r="2" spans="1:18" ht="12.75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</row>
    <row r="3" spans="1:18" ht="12.75">
      <c r="A3" s="14"/>
      <c r="B3" s="4"/>
      <c r="C3" s="4"/>
      <c r="D3" s="4"/>
      <c r="E3" s="4"/>
      <c r="F3" s="4"/>
      <c r="G3" s="5"/>
      <c r="H3" s="96"/>
      <c r="I3" s="96"/>
      <c r="J3" s="96"/>
      <c r="K3" s="96"/>
      <c r="L3" s="96"/>
      <c r="M3" s="96"/>
      <c r="N3" s="96"/>
      <c r="O3" s="97"/>
      <c r="P3" s="96"/>
      <c r="Q3" s="96"/>
      <c r="R3" s="96"/>
    </row>
    <row r="4" spans="1:18" ht="18">
      <c r="A4" s="14"/>
      <c r="B4" s="150" t="str">
        <f>UPPER(H4)</f>
        <v>VOICE</v>
      </c>
      <c r="C4" s="141"/>
      <c r="D4" s="141"/>
      <c r="E4" s="141"/>
      <c r="F4" s="141"/>
      <c r="G4" s="18"/>
      <c r="H4" s="173" t="s">
        <v>157</v>
      </c>
      <c r="I4" s="141"/>
      <c r="J4" s="141"/>
      <c r="K4" s="141"/>
      <c r="L4" s="141"/>
      <c r="M4" s="98"/>
      <c r="N4" s="149" t="s">
        <v>777</v>
      </c>
      <c r="O4" s="141"/>
      <c r="P4" s="141"/>
      <c r="Q4" s="141"/>
      <c r="R4" s="141"/>
    </row>
    <row r="5" spans="1:18" ht="12.75">
      <c r="A5" s="14"/>
      <c r="B5" s="9"/>
      <c r="C5" s="10" t="str">
        <f t="shared" ref="C5:C24" si="0">UPPER(I5)</f>
        <v>MICHAEL</v>
      </c>
      <c r="D5" s="9"/>
      <c r="E5" s="9" t="str">
        <f t="shared" ref="E5:E23" si="1">UPPER(K5)</f>
        <v>MARC THOMPSON</v>
      </c>
      <c r="F5" s="9"/>
      <c r="G5" s="3"/>
      <c r="H5" s="73"/>
      <c r="I5" s="99" t="s">
        <v>158</v>
      </c>
      <c r="J5" s="73"/>
      <c r="K5" s="100" t="s">
        <v>10</v>
      </c>
      <c r="L5" s="73"/>
      <c r="M5" s="99"/>
      <c r="N5" s="99"/>
      <c r="O5" s="99" t="s">
        <v>778</v>
      </c>
      <c r="P5" s="73"/>
      <c r="Q5" s="73" t="s">
        <v>117</v>
      </c>
      <c r="R5" s="73"/>
    </row>
    <row r="6" spans="1:18" ht="12.75">
      <c r="A6" s="14"/>
      <c r="B6" s="9"/>
      <c r="C6" s="10" t="str">
        <f t="shared" si="0"/>
        <v>LUCY</v>
      </c>
      <c r="D6" s="9"/>
      <c r="E6" s="9" t="str">
        <f t="shared" si="1"/>
        <v>SAMANTHA COOPER</v>
      </c>
      <c r="F6" s="9"/>
      <c r="G6" s="3"/>
      <c r="H6" s="73"/>
      <c r="I6" s="99" t="s">
        <v>159</v>
      </c>
      <c r="J6" s="73"/>
      <c r="K6" s="100" t="s">
        <v>37</v>
      </c>
      <c r="L6" s="73"/>
      <c r="M6" s="99"/>
      <c r="N6" s="99"/>
      <c r="O6" s="99" t="s">
        <v>779</v>
      </c>
      <c r="P6" s="73"/>
      <c r="Q6" s="73" t="s">
        <v>118</v>
      </c>
      <c r="R6" s="73"/>
    </row>
    <row r="7" spans="1:18" ht="12.75">
      <c r="A7" s="14"/>
      <c r="B7" s="9"/>
      <c r="C7" s="10" t="str">
        <f t="shared" si="0"/>
        <v>NICK</v>
      </c>
      <c r="D7" s="9"/>
      <c r="E7" s="9" t="str">
        <f t="shared" si="1"/>
        <v>JAMES BROWN JR</v>
      </c>
      <c r="F7" s="9"/>
      <c r="G7" s="3"/>
      <c r="H7" s="73"/>
      <c r="I7" s="99" t="s">
        <v>42</v>
      </c>
      <c r="J7" s="73"/>
      <c r="K7" s="100" t="s">
        <v>43</v>
      </c>
      <c r="L7" s="73"/>
      <c r="M7" s="99"/>
      <c r="N7" s="99"/>
      <c r="O7" s="99" t="s">
        <v>119</v>
      </c>
      <c r="P7" s="73"/>
      <c r="Q7" s="73" t="s">
        <v>120</v>
      </c>
      <c r="R7" s="73"/>
    </row>
    <row r="8" spans="1:18" ht="12.75">
      <c r="A8" s="14"/>
      <c r="B8" s="9"/>
      <c r="C8" s="10" t="str">
        <f t="shared" si="0"/>
        <v>CRYING MAN</v>
      </c>
      <c r="D8" s="9"/>
      <c r="E8" s="9" t="str">
        <f t="shared" si="1"/>
        <v>BARRETT LEDDY</v>
      </c>
      <c r="F8" s="9"/>
      <c r="G8" s="3"/>
      <c r="H8" s="73"/>
      <c r="I8" s="99" t="s">
        <v>160</v>
      </c>
      <c r="J8" s="73"/>
      <c r="K8" s="100" t="s">
        <v>1</v>
      </c>
      <c r="L8" s="73"/>
      <c r="M8" s="99"/>
      <c r="N8" s="99"/>
      <c r="O8" s="99" t="s">
        <v>74</v>
      </c>
      <c r="P8" s="73"/>
      <c r="Q8" s="73" t="s">
        <v>75</v>
      </c>
      <c r="R8" s="73"/>
    </row>
    <row r="9" spans="1:18" ht="12.75">
      <c r="A9" s="14"/>
      <c r="B9" s="9"/>
      <c r="C9" s="10" t="str">
        <f t="shared" si="0"/>
        <v>LUCKY</v>
      </c>
      <c r="D9" s="9"/>
      <c r="E9" s="9" t="str">
        <f t="shared" si="1"/>
        <v>MARC THOMPSON</v>
      </c>
      <c r="F9" s="9"/>
      <c r="G9" s="3"/>
      <c r="H9" s="73"/>
      <c r="I9" s="99" t="s">
        <v>24</v>
      </c>
      <c r="J9" s="73"/>
      <c r="K9" s="100" t="s">
        <v>10</v>
      </c>
      <c r="L9" s="73"/>
      <c r="M9" s="99"/>
      <c r="N9" s="99"/>
      <c r="O9" s="99" t="s">
        <v>98</v>
      </c>
      <c r="P9" s="73"/>
      <c r="Q9" s="73" t="s">
        <v>79</v>
      </c>
      <c r="R9" s="73"/>
    </row>
    <row r="10" spans="1:18" ht="12.75">
      <c r="A10" s="14"/>
      <c r="B10" s="9"/>
      <c r="C10" s="10" t="str">
        <f t="shared" si="0"/>
        <v>TARA</v>
      </c>
      <c r="D10" s="9"/>
      <c r="E10" s="9" t="str">
        <f t="shared" si="1"/>
        <v>JUSTIS BOLDING</v>
      </c>
      <c r="F10" s="9"/>
      <c r="G10" s="3"/>
      <c r="H10" s="73"/>
      <c r="I10" s="101" t="s">
        <v>44</v>
      </c>
      <c r="J10" s="73"/>
      <c r="K10" s="100" t="s">
        <v>45</v>
      </c>
      <c r="L10" s="73"/>
      <c r="M10" s="99"/>
      <c r="N10" s="99"/>
      <c r="O10" s="99" t="s">
        <v>121</v>
      </c>
      <c r="P10" s="73"/>
      <c r="Q10" s="73" t="s">
        <v>87</v>
      </c>
      <c r="R10" s="73"/>
    </row>
    <row r="11" spans="1:18" ht="12.75">
      <c r="A11" s="14"/>
      <c r="B11" s="9"/>
      <c r="C11" s="10" t="str">
        <f t="shared" si="0"/>
        <v>COLTON</v>
      </c>
      <c r="D11" s="9"/>
      <c r="E11" s="9" t="str">
        <f t="shared" si="1"/>
        <v>JASON GRIFFITH</v>
      </c>
      <c r="F11" s="9"/>
      <c r="G11" s="3"/>
      <c r="H11" s="73"/>
      <c r="I11" s="101" t="s">
        <v>49</v>
      </c>
      <c r="J11" s="73"/>
      <c r="K11" s="73" t="s">
        <v>23</v>
      </c>
      <c r="L11" s="73"/>
      <c r="M11" s="99"/>
      <c r="N11" s="99"/>
      <c r="O11" s="99" t="s">
        <v>126</v>
      </c>
      <c r="P11" s="73"/>
      <c r="Q11" s="73" t="s">
        <v>127</v>
      </c>
      <c r="R11" s="73"/>
    </row>
    <row r="12" spans="1:18" ht="12.75">
      <c r="A12" s="14"/>
      <c r="B12" s="9"/>
      <c r="C12" s="10" t="str">
        <f t="shared" si="0"/>
        <v>MC CUFFIN</v>
      </c>
      <c r="D12" s="9"/>
      <c r="E12" s="9" t="str">
        <f t="shared" si="1"/>
        <v>BARRON BASS</v>
      </c>
      <c r="F12" s="9"/>
      <c r="G12" s="3"/>
      <c r="H12" s="73"/>
      <c r="I12" s="101" t="s">
        <v>605</v>
      </c>
      <c r="J12" s="73"/>
      <c r="K12" s="73" t="s">
        <v>59</v>
      </c>
      <c r="L12" s="73"/>
      <c r="M12" s="99"/>
      <c r="N12" s="99"/>
      <c r="O12" s="99" t="s">
        <v>975</v>
      </c>
      <c r="P12" s="73"/>
      <c r="Q12" s="73" t="s">
        <v>108</v>
      </c>
      <c r="R12" s="73"/>
    </row>
    <row r="13" spans="1:18" ht="12.75">
      <c r="A13" s="14"/>
      <c r="B13" s="9"/>
      <c r="C13" s="10" t="str">
        <f t="shared" si="0"/>
        <v>SUPER SCOTT</v>
      </c>
      <c r="D13" s="9"/>
      <c r="E13" s="9" t="str">
        <f t="shared" si="1"/>
        <v>ADIN RUDD</v>
      </c>
      <c r="F13" s="9"/>
      <c r="G13" s="3"/>
      <c r="H13" s="73"/>
      <c r="I13" s="99" t="s">
        <v>13</v>
      </c>
      <c r="J13" s="73"/>
      <c r="K13" s="102" t="s">
        <v>14</v>
      </c>
      <c r="L13" s="73"/>
      <c r="M13" s="99"/>
      <c r="N13" s="99"/>
      <c r="O13" s="99" t="s">
        <v>88</v>
      </c>
      <c r="P13" s="73"/>
      <c r="Q13" s="73" t="s">
        <v>79</v>
      </c>
      <c r="R13" s="73"/>
    </row>
    <row r="14" spans="1:18" ht="12.75">
      <c r="A14" s="14"/>
      <c r="B14" s="9"/>
      <c r="C14" s="10" t="str">
        <f t="shared" si="0"/>
        <v>KRISTA</v>
      </c>
      <c r="D14" s="9"/>
      <c r="E14" s="9" t="str">
        <f t="shared" si="1"/>
        <v>ZURI WASHINGTON</v>
      </c>
      <c r="F14" s="9"/>
      <c r="G14" s="3"/>
      <c r="H14" s="73"/>
      <c r="I14" s="103" t="s">
        <v>163</v>
      </c>
      <c r="J14" s="104"/>
      <c r="K14" s="104" t="s">
        <v>47</v>
      </c>
      <c r="L14" s="73"/>
      <c r="M14" s="99"/>
      <c r="N14" s="99"/>
      <c r="O14" s="99" t="s">
        <v>123</v>
      </c>
      <c r="P14" s="73"/>
      <c r="Q14" s="73" t="s">
        <v>87</v>
      </c>
      <c r="R14" s="73"/>
    </row>
    <row r="15" spans="1:18" ht="12.75">
      <c r="A15" s="14"/>
      <c r="B15" s="9"/>
      <c r="C15" s="10" t="str">
        <f t="shared" si="0"/>
        <v>TIMO</v>
      </c>
      <c r="D15" s="9"/>
      <c r="E15" s="9" t="str">
        <f t="shared" si="1"/>
        <v>AMANDA HUFFORD</v>
      </c>
      <c r="F15" s="9"/>
      <c r="G15" s="3"/>
      <c r="H15" s="73"/>
      <c r="I15" s="103" t="s">
        <v>46</v>
      </c>
      <c r="J15" s="105"/>
      <c r="K15" s="104" t="s">
        <v>18</v>
      </c>
      <c r="L15" s="73"/>
      <c r="M15" s="99"/>
      <c r="N15" s="99"/>
      <c r="O15" s="99" t="s">
        <v>122</v>
      </c>
      <c r="P15" s="73"/>
      <c r="Q15" s="73" t="s">
        <v>87</v>
      </c>
      <c r="R15" s="73"/>
    </row>
    <row r="16" spans="1:18" ht="12.75">
      <c r="A16" s="14"/>
      <c r="B16" s="9"/>
      <c r="C16" s="10" t="str">
        <f t="shared" si="0"/>
        <v>HONEY</v>
      </c>
      <c r="D16" s="9"/>
      <c r="E16" s="9" t="str">
        <f t="shared" si="1"/>
        <v>SARAH FAYE BEARD</v>
      </c>
      <c r="F16" s="9"/>
      <c r="G16" s="3"/>
      <c r="H16" s="73"/>
      <c r="I16" s="101" t="s">
        <v>66</v>
      </c>
      <c r="J16" s="100"/>
      <c r="K16" s="100" t="s">
        <v>67</v>
      </c>
      <c r="L16" s="73"/>
      <c r="M16" s="99"/>
      <c r="N16" s="99"/>
      <c r="O16" s="99" t="s">
        <v>142</v>
      </c>
      <c r="P16" s="73"/>
      <c r="Q16" s="73" t="s">
        <v>83</v>
      </c>
      <c r="R16" s="73"/>
    </row>
    <row r="17" spans="1:18" ht="12.75">
      <c r="A17" s="14"/>
      <c r="B17" s="9"/>
      <c r="C17" s="10" t="str">
        <f t="shared" si="0"/>
        <v>CYNTHIA</v>
      </c>
      <c r="D17" s="9"/>
      <c r="E17" s="9" t="str">
        <f t="shared" si="1"/>
        <v>MARY O'BRADY</v>
      </c>
      <c r="F17" s="9"/>
      <c r="G17" s="3"/>
      <c r="H17" s="73"/>
      <c r="I17" s="101" t="s">
        <v>68</v>
      </c>
      <c r="J17" s="100"/>
      <c r="K17" s="100" t="s">
        <v>69</v>
      </c>
      <c r="L17" s="73"/>
      <c r="M17" s="99"/>
      <c r="N17" s="99"/>
      <c r="O17" s="99" t="s">
        <v>143</v>
      </c>
      <c r="P17" s="73"/>
      <c r="Q17" s="73" t="s">
        <v>87</v>
      </c>
      <c r="R17" s="73"/>
    </row>
    <row r="18" spans="1:18" ht="12.75">
      <c r="A18" s="14"/>
      <c r="B18" s="9"/>
      <c r="C18" s="10" t="str">
        <f t="shared" si="0"/>
        <v>LEORA</v>
      </c>
      <c r="D18" s="9"/>
      <c r="E18" s="9" t="str">
        <f t="shared" si="1"/>
        <v>AMANDA HUFFORD</v>
      </c>
      <c r="F18" s="9"/>
      <c r="G18" s="3"/>
      <c r="H18" s="73"/>
      <c r="I18" s="99" t="s">
        <v>17</v>
      </c>
      <c r="J18" s="73"/>
      <c r="K18" s="102" t="s">
        <v>18</v>
      </c>
      <c r="L18" s="73"/>
      <c r="M18" s="99"/>
      <c r="N18" s="99"/>
      <c r="O18" s="99" t="s">
        <v>91</v>
      </c>
      <c r="P18" s="73"/>
      <c r="Q18" s="73" t="s">
        <v>92</v>
      </c>
      <c r="R18" s="73"/>
    </row>
    <row r="19" spans="1:18" ht="12.75">
      <c r="A19" s="14"/>
      <c r="B19" s="9"/>
      <c r="C19" s="10" t="str">
        <f t="shared" si="0"/>
        <v>JELLY KING</v>
      </c>
      <c r="D19" s="9"/>
      <c r="E19" s="9" t="str">
        <f t="shared" si="1"/>
        <v>MARC THOMPSON</v>
      </c>
      <c r="F19" s="9"/>
      <c r="G19" s="3"/>
      <c r="H19" s="73"/>
      <c r="I19" s="103" t="s">
        <v>29</v>
      </c>
      <c r="J19" s="104"/>
      <c r="K19" s="104" t="s">
        <v>10</v>
      </c>
      <c r="L19" s="73"/>
      <c r="M19" s="99"/>
      <c r="N19" s="99"/>
      <c r="O19" s="99" t="s">
        <v>105</v>
      </c>
      <c r="P19" s="73"/>
      <c r="Q19" s="73" t="s">
        <v>79</v>
      </c>
      <c r="R19" s="73"/>
    </row>
    <row r="20" spans="1:18" ht="12.75">
      <c r="A20" s="14"/>
      <c r="B20" s="9"/>
      <c r="C20" s="10" t="str">
        <f t="shared" si="0"/>
        <v>CARRIE</v>
      </c>
      <c r="D20" s="9"/>
      <c r="E20" s="9" t="str">
        <f t="shared" si="1"/>
        <v>SAMANTHA COOPER</v>
      </c>
      <c r="F20" s="9"/>
      <c r="G20" s="3"/>
      <c r="H20" s="73"/>
      <c r="I20" s="99" t="s">
        <v>36</v>
      </c>
      <c r="J20" s="73"/>
      <c r="K20" s="100" t="s">
        <v>37</v>
      </c>
      <c r="L20" s="73"/>
      <c r="M20" s="99"/>
      <c r="N20" s="99"/>
      <c r="O20" s="99" t="s">
        <v>114</v>
      </c>
      <c r="P20" s="73"/>
      <c r="Q20" s="73" t="s">
        <v>94</v>
      </c>
      <c r="R20" s="73"/>
    </row>
    <row r="21" spans="1:18" ht="12.75">
      <c r="A21" s="14"/>
      <c r="B21" s="9"/>
      <c r="C21" s="10" t="str">
        <f t="shared" si="0"/>
        <v>SKULL CRUSHER</v>
      </c>
      <c r="D21" s="9"/>
      <c r="E21" s="9" t="str">
        <f t="shared" si="1"/>
        <v>VALORY PIERCE</v>
      </c>
      <c r="F21" s="9"/>
      <c r="G21" s="3"/>
      <c r="H21" s="73"/>
      <c r="I21" s="101" t="s">
        <v>52</v>
      </c>
      <c r="J21" s="100"/>
      <c r="K21" s="100" t="s">
        <v>53</v>
      </c>
      <c r="L21" s="73"/>
      <c r="M21" s="99"/>
      <c r="N21" s="99"/>
      <c r="O21" s="99" t="s">
        <v>132</v>
      </c>
      <c r="P21" s="73"/>
      <c r="Q21" s="73" t="s">
        <v>972</v>
      </c>
      <c r="R21" s="73"/>
    </row>
    <row r="22" spans="1:18" ht="12.75">
      <c r="A22" s="14"/>
      <c r="B22" s="9"/>
      <c r="C22" s="10" t="str">
        <f t="shared" si="0"/>
        <v>KING BLOCKBUSTER</v>
      </c>
      <c r="D22" s="9"/>
      <c r="E22" s="9" t="str">
        <f t="shared" si="1"/>
        <v>BRENT MUKAI</v>
      </c>
      <c r="F22" s="9"/>
      <c r="G22" s="3"/>
      <c r="H22" s="73"/>
      <c r="I22" s="103" t="s">
        <v>56</v>
      </c>
      <c r="J22" s="104"/>
      <c r="K22" s="104" t="s">
        <v>57</v>
      </c>
      <c r="L22" s="73"/>
      <c r="M22" s="99"/>
      <c r="N22" s="99"/>
      <c r="O22" s="99" t="s">
        <v>134</v>
      </c>
      <c r="P22" s="73"/>
      <c r="Q22" s="73" t="s">
        <v>100</v>
      </c>
      <c r="R22" s="73"/>
    </row>
    <row r="23" spans="1:18" ht="12.75">
      <c r="A23" s="14"/>
      <c r="B23" s="9"/>
      <c r="C23" s="10" t="str">
        <f t="shared" si="0"/>
        <v>PAPA PRINCESS</v>
      </c>
      <c r="D23" s="9"/>
      <c r="E23" s="9" t="str">
        <f t="shared" si="1"/>
        <v>DINESH ALVIS</v>
      </c>
      <c r="F23" s="9"/>
      <c r="G23" s="3"/>
      <c r="H23" s="73"/>
      <c r="I23" s="101" t="s">
        <v>54</v>
      </c>
      <c r="J23" s="100"/>
      <c r="K23" s="100" t="s">
        <v>55</v>
      </c>
      <c r="L23" s="73"/>
      <c r="M23" s="99"/>
      <c r="N23" s="99"/>
      <c r="O23" s="99" t="s">
        <v>133</v>
      </c>
      <c r="P23" s="73"/>
      <c r="Q23" s="73" t="s">
        <v>75</v>
      </c>
      <c r="R23" s="73"/>
    </row>
    <row r="24" spans="1:18" ht="14.25">
      <c r="A24" s="14"/>
      <c r="B24" s="9"/>
      <c r="C24" s="10" t="str">
        <f t="shared" si="0"/>
        <v/>
      </c>
      <c r="D24" s="9"/>
      <c r="E24" s="9"/>
      <c r="F24" s="9"/>
      <c r="G24" s="3"/>
      <c r="H24" s="73"/>
      <c r="I24" s="99"/>
      <c r="J24" s="73"/>
      <c r="K24" s="106"/>
      <c r="L24" s="73"/>
      <c r="M24" s="99"/>
      <c r="N24" s="99"/>
      <c r="O24" s="99"/>
      <c r="P24" s="73"/>
      <c r="Q24" s="73"/>
      <c r="R24" s="73"/>
    </row>
    <row r="25" spans="1:18" ht="14.25">
      <c r="A25" s="14"/>
      <c r="B25" s="11"/>
      <c r="C25" s="12"/>
      <c r="D25" s="11"/>
      <c r="E25" s="11"/>
      <c r="F25" s="11"/>
      <c r="G25" s="3"/>
      <c r="H25" s="73"/>
      <c r="I25" s="99"/>
      <c r="J25" s="73"/>
      <c r="K25" s="106"/>
      <c r="L25" s="73"/>
      <c r="M25" s="99"/>
      <c r="N25" s="99"/>
      <c r="O25" s="99"/>
      <c r="P25" s="73"/>
      <c r="Q25" s="73"/>
      <c r="R25" s="73"/>
    </row>
    <row r="26" spans="1:18" ht="14.25">
      <c r="A26" s="14"/>
      <c r="B26" s="9"/>
      <c r="C26" s="10"/>
      <c r="D26" s="9"/>
      <c r="E26" s="9"/>
      <c r="F26" s="9"/>
      <c r="G26" s="3"/>
      <c r="H26" s="73"/>
      <c r="I26" s="99"/>
      <c r="J26" s="73"/>
      <c r="K26" s="106"/>
      <c r="L26" s="73"/>
      <c r="M26" s="99"/>
      <c r="N26" s="99"/>
      <c r="O26" s="99"/>
      <c r="P26" s="73"/>
      <c r="Q26" s="73"/>
      <c r="R26" s="73"/>
    </row>
    <row r="27" spans="1:18" ht="18">
      <c r="A27" s="14"/>
      <c r="B27" s="150" t="str">
        <f>UPPER(H27)</f>
        <v>VOICE</v>
      </c>
      <c r="C27" s="141"/>
      <c r="D27" s="141"/>
      <c r="E27" s="141"/>
      <c r="F27" s="141"/>
      <c r="G27" s="18"/>
      <c r="H27" s="173" t="s">
        <v>157</v>
      </c>
      <c r="I27" s="141"/>
      <c r="J27" s="141"/>
      <c r="K27" s="141"/>
      <c r="L27" s="141"/>
      <c r="M27" s="98"/>
      <c r="N27" s="149" t="s">
        <v>777</v>
      </c>
      <c r="O27" s="141"/>
      <c r="P27" s="141"/>
      <c r="Q27" s="141"/>
      <c r="R27" s="141"/>
    </row>
    <row r="28" spans="1:18" ht="12.75">
      <c r="A28" s="14"/>
      <c r="B28" s="9"/>
      <c r="C28" s="10" t="str">
        <f t="shared" ref="C28:C42" si="2">UPPER(I28)</f>
        <v>HOT BUTTON 81</v>
      </c>
      <c r="D28" s="9"/>
      <c r="E28" s="9" t="str">
        <f t="shared" ref="E28:E42" si="3">UPPER(K28)</f>
        <v>GIANNI MATRAGRANO</v>
      </c>
      <c r="F28" s="9"/>
      <c r="G28" s="3"/>
      <c r="H28" s="73"/>
      <c r="I28" s="103" t="s">
        <v>51</v>
      </c>
      <c r="J28" s="104"/>
      <c r="K28" s="104" t="s">
        <v>32</v>
      </c>
      <c r="L28" s="73"/>
      <c r="M28" s="99"/>
      <c r="N28" s="99"/>
      <c r="O28" s="99" t="s">
        <v>131</v>
      </c>
      <c r="P28" s="73"/>
      <c r="Q28" s="73" t="s">
        <v>102</v>
      </c>
      <c r="R28" s="73"/>
    </row>
    <row r="29" spans="1:18" ht="12.75">
      <c r="A29" s="14"/>
      <c r="B29" s="9"/>
      <c r="C29" s="10" t="str">
        <f t="shared" si="2"/>
        <v>HAIRY HARRY</v>
      </c>
      <c r="D29" s="9"/>
      <c r="E29" s="9" t="str">
        <f t="shared" si="3"/>
        <v>GIANNI MATRAGRANO</v>
      </c>
      <c r="F29" s="9"/>
      <c r="G29" s="3"/>
      <c r="H29" s="73"/>
      <c r="I29" s="99" t="s">
        <v>31</v>
      </c>
      <c r="J29" s="73"/>
      <c r="K29" s="104" t="s">
        <v>32</v>
      </c>
      <c r="L29" s="73"/>
      <c r="M29" s="99"/>
      <c r="N29" s="99"/>
      <c r="O29" s="99" t="s">
        <v>107</v>
      </c>
      <c r="P29" s="73"/>
      <c r="Q29" s="73" t="s">
        <v>108</v>
      </c>
      <c r="R29" s="73"/>
    </row>
    <row r="30" spans="1:18" ht="12.75">
      <c r="A30" s="14"/>
      <c r="B30" s="9"/>
      <c r="C30" s="10" t="str">
        <f t="shared" si="2"/>
        <v>25 CENT</v>
      </c>
      <c r="D30" s="9"/>
      <c r="E30" s="9" t="str">
        <f t="shared" si="3"/>
        <v>BARRETT LEDDY</v>
      </c>
      <c r="F30" s="9"/>
      <c r="G30" s="3"/>
      <c r="H30" s="73"/>
      <c r="I30" s="107" t="s">
        <v>30</v>
      </c>
      <c r="J30" s="105"/>
      <c r="K30" s="104" t="s">
        <v>1</v>
      </c>
      <c r="L30" s="73"/>
      <c r="M30" s="99"/>
      <c r="N30" s="99"/>
      <c r="O30" s="99" t="s">
        <v>106</v>
      </c>
      <c r="P30" s="73"/>
      <c r="Q30" s="73" t="s">
        <v>104</v>
      </c>
      <c r="R30" s="73"/>
    </row>
    <row r="31" spans="1:18" ht="12.75">
      <c r="A31" s="14"/>
      <c r="B31" s="9"/>
      <c r="C31" s="10" t="str">
        <f t="shared" si="2"/>
        <v>KAY-OH</v>
      </c>
      <c r="D31" s="9"/>
      <c r="E31" s="9" t="str">
        <f t="shared" si="3"/>
        <v>JENNY YOKOBORI</v>
      </c>
      <c r="F31" s="9"/>
      <c r="G31" s="3"/>
      <c r="H31" s="73"/>
      <c r="I31" s="101" t="s">
        <v>33</v>
      </c>
      <c r="J31" s="73"/>
      <c r="K31" s="102" t="s">
        <v>12</v>
      </c>
      <c r="L31" s="73"/>
      <c r="M31" s="99"/>
      <c r="N31" s="99"/>
      <c r="O31" s="99" t="s">
        <v>110</v>
      </c>
      <c r="P31" s="73"/>
      <c r="Q31" s="73" t="s">
        <v>111</v>
      </c>
      <c r="R31" s="73"/>
    </row>
    <row r="32" spans="1:18" ht="12.75">
      <c r="A32" s="14"/>
      <c r="B32" s="9"/>
      <c r="C32" s="10" t="str">
        <f t="shared" si="2"/>
        <v>KUNG-FU 7</v>
      </c>
      <c r="D32" s="9"/>
      <c r="E32" s="9" t="str">
        <f t="shared" si="3"/>
        <v xml:space="preserve">ALLEN WINTER </v>
      </c>
      <c r="F32" s="9"/>
      <c r="G32" s="3"/>
      <c r="H32" s="73"/>
      <c r="I32" s="101" t="s">
        <v>731</v>
      </c>
      <c r="J32" s="73"/>
      <c r="K32" s="108" t="s">
        <v>34</v>
      </c>
      <c r="L32" s="73"/>
      <c r="M32" s="99"/>
      <c r="N32" s="99"/>
      <c r="O32" s="99" t="s">
        <v>112</v>
      </c>
      <c r="P32" s="73"/>
      <c r="Q32" s="73" t="s">
        <v>100</v>
      </c>
      <c r="R32" s="73"/>
    </row>
    <row r="33" spans="1:18" ht="12.75">
      <c r="A33" s="14"/>
      <c r="B33" s="9"/>
      <c r="C33" s="10" t="str">
        <f t="shared" si="2"/>
        <v/>
      </c>
      <c r="D33" s="9"/>
      <c r="E33" s="9" t="str">
        <f t="shared" si="3"/>
        <v/>
      </c>
      <c r="F33" s="9"/>
      <c r="G33" s="3"/>
      <c r="H33" s="73"/>
      <c r="I33" s="99"/>
      <c r="J33" s="73"/>
      <c r="K33" s="105"/>
      <c r="L33" s="73"/>
      <c r="M33" s="99"/>
      <c r="N33" s="99"/>
      <c r="O33" s="99"/>
      <c r="P33" s="73"/>
      <c r="Q33" s="73"/>
      <c r="R33" s="73"/>
    </row>
    <row r="34" spans="1:18" ht="12.75">
      <c r="A34" s="14"/>
      <c r="B34" s="9"/>
      <c r="C34" s="10" t="str">
        <f t="shared" si="2"/>
        <v>OTHER VOICES</v>
      </c>
      <c r="D34" s="9"/>
      <c r="E34" s="9" t="str">
        <f t="shared" si="3"/>
        <v xml:space="preserve">ALLEN WINTER </v>
      </c>
      <c r="F34" s="9"/>
      <c r="G34" s="3"/>
      <c r="H34" s="73"/>
      <c r="I34" s="99" t="s">
        <v>165</v>
      </c>
      <c r="J34" s="73"/>
      <c r="K34" s="108" t="s">
        <v>34</v>
      </c>
      <c r="L34" s="73"/>
      <c r="M34" s="99"/>
      <c r="N34" s="99"/>
      <c r="O34" s="99" t="s">
        <v>782</v>
      </c>
      <c r="P34" s="73"/>
      <c r="Q34" s="73" t="s">
        <v>75</v>
      </c>
      <c r="R34" s="73"/>
    </row>
    <row r="35" spans="1:18" ht="12.75">
      <c r="A35" s="14"/>
      <c r="B35" s="9"/>
      <c r="C35" s="10" t="str">
        <f t="shared" si="2"/>
        <v/>
      </c>
      <c r="D35" s="9"/>
      <c r="E35" s="9" t="str">
        <f t="shared" si="3"/>
        <v>LUCAS SCHUNEMAN</v>
      </c>
      <c r="F35" s="9"/>
      <c r="G35" s="3"/>
      <c r="H35" s="73"/>
      <c r="I35" s="99"/>
      <c r="J35" s="73"/>
      <c r="K35" s="104" t="s">
        <v>4</v>
      </c>
      <c r="L35" s="73"/>
      <c r="M35" s="99"/>
      <c r="N35" s="99"/>
      <c r="O35" s="99"/>
      <c r="P35" s="73"/>
      <c r="Q35" s="73" t="s">
        <v>102</v>
      </c>
      <c r="R35" s="73"/>
    </row>
    <row r="36" spans="1:18" ht="12.75">
      <c r="A36" s="14"/>
      <c r="B36" s="9"/>
      <c r="C36" s="10" t="str">
        <f t="shared" si="2"/>
        <v/>
      </c>
      <c r="D36" s="9"/>
      <c r="E36" s="9" t="str">
        <f t="shared" si="3"/>
        <v>ADIN RUDD</v>
      </c>
      <c r="F36" s="9"/>
      <c r="G36" s="3"/>
      <c r="H36" s="73"/>
      <c r="I36" s="99"/>
      <c r="J36" s="73"/>
      <c r="K36" s="102" t="s">
        <v>14</v>
      </c>
      <c r="L36" s="73"/>
      <c r="M36" s="99"/>
      <c r="N36" s="99"/>
      <c r="O36" s="99"/>
      <c r="P36" s="73"/>
      <c r="Q36" s="73" t="s">
        <v>117</v>
      </c>
      <c r="R36" s="73"/>
    </row>
    <row r="37" spans="1:18" ht="12.75">
      <c r="A37" s="14"/>
      <c r="B37" s="9"/>
      <c r="C37" s="10" t="str">
        <f t="shared" si="2"/>
        <v/>
      </c>
      <c r="D37" s="9"/>
      <c r="E37" s="9" t="str">
        <f t="shared" si="3"/>
        <v>ROBB MOREIRA</v>
      </c>
      <c r="F37" s="9"/>
      <c r="G37" s="3"/>
      <c r="H37" s="73"/>
      <c r="I37" s="99"/>
      <c r="J37" s="73"/>
      <c r="K37" s="102" t="s">
        <v>6</v>
      </c>
      <c r="L37" s="73"/>
      <c r="M37" s="99"/>
      <c r="N37" s="99"/>
      <c r="O37" s="99"/>
      <c r="P37" s="73"/>
      <c r="Q37" s="73" t="s">
        <v>127</v>
      </c>
      <c r="R37" s="73"/>
    </row>
    <row r="38" spans="1:18" ht="12.75">
      <c r="A38" s="14"/>
      <c r="B38" s="9"/>
      <c r="C38" s="10" t="str">
        <f t="shared" si="2"/>
        <v/>
      </c>
      <c r="D38" s="9"/>
      <c r="E38" s="9" t="str">
        <f t="shared" si="3"/>
        <v>GIANNI MATRAGRANO</v>
      </c>
      <c r="F38" s="9"/>
      <c r="G38" s="3"/>
      <c r="H38" s="73"/>
      <c r="I38" s="99"/>
      <c r="J38" s="73"/>
      <c r="K38" s="104" t="s">
        <v>32</v>
      </c>
      <c r="L38" s="73"/>
      <c r="M38" s="99"/>
      <c r="N38" s="99"/>
      <c r="O38" s="99"/>
      <c r="P38" s="73"/>
      <c r="Q38" s="73"/>
      <c r="R38" s="73"/>
    </row>
    <row r="39" spans="1:18" ht="12.75">
      <c r="A39" s="14"/>
      <c r="B39" s="9"/>
      <c r="C39" s="10" t="str">
        <f t="shared" si="2"/>
        <v/>
      </c>
      <c r="D39" s="9"/>
      <c r="E39" s="9" t="str">
        <f t="shared" si="3"/>
        <v>AMANDA HUFFORD</v>
      </c>
      <c r="F39" s="9"/>
      <c r="G39" s="3"/>
      <c r="H39" s="73"/>
      <c r="I39" s="99"/>
      <c r="J39" s="73"/>
      <c r="K39" s="102" t="s">
        <v>18</v>
      </c>
      <c r="L39" s="73"/>
      <c r="M39" s="99"/>
      <c r="N39" s="99"/>
      <c r="O39" s="99"/>
      <c r="P39" s="73"/>
      <c r="Q39" s="73"/>
      <c r="R39" s="73"/>
    </row>
    <row r="40" spans="1:18" ht="12.75">
      <c r="A40" s="14"/>
      <c r="B40" s="9"/>
      <c r="C40" s="10" t="str">
        <f t="shared" si="2"/>
        <v/>
      </c>
      <c r="D40" s="9"/>
      <c r="E40" s="9" t="str">
        <f t="shared" si="3"/>
        <v>MARC THOMPSON</v>
      </c>
      <c r="F40" s="9"/>
      <c r="G40" s="3"/>
      <c r="H40" s="73"/>
      <c r="I40" s="99"/>
      <c r="J40" s="73"/>
      <c r="K40" s="100" t="s">
        <v>10</v>
      </c>
      <c r="L40" s="73"/>
      <c r="M40" s="99"/>
      <c r="N40" s="99"/>
      <c r="O40" s="99"/>
      <c r="P40" s="73"/>
      <c r="Q40" s="73"/>
      <c r="R40" s="73"/>
    </row>
    <row r="41" spans="1:18" ht="12.75">
      <c r="A41" s="14"/>
      <c r="B41" s="9"/>
      <c r="C41" s="10" t="str">
        <f t="shared" si="2"/>
        <v/>
      </c>
      <c r="D41" s="9"/>
      <c r="E41" s="9" t="str">
        <f t="shared" si="3"/>
        <v>SAMANTHA COOPER</v>
      </c>
      <c r="F41" s="9"/>
      <c r="G41" s="3"/>
      <c r="H41" s="73"/>
      <c r="I41" s="99"/>
      <c r="J41" s="73"/>
      <c r="K41" s="100" t="s">
        <v>37</v>
      </c>
      <c r="L41" s="73"/>
      <c r="M41" s="99"/>
      <c r="N41" s="99"/>
      <c r="O41" s="99"/>
      <c r="P41" s="73"/>
      <c r="Q41" s="73"/>
      <c r="R41" s="73"/>
    </row>
    <row r="42" spans="1:18" ht="12.75">
      <c r="A42" s="14"/>
      <c r="B42" s="9"/>
      <c r="C42" s="10" t="str">
        <f t="shared" si="2"/>
        <v/>
      </c>
      <c r="D42" s="9"/>
      <c r="E42" s="9" t="str">
        <f t="shared" si="3"/>
        <v>JASON GRIFFITH</v>
      </c>
      <c r="F42" s="9"/>
      <c r="G42" s="3"/>
      <c r="H42" s="73"/>
      <c r="I42" s="99"/>
      <c r="J42" s="73"/>
      <c r="K42" s="73" t="s">
        <v>23</v>
      </c>
      <c r="L42" s="73"/>
      <c r="M42" s="99"/>
      <c r="N42" s="99"/>
      <c r="O42" s="99"/>
      <c r="P42" s="73"/>
      <c r="Q42" s="73"/>
      <c r="R42" s="73"/>
    </row>
    <row r="43" spans="1:18" ht="12.75">
      <c r="A43" s="14"/>
      <c r="B43" s="9"/>
      <c r="C43" s="10"/>
      <c r="D43" s="9"/>
      <c r="E43" s="9"/>
      <c r="F43" s="9"/>
      <c r="G43" s="3"/>
      <c r="H43" s="73"/>
      <c r="I43" s="99"/>
      <c r="J43" s="73"/>
      <c r="K43" s="105"/>
      <c r="L43" s="73"/>
      <c r="M43" s="99"/>
      <c r="N43" s="99"/>
      <c r="O43" s="99"/>
      <c r="P43" s="73"/>
      <c r="Q43" s="73"/>
      <c r="R43" s="73"/>
    </row>
    <row r="44" spans="1:18" ht="12.75">
      <c r="A44" s="14"/>
      <c r="B44" s="11" t="str">
        <f t="shared" ref="B44:C44" si="4">UPPER(H44)</f>
        <v/>
      </c>
      <c r="C44" s="12" t="str">
        <f t="shared" si="4"/>
        <v/>
      </c>
      <c r="D44" s="11"/>
      <c r="E44" s="11" t="str">
        <f>UPPER(K44)</f>
        <v/>
      </c>
      <c r="F44" s="11"/>
      <c r="G44" s="3"/>
      <c r="H44" s="73"/>
      <c r="I44" s="99"/>
      <c r="J44" s="73"/>
      <c r="K44" s="109"/>
      <c r="L44" s="73"/>
      <c r="M44" s="99"/>
      <c r="N44" s="99"/>
      <c r="O44" s="99"/>
      <c r="P44" s="73"/>
      <c r="Q44" s="73"/>
      <c r="R44" s="73"/>
    </row>
    <row r="45" spans="1:18" ht="12.75">
      <c r="A45" s="14"/>
      <c r="B45" s="9"/>
      <c r="C45" s="10"/>
      <c r="D45" s="9"/>
      <c r="E45" s="9"/>
      <c r="F45" s="9"/>
      <c r="G45" s="3"/>
      <c r="H45" s="73"/>
      <c r="I45" s="99"/>
      <c r="J45" s="73"/>
      <c r="K45" s="73"/>
      <c r="L45" s="73"/>
      <c r="M45" s="99"/>
      <c r="N45" s="99"/>
      <c r="O45" s="99"/>
      <c r="P45" s="73"/>
      <c r="Q45" s="73"/>
      <c r="R45" s="73"/>
    </row>
    <row r="46" spans="1:18" ht="12.75">
      <c r="A46" s="14"/>
      <c r="B46" s="9"/>
      <c r="C46" s="10" t="str">
        <f t="shared" ref="C46:C60" si="5">UPPER(I46)</f>
        <v>DIRECTOR</v>
      </c>
      <c r="D46" s="9"/>
      <c r="E46" s="9" t="str">
        <f t="shared" ref="E46:E60" si="6">UPPER(K46)</f>
        <v>JOOGONG MAENG</v>
      </c>
      <c r="F46" s="9"/>
      <c r="G46" s="3"/>
      <c r="H46" s="73"/>
      <c r="I46" s="99" t="s">
        <v>168</v>
      </c>
      <c r="J46" s="73"/>
      <c r="K46" s="73" t="s">
        <v>148</v>
      </c>
      <c r="L46" s="73"/>
      <c r="M46" s="99"/>
      <c r="N46" s="99"/>
      <c r="O46" s="8" t="s">
        <v>783</v>
      </c>
      <c r="P46" s="3"/>
      <c r="Q46" s="3" t="s">
        <v>769</v>
      </c>
      <c r="R46" s="73"/>
    </row>
    <row r="47" spans="1:18" ht="12.75">
      <c r="A47" s="14"/>
      <c r="B47" s="9"/>
      <c r="C47" s="10" t="str">
        <f t="shared" si="5"/>
        <v/>
      </c>
      <c r="D47" s="9"/>
      <c r="E47" s="9" t="str">
        <f t="shared" si="6"/>
        <v/>
      </c>
      <c r="F47" s="9"/>
      <c r="G47" s="3"/>
      <c r="H47" s="73"/>
      <c r="I47" s="99"/>
      <c r="J47" s="73"/>
      <c r="K47" s="109"/>
      <c r="L47" s="73"/>
      <c r="M47" s="99"/>
      <c r="N47" s="99"/>
      <c r="O47" s="3"/>
      <c r="P47" s="3"/>
      <c r="Q47" s="3"/>
      <c r="R47" s="73"/>
    </row>
    <row r="48" spans="1:18" ht="12.75">
      <c r="A48" s="14"/>
      <c r="B48" s="9"/>
      <c r="C48" s="10" t="str">
        <f t="shared" si="5"/>
        <v>CO-DIRECTOR</v>
      </c>
      <c r="D48" s="9"/>
      <c r="E48" s="9" t="str">
        <f t="shared" si="6"/>
        <v>TAEWOOK KOH</v>
      </c>
      <c r="F48" s="9"/>
      <c r="G48" s="3"/>
      <c r="H48" s="73"/>
      <c r="I48" s="99" t="s">
        <v>169</v>
      </c>
      <c r="J48" s="73"/>
      <c r="K48" s="109" t="s">
        <v>149</v>
      </c>
      <c r="L48" s="73"/>
      <c r="M48" s="99"/>
      <c r="N48" s="99"/>
      <c r="O48" s="8" t="s">
        <v>784</v>
      </c>
      <c r="P48" s="3"/>
      <c r="Q48" s="3" t="s">
        <v>770</v>
      </c>
      <c r="R48" s="73"/>
    </row>
    <row r="49" spans="1:18" ht="12.75">
      <c r="A49" s="14"/>
      <c r="B49" s="9"/>
      <c r="C49" s="10" t="str">
        <f t="shared" si="5"/>
        <v/>
      </c>
      <c r="D49" s="9"/>
      <c r="E49" s="9" t="str">
        <f t="shared" si="6"/>
        <v/>
      </c>
      <c r="F49" s="9"/>
      <c r="G49" s="3"/>
      <c r="H49" s="73"/>
      <c r="I49" s="99"/>
      <c r="J49" s="73"/>
      <c r="K49" s="109"/>
      <c r="L49" s="73"/>
      <c r="M49" s="99"/>
      <c r="N49" s="99"/>
      <c r="O49" s="3"/>
      <c r="P49" s="3"/>
      <c r="Q49" s="3"/>
      <c r="R49" s="73"/>
    </row>
    <row r="50" spans="1:18" ht="12.75">
      <c r="A50" s="14"/>
      <c r="B50" s="9"/>
      <c r="C50" s="10" t="str">
        <f t="shared" si="5"/>
        <v>ASSISTANT DIRECTOR</v>
      </c>
      <c r="D50" s="9"/>
      <c r="E50" s="9" t="str">
        <f t="shared" si="6"/>
        <v>JEEHYUN KIM</v>
      </c>
      <c r="F50" s="9"/>
      <c r="G50" s="3"/>
      <c r="H50" s="73"/>
      <c r="I50" s="99" t="s">
        <v>170</v>
      </c>
      <c r="J50" s="73"/>
      <c r="K50" s="109" t="s">
        <v>150</v>
      </c>
      <c r="L50" s="73"/>
      <c r="M50" s="99"/>
      <c r="N50" s="99"/>
      <c r="O50" s="8" t="s">
        <v>785</v>
      </c>
      <c r="P50" s="3"/>
      <c r="Q50" s="3" t="s">
        <v>771</v>
      </c>
      <c r="R50" s="73"/>
    </row>
    <row r="51" spans="1:18" ht="12.75">
      <c r="A51" s="14"/>
      <c r="B51" s="9"/>
      <c r="C51" s="10" t="str">
        <f t="shared" si="5"/>
        <v/>
      </c>
      <c r="D51" s="9"/>
      <c r="E51" s="9" t="str">
        <f t="shared" si="6"/>
        <v/>
      </c>
      <c r="F51" s="9"/>
      <c r="G51" s="3"/>
      <c r="H51" s="73"/>
      <c r="I51" s="99"/>
      <c r="J51" s="73"/>
      <c r="K51" s="109"/>
      <c r="L51" s="73"/>
      <c r="M51" s="99"/>
      <c r="N51" s="99"/>
      <c r="O51" s="3"/>
      <c r="P51" s="3"/>
      <c r="Q51" s="3"/>
      <c r="R51" s="73"/>
    </row>
    <row r="52" spans="1:18" ht="12.75">
      <c r="A52" s="14"/>
      <c r="B52" s="9"/>
      <c r="C52" s="10" t="str">
        <f t="shared" si="5"/>
        <v>STORY SUPERVISOR</v>
      </c>
      <c r="D52" s="9"/>
      <c r="E52" s="9" t="str">
        <f t="shared" si="6"/>
        <v>TAEWOOK KOH</v>
      </c>
      <c r="F52" s="9"/>
      <c r="G52" s="3"/>
      <c r="H52" s="73"/>
      <c r="I52" s="99" t="s">
        <v>171</v>
      </c>
      <c r="J52" s="73"/>
      <c r="K52" s="109" t="s">
        <v>149</v>
      </c>
      <c r="L52" s="73"/>
      <c r="M52" s="73"/>
      <c r="N52" s="73"/>
      <c r="O52" s="8" t="s">
        <v>786</v>
      </c>
      <c r="P52" s="3"/>
      <c r="Q52" s="3" t="s">
        <v>770</v>
      </c>
      <c r="R52" s="73"/>
    </row>
    <row r="53" spans="1:18" ht="12.75">
      <c r="A53" s="14"/>
      <c r="B53" s="9"/>
      <c r="C53" s="10" t="str">
        <f t="shared" si="5"/>
        <v/>
      </c>
      <c r="D53" s="9"/>
      <c r="E53" s="9" t="str">
        <f t="shared" si="6"/>
        <v>JEEHYUN KIM</v>
      </c>
      <c r="F53" s="9"/>
      <c r="G53" s="3"/>
      <c r="H53" s="73"/>
      <c r="I53" s="99"/>
      <c r="J53" s="73"/>
      <c r="K53" s="109" t="s">
        <v>150</v>
      </c>
      <c r="L53" s="73"/>
      <c r="M53" s="99"/>
      <c r="N53" s="99"/>
      <c r="O53" s="3"/>
      <c r="P53" s="3"/>
      <c r="Q53" s="3" t="s">
        <v>771</v>
      </c>
      <c r="R53" s="73"/>
    </row>
    <row r="54" spans="1:18" ht="12.75">
      <c r="A54" s="14"/>
      <c r="B54" s="9"/>
      <c r="C54" s="10" t="str">
        <f t="shared" si="5"/>
        <v/>
      </c>
      <c r="D54" s="9"/>
      <c r="E54" s="9" t="str">
        <f t="shared" si="6"/>
        <v>JIWON OH</v>
      </c>
      <c r="F54" s="9"/>
      <c r="G54" s="3"/>
      <c r="H54" s="73"/>
      <c r="I54" s="99"/>
      <c r="J54" s="73"/>
      <c r="K54" s="109" t="s">
        <v>151</v>
      </c>
      <c r="L54" s="73"/>
      <c r="M54" s="99"/>
      <c r="N54" s="99"/>
      <c r="O54" s="3"/>
      <c r="P54" s="3"/>
      <c r="Q54" s="3" t="s">
        <v>774</v>
      </c>
      <c r="R54" s="73"/>
    </row>
    <row r="55" spans="1:18" ht="12.75">
      <c r="A55" s="14"/>
      <c r="B55" s="9"/>
      <c r="C55" s="10" t="str">
        <f t="shared" si="5"/>
        <v/>
      </c>
      <c r="D55" s="9"/>
      <c r="E55" s="9" t="str">
        <f t="shared" si="6"/>
        <v/>
      </c>
      <c r="F55" s="9"/>
      <c r="G55" s="3"/>
      <c r="H55" s="73"/>
      <c r="I55" s="99"/>
      <c r="J55" s="73"/>
      <c r="K55" s="109"/>
      <c r="L55" s="73"/>
      <c r="M55" s="99"/>
      <c r="N55" s="99"/>
      <c r="O55" s="3"/>
      <c r="P55" s="3"/>
      <c r="Q55" s="3"/>
      <c r="R55" s="73"/>
    </row>
    <row r="56" spans="1:18" ht="12.75">
      <c r="A56" s="14"/>
      <c r="B56" s="9"/>
      <c r="C56" s="10" t="str">
        <f t="shared" si="5"/>
        <v>STORY ARTIST</v>
      </c>
      <c r="D56" s="9"/>
      <c r="E56" s="9" t="str">
        <f t="shared" si="6"/>
        <v>WON HWANG</v>
      </c>
      <c r="F56" s="9"/>
      <c r="G56" s="3"/>
      <c r="H56" s="73"/>
      <c r="I56" s="99" t="s">
        <v>172</v>
      </c>
      <c r="J56" s="73"/>
      <c r="K56" s="109" t="s">
        <v>173</v>
      </c>
      <c r="L56" s="73"/>
      <c r="M56" s="99"/>
      <c r="N56" s="99"/>
      <c r="O56" s="8" t="s">
        <v>787</v>
      </c>
      <c r="P56" s="3"/>
      <c r="Q56" s="3" t="s">
        <v>788</v>
      </c>
      <c r="R56" s="73"/>
    </row>
    <row r="57" spans="1:18" ht="12.75">
      <c r="A57" s="14"/>
      <c r="B57" s="9"/>
      <c r="C57" s="10" t="str">
        <f t="shared" si="5"/>
        <v/>
      </c>
      <c r="D57" s="9"/>
      <c r="E57" s="9" t="str">
        <f t="shared" si="6"/>
        <v/>
      </c>
      <c r="F57" s="9"/>
      <c r="G57" s="3"/>
      <c r="H57" s="73"/>
      <c r="I57" s="99"/>
      <c r="J57" s="73"/>
      <c r="K57" s="109"/>
      <c r="L57" s="73"/>
      <c r="M57" s="73"/>
      <c r="N57" s="73"/>
      <c r="O57" s="8"/>
      <c r="P57" s="3"/>
      <c r="Q57" s="3"/>
      <c r="R57" s="73"/>
    </row>
    <row r="58" spans="1:18" ht="12.75">
      <c r="A58" s="14"/>
      <c r="B58" s="9"/>
      <c r="C58" s="10" t="str">
        <f t="shared" si="5"/>
        <v>STORY EDITOR</v>
      </c>
      <c r="D58" s="9"/>
      <c r="E58" s="9" t="str">
        <f t="shared" si="6"/>
        <v>JAKE GOLDMAN</v>
      </c>
      <c r="F58" s="9"/>
      <c r="G58" s="3"/>
      <c r="H58" s="73"/>
      <c r="I58" s="99" t="s">
        <v>174</v>
      </c>
      <c r="J58" s="73"/>
      <c r="K58" s="109" t="s">
        <v>155</v>
      </c>
      <c r="L58" s="73"/>
      <c r="M58" s="73"/>
      <c r="N58" s="73"/>
      <c r="O58" s="8" t="s">
        <v>789</v>
      </c>
      <c r="P58" s="3"/>
      <c r="Q58" s="3" t="s">
        <v>155</v>
      </c>
      <c r="R58" s="73"/>
    </row>
    <row r="59" spans="1:18" ht="12.75">
      <c r="A59" s="14"/>
      <c r="B59" s="9"/>
      <c r="C59" s="10" t="str">
        <f t="shared" si="5"/>
        <v>WRITTEN BY</v>
      </c>
      <c r="D59" s="9"/>
      <c r="E59" s="9" t="str">
        <f t="shared" si="6"/>
        <v>JAKE GOLDMAN</v>
      </c>
      <c r="F59" s="9"/>
      <c r="G59" s="3"/>
      <c r="H59" s="73"/>
      <c r="I59" s="99" t="s">
        <v>154</v>
      </c>
      <c r="J59" s="73"/>
      <c r="K59" s="109" t="s">
        <v>155</v>
      </c>
      <c r="L59" s="73"/>
      <c r="M59" s="73"/>
      <c r="N59" s="73"/>
      <c r="O59" s="8" t="s">
        <v>790</v>
      </c>
      <c r="P59" s="3"/>
      <c r="Q59" s="3" t="s">
        <v>155</v>
      </c>
      <c r="R59" s="73"/>
    </row>
    <row r="60" spans="1:18" ht="12.75">
      <c r="A60" s="14"/>
      <c r="B60" s="9"/>
      <c r="C60" s="10" t="str">
        <f t="shared" si="5"/>
        <v/>
      </c>
      <c r="D60" s="9"/>
      <c r="E60" s="9" t="str">
        <f t="shared" si="6"/>
        <v/>
      </c>
      <c r="F60" s="9"/>
      <c r="G60" s="3"/>
      <c r="H60" s="73"/>
      <c r="I60" s="99"/>
      <c r="J60" s="73"/>
      <c r="K60" s="109"/>
      <c r="L60" s="73"/>
      <c r="M60" s="73"/>
      <c r="N60" s="73"/>
      <c r="O60" s="99"/>
      <c r="P60" s="73"/>
      <c r="Q60" s="73"/>
      <c r="R60" s="73"/>
    </row>
    <row r="61" spans="1:18" ht="15">
      <c r="A61" s="14"/>
      <c r="B61" s="26"/>
      <c r="C61" s="26"/>
      <c r="D61" s="26"/>
      <c r="E61" s="26"/>
      <c r="F61" s="26"/>
      <c r="G61" s="3"/>
      <c r="H61" s="110"/>
      <c r="I61" s="99"/>
      <c r="J61" s="110"/>
      <c r="K61" s="110"/>
      <c r="L61" s="110"/>
      <c r="M61" s="73"/>
      <c r="N61" s="73"/>
      <c r="O61" s="99"/>
      <c r="P61" s="73"/>
      <c r="Q61" s="73"/>
      <c r="R61" s="73"/>
    </row>
    <row r="62" spans="1:18" ht="15">
      <c r="A62" s="14"/>
      <c r="B62" s="6"/>
      <c r="C62" s="6"/>
      <c r="D62" s="6"/>
      <c r="E62" s="6"/>
      <c r="F62" s="6"/>
      <c r="G62" s="3"/>
      <c r="H62" s="110"/>
      <c r="I62" s="99"/>
      <c r="J62" s="110"/>
      <c r="K62" s="110"/>
      <c r="L62" s="110"/>
      <c r="M62" s="73"/>
      <c r="N62" s="73"/>
      <c r="O62" s="99"/>
      <c r="P62" s="73"/>
      <c r="Q62" s="73"/>
      <c r="R62" s="73"/>
    </row>
    <row r="63" spans="1:18" ht="18">
      <c r="A63" s="14"/>
      <c r="B63" s="150" t="str">
        <f t="shared" ref="B63:B64" si="7">UPPER(H63)</f>
        <v>STORYBOARD</v>
      </c>
      <c r="C63" s="141"/>
      <c r="D63" s="141"/>
      <c r="E63" s="141"/>
      <c r="F63" s="141"/>
      <c r="G63" s="28"/>
      <c r="H63" s="173" t="s">
        <v>175</v>
      </c>
      <c r="I63" s="141"/>
      <c r="J63" s="141"/>
      <c r="K63" s="141"/>
      <c r="L63" s="141"/>
      <c r="M63" s="111"/>
      <c r="N63" s="149" t="s">
        <v>791</v>
      </c>
      <c r="O63" s="141"/>
      <c r="P63" s="141"/>
      <c r="Q63" s="141"/>
      <c r="R63" s="141"/>
    </row>
    <row r="64" spans="1:18" ht="15">
      <c r="A64" s="14"/>
      <c r="B64" s="146" t="str">
        <f t="shared" si="7"/>
        <v>STUDIO GOINDOL INC.</v>
      </c>
      <c r="C64" s="141"/>
      <c r="D64" s="141"/>
      <c r="E64" s="141"/>
      <c r="F64" s="141"/>
      <c r="G64" s="3"/>
      <c r="H64" s="177" t="s">
        <v>176</v>
      </c>
      <c r="I64" s="141"/>
      <c r="J64" s="141"/>
      <c r="K64" s="141"/>
      <c r="L64" s="141"/>
      <c r="M64" s="73"/>
      <c r="N64" s="145" t="s">
        <v>792</v>
      </c>
      <c r="O64" s="141"/>
      <c r="P64" s="141"/>
      <c r="Q64" s="141"/>
      <c r="R64" s="141"/>
    </row>
    <row r="65" spans="1:18" ht="12.75">
      <c r="A65" s="14"/>
      <c r="B65" s="9"/>
      <c r="C65" s="10"/>
      <c r="D65" s="9"/>
      <c r="E65" s="9"/>
      <c r="F65" s="9"/>
      <c r="G65" s="3"/>
      <c r="H65" s="73"/>
      <c r="I65" s="99"/>
      <c r="J65" s="73"/>
      <c r="K65" s="109"/>
      <c r="L65" s="73"/>
      <c r="M65" s="73"/>
      <c r="N65" s="3"/>
      <c r="O65" s="8"/>
      <c r="P65" s="3"/>
      <c r="Q65" s="3"/>
      <c r="R65" s="3"/>
    </row>
    <row r="66" spans="1:18" ht="12.75">
      <c r="A66" s="14"/>
      <c r="B66" s="9"/>
      <c r="C66" s="10" t="str">
        <f>UPPER(I66)</f>
        <v>STORYBOARD DIRECTOR</v>
      </c>
      <c r="D66" s="9"/>
      <c r="E66" s="9" t="str">
        <f>UPPER(K66)</f>
        <v>YOUNGKWANG JO</v>
      </c>
      <c r="F66" s="9"/>
      <c r="G66" s="3"/>
      <c r="H66" s="73"/>
      <c r="I66" s="101" t="s">
        <v>177</v>
      </c>
      <c r="J66" s="100"/>
      <c r="K66" s="100" t="s">
        <v>178</v>
      </c>
      <c r="L66" s="73"/>
      <c r="M66" s="73"/>
      <c r="N66" s="3"/>
      <c r="O66" s="8" t="s">
        <v>793</v>
      </c>
      <c r="P66" s="3"/>
      <c r="Q66" s="3" t="s">
        <v>794</v>
      </c>
      <c r="R66" s="3"/>
    </row>
    <row r="67" spans="1:18" ht="12.75">
      <c r="A67" s="14"/>
      <c r="B67" s="9"/>
      <c r="C67" s="10"/>
      <c r="D67" s="9"/>
      <c r="E67" s="9"/>
      <c r="F67" s="9"/>
      <c r="G67" s="3"/>
      <c r="H67" s="73"/>
      <c r="I67" s="99"/>
      <c r="J67" s="73"/>
      <c r="K67" s="109"/>
      <c r="L67" s="73"/>
      <c r="M67" s="73"/>
      <c r="N67" s="3"/>
      <c r="O67" s="8"/>
      <c r="P67" s="3"/>
      <c r="Q67" s="3"/>
      <c r="R67" s="3"/>
    </row>
    <row r="68" spans="1:18" ht="12.75">
      <c r="A68" s="14"/>
      <c r="B68" s="9"/>
      <c r="C68" s="10" t="str">
        <f t="shared" ref="C68:C70" si="8">UPPER(I68)</f>
        <v>STORYBOARD REVISIONIST</v>
      </c>
      <c r="D68" s="9"/>
      <c r="E68" s="9" t="str">
        <f t="shared" ref="E68:E71" si="9">UPPER(K68)</f>
        <v>GWANHOON CHUNG</v>
      </c>
      <c r="F68" s="9"/>
      <c r="G68" s="3"/>
      <c r="H68" s="73"/>
      <c r="I68" s="99" t="s">
        <v>182</v>
      </c>
      <c r="J68" s="73"/>
      <c r="K68" s="73" t="s">
        <v>743</v>
      </c>
      <c r="L68" s="73"/>
      <c r="M68" s="73"/>
      <c r="N68" s="3"/>
      <c r="O68" s="21" t="s">
        <v>957</v>
      </c>
      <c r="P68" s="3"/>
      <c r="Q68" s="3" t="s">
        <v>973</v>
      </c>
      <c r="R68" s="3"/>
    </row>
    <row r="69" spans="1:18" ht="12.75">
      <c r="A69" s="14"/>
      <c r="B69" s="9"/>
      <c r="C69" s="10" t="str">
        <f t="shared" si="8"/>
        <v/>
      </c>
      <c r="D69" s="9"/>
      <c r="E69" s="9" t="str">
        <f t="shared" si="9"/>
        <v>DEBORAH KANG</v>
      </c>
      <c r="F69" s="9"/>
      <c r="G69" s="3"/>
      <c r="H69" s="73"/>
      <c r="I69" s="99"/>
      <c r="J69" s="73"/>
      <c r="K69" s="104" t="s">
        <v>744</v>
      </c>
      <c r="L69" s="73"/>
      <c r="M69" s="73"/>
      <c r="N69" s="3"/>
      <c r="O69" s="8"/>
      <c r="P69" s="3"/>
      <c r="Q69" s="140" t="s">
        <v>974</v>
      </c>
      <c r="R69" s="3"/>
    </row>
    <row r="70" spans="1:18" ht="12.75">
      <c r="A70" s="14"/>
      <c r="B70" s="9"/>
      <c r="C70" s="10" t="str">
        <f t="shared" si="8"/>
        <v/>
      </c>
      <c r="D70" s="9"/>
      <c r="E70" s="9" t="str">
        <f t="shared" si="9"/>
        <v/>
      </c>
      <c r="F70" s="9"/>
      <c r="G70" s="3"/>
      <c r="H70" s="73"/>
      <c r="I70" s="99"/>
      <c r="J70" s="73"/>
      <c r="K70" s="104"/>
      <c r="L70" s="73"/>
      <c r="M70" s="73"/>
      <c r="N70" s="3"/>
      <c r="O70" s="21"/>
      <c r="P70" s="3"/>
      <c r="Q70" s="3"/>
      <c r="R70" s="3"/>
    </row>
    <row r="71" spans="1:18" ht="12.75">
      <c r="A71" s="14"/>
      <c r="B71" s="11" t="str">
        <f t="shared" ref="B71:C71" si="10">UPPER(H71)</f>
        <v/>
      </c>
      <c r="C71" s="12" t="str">
        <f t="shared" si="10"/>
        <v/>
      </c>
      <c r="D71" s="11"/>
      <c r="E71" s="11" t="str">
        <f t="shared" si="9"/>
        <v/>
      </c>
      <c r="F71" s="11"/>
      <c r="G71" s="3"/>
      <c r="H71" s="73"/>
      <c r="I71" s="99"/>
      <c r="J71" s="73"/>
      <c r="K71" s="109"/>
      <c r="L71" s="73"/>
      <c r="M71" s="73"/>
      <c r="N71" s="73"/>
      <c r="O71" s="99"/>
      <c r="P71" s="73"/>
      <c r="Q71" s="73"/>
      <c r="R71" s="73"/>
    </row>
    <row r="72" spans="1:18" ht="12.75">
      <c r="A72" s="14"/>
      <c r="B72" s="9"/>
      <c r="C72" s="10"/>
      <c r="D72" s="9"/>
      <c r="E72" s="9"/>
      <c r="F72" s="9"/>
      <c r="G72" s="3"/>
      <c r="H72" s="73"/>
      <c r="I72" s="99"/>
      <c r="J72" s="73"/>
      <c r="K72" s="73"/>
      <c r="L72" s="73"/>
      <c r="M72" s="99"/>
      <c r="N72" s="99"/>
      <c r="O72" s="99"/>
      <c r="P72" s="73"/>
      <c r="Q72" s="73"/>
      <c r="R72" s="73"/>
    </row>
    <row r="73" spans="1:18" ht="12.75">
      <c r="A73" s="14"/>
      <c r="B73" s="9"/>
      <c r="C73" s="10" t="str">
        <f t="shared" ref="C73:C80" si="11">UPPER(I73)</f>
        <v>PRODUCTION MANAGER</v>
      </c>
      <c r="D73" s="9"/>
      <c r="E73" s="9" t="str">
        <f t="shared" ref="E73:E80" si="12">UPPER(K73)</f>
        <v>SEMIN SHIN</v>
      </c>
      <c r="F73" s="9"/>
      <c r="G73" s="3"/>
      <c r="H73" s="73"/>
      <c r="I73" s="99" t="s">
        <v>152</v>
      </c>
      <c r="J73" s="73"/>
      <c r="K73" s="73" t="s">
        <v>153</v>
      </c>
      <c r="L73" s="73"/>
      <c r="M73" s="99"/>
      <c r="N73" s="99"/>
      <c r="O73" s="8" t="s">
        <v>775</v>
      </c>
      <c r="P73" s="3"/>
      <c r="Q73" s="3" t="s">
        <v>776</v>
      </c>
      <c r="R73" s="73"/>
    </row>
    <row r="74" spans="1:18" ht="12.75">
      <c r="A74" s="14"/>
      <c r="B74" s="9"/>
      <c r="C74" s="10" t="str">
        <f t="shared" si="11"/>
        <v/>
      </c>
      <c r="D74" s="9"/>
      <c r="E74" s="9" t="str">
        <f t="shared" si="12"/>
        <v/>
      </c>
      <c r="F74" s="9"/>
      <c r="G74" s="3"/>
      <c r="H74" s="73"/>
      <c r="I74" s="99"/>
      <c r="J74" s="73"/>
      <c r="K74" s="73"/>
      <c r="L74" s="73"/>
      <c r="M74" s="99"/>
      <c r="N74" s="99"/>
      <c r="O74" s="8"/>
      <c r="P74" s="3"/>
      <c r="Q74" s="3"/>
      <c r="R74" s="73"/>
    </row>
    <row r="75" spans="1:18" ht="12.75">
      <c r="A75" s="14"/>
      <c r="B75" s="9"/>
      <c r="C75" s="10" t="str">
        <f t="shared" si="11"/>
        <v>PRODUCTION COORDINATOR</v>
      </c>
      <c r="D75" s="9"/>
      <c r="E75" s="9" t="str">
        <f t="shared" si="12"/>
        <v>SEHUI JUNG</v>
      </c>
      <c r="F75" s="9"/>
      <c r="G75" s="3"/>
      <c r="H75" s="73"/>
      <c r="I75" s="99" t="s">
        <v>184</v>
      </c>
      <c r="J75" s="73"/>
      <c r="K75" s="73" t="s">
        <v>185</v>
      </c>
      <c r="L75" s="73"/>
      <c r="M75" s="73"/>
      <c r="N75" s="73"/>
      <c r="O75" s="8" t="s">
        <v>800</v>
      </c>
      <c r="P75" s="3"/>
      <c r="Q75" s="3" t="s">
        <v>801</v>
      </c>
      <c r="R75" s="73"/>
    </row>
    <row r="76" spans="1:18" ht="12.75">
      <c r="A76" s="14"/>
      <c r="B76" s="9"/>
      <c r="C76" s="10" t="str">
        <f t="shared" si="11"/>
        <v/>
      </c>
      <c r="D76" s="9"/>
      <c r="E76" s="9" t="str">
        <f t="shared" si="12"/>
        <v>CHRISTINA YOONJUNG HAN</v>
      </c>
      <c r="F76" s="9"/>
      <c r="G76" s="3"/>
      <c r="H76" s="73"/>
      <c r="I76" s="99"/>
      <c r="J76" s="73"/>
      <c r="K76" s="73" t="s">
        <v>186</v>
      </c>
      <c r="L76" s="73"/>
      <c r="M76" s="99"/>
      <c r="N76" s="99"/>
      <c r="O76" s="3"/>
      <c r="P76" s="3"/>
      <c r="Q76" s="3" t="s">
        <v>802</v>
      </c>
      <c r="R76" s="73"/>
    </row>
    <row r="77" spans="1:18" ht="12.75">
      <c r="A77" s="14"/>
      <c r="B77" s="9"/>
      <c r="C77" s="10" t="str">
        <f t="shared" si="11"/>
        <v/>
      </c>
      <c r="D77" s="9"/>
      <c r="E77" s="9" t="str">
        <f t="shared" si="12"/>
        <v>WOORI KO</v>
      </c>
      <c r="F77" s="9"/>
      <c r="G77" s="3"/>
      <c r="H77" s="73"/>
      <c r="I77" s="99"/>
      <c r="J77" s="73"/>
      <c r="K77" s="73" t="s">
        <v>187</v>
      </c>
      <c r="L77" s="73"/>
      <c r="M77" s="99"/>
      <c r="N77" s="99"/>
      <c r="O77" s="3"/>
      <c r="P77" s="3"/>
      <c r="Q77" s="3" t="s">
        <v>803</v>
      </c>
      <c r="R77" s="73"/>
    </row>
    <row r="78" spans="1:18" ht="12.75">
      <c r="A78" s="14"/>
      <c r="B78" s="9"/>
      <c r="C78" s="10" t="str">
        <f t="shared" si="11"/>
        <v/>
      </c>
      <c r="D78" s="9"/>
      <c r="E78" s="9" t="str">
        <f t="shared" si="12"/>
        <v>EUNHA HWANG</v>
      </c>
      <c r="F78" s="9"/>
      <c r="G78" s="3"/>
      <c r="H78" s="73"/>
      <c r="I78" s="99"/>
      <c r="J78" s="73"/>
      <c r="K78" s="73" t="s">
        <v>188</v>
      </c>
      <c r="L78" s="73"/>
      <c r="M78" s="99"/>
      <c r="N78" s="99"/>
      <c r="O78" s="3"/>
      <c r="P78" s="3"/>
      <c r="Q78" s="3" t="s">
        <v>804</v>
      </c>
      <c r="R78" s="73"/>
    </row>
    <row r="79" spans="1:18" ht="12.75">
      <c r="A79" s="14"/>
      <c r="B79" s="9"/>
      <c r="C79" s="10" t="str">
        <f t="shared" si="11"/>
        <v/>
      </c>
      <c r="D79" s="9"/>
      <c r="E79" s="9" t="str">
        <f t="shared" si="12"/>
        <v>YEONJAE KANG</v>
      </c>
      <c r="F79" s="9"/>
      <c r="G79" s="3"/>
      <c r="H79" s="73"/>
      <c r="I79" s="99"/>
      <c r="J79" s="73"/>
      <c r="K79" s="73" t="s">
        <v>189</v>
      </c>
      <c r="L79" s="73"/>
      <c r="M79" s="99"/>
      <c r="N79" s="99"/>
      <c r="O79" s="3"/>
      <c r="P79" s="3"/>
      <c r="Q79" s="3" t="s">
        <v>805</v>
      </c>
      <c r="R79" s="73"/>
    </row>
    <row r="80" spans="1:18" ht="12.75">
      <c r="A80" s="14"/>
      <c r="B80" s="9"/>
      <c r="C80" s="10" t="str">
        <f t="shared" si="11"/>
        <v/>
      </c>
      <c r="D80" s="9"/>
      <c r="E80" s="9" t="str">
        <f t="shared" si="12"/>
        <v>SKYE YONJI LEE</v>
      </c>
      <c r="F80" s="9"/>
      <c r="G80" s="3"/>
      <c r="H80" s="73"/>
      <c r="I80" s="99"/>
      <c r="J80" s="73"/>
      <c r="K80" s="73" t="s">
        <v>190</v>
      </c>
      <c r="L80" s="73"/>
      <c r="M80" s="99"/>
      <c r="N80" s="99"/>
      <c r="O80" s="3"/>
      <c r="P80" s="3"/>
      <c r="Q80" s="3" t="s">
        <v>806</v>
      </c>
      <c r="R80" s="73"/>
    </row>
    <row r="81" spans="1:18" ht="12.75">
      <c r="A81" s="14"/>
      <c r="B81" s="9"/>
      <c r="C81" s="10"/>
      <c r="D81" s="9"/>
      <c r="E81" s="9"/>
      <c r="F81" s="9"/>
      <c r="G81" s="3"/>
      <c r="H81" s="73"/>
      <c r="I81" s="99"/>
      <c r="J81" s="73"/>
      <c r="K81" s="73"/>
      <c r="L81" s="73"/>
      <c r="M81" s="99"/>
      <c r="N81" s="99"/>
      <c r="O81" s="99"/>
      <c r="P81" s="73"/>
      <c r="Q81" s="73"/>
      <c r="R81" s="73"/>
    </row>
    <row r="82" spans="1:18" ht="12.75">
      <c r="A82" s="14"/>
      <c r="B82" s="11" t="str">
        <f t="shared" ref="B82:C82" si="13">UPPER(H82)</f>
        <v/>
      </c>
      <c r="C82" s="12" t="str">
        <f t="shared" si="13"/>
        <v/>
      </c>
      <c r="D82" s="11"/>
      <c r="E82" s="11" t="str">
        <f>UPPER(K82)</f>
        <v/>
      </c>
      <c r="F82" s="11"/>
      <c r="G82" s="3"/>
      <c r="H82" s="73"/>
      <c r="I82" s="99"/>
      <c r="J82" s="73"/>
      <c r="K82" s="109"/>
      <c r="L82" s="73"/>
      <c r="M82" s="99"/>
      <c r="N82" s="99"/>
      <c r="O82" s="99"/>
      <c r="P82" s="73"/>
      <c r="Q82" s="73"/>
      <c r="R82" s="73"/>
    </row>
    <row r="83" spans="1:18" ht="15">
      <c r="A83" s="14"/>
      <c r="B83" s="146"/>
      <c r="C83" s="141"/>
      <c r="D83" s="141"/>
      <c r="E83" s="141"/>
      <c r="F83" s="141"/>
      <c r="G83" s="3"/>
      <c r="H83" s="73"/>
      <c r="I83" s="99"/>
      <c r="J83" s="73"/>
      <c r="K83" s="73"/>
      <c r="L83" s="73"/>
      <c r="M83" s="99"/>
      <c r="N83" s="99"/>
      <c r="O83" s="99"/>
      <c r="P83" s="73"/>
      <c r="Q83" s="73"/>
      <c r="R83" s="73"/>
    </row>
    <row r="84" spans="1:18" ht="18">
      <c r="A84" s="14"/>
      <c r="B84" s="150" t="str">
        <f>UPPER(H84)</f>
        <v>ART</v>
      </c>
      <c r="C84" s="141"/>
      <c r="D84" s="141"/>
      <c r="E84" s="141"/>
      <c r="F84" s="141"/>
      <c r="G84" s="28"/>
      <c r="H84" s="173" t="s">
        <v>191</v>
      </c>
      <c r="I84" s="141"/>
      <c r="J84" s="141"/>
      <c r="K84" s="141"/>
      <c r="L84" s="141"/>
      <c r="M84" s="112"/>
      <c r="N84" s="149" t="s">
        <v>807</v>
      </c>
      <c r="O84" s="141"/>
      <c r="P84" s="141"/>
      <c r="Q84" s="141"/>
      <c r="R84" s="141"/>
    </row>
    <row r="85" spans="1:18" ht="12.75">
      <c r="A85" s="14"/>
      <c r="B85" s="9"/>
      <c r="C85" s="10" t="str">
        <f t="shared" ref="C85:C88" si="14">UPPER(I85)</f>
        <v>CHARACTER DESIGN</v>
      </c>
      <c r="D85" s="9"/>
      <c r="E85" s="9" t="str">
        <f t="shared" ref="E85:E95" si="15">UPPER(K85)</f>
        <v>NANDABY KWON</v>
      </c>
      <c r="F85" s="9"/>
      <c r="G85" s="3"/>
      <c r="H85" s="73"/>
      <c r="I85" s="99" t="s">
        <v>192</v>
      </c>
      <c r="J85" s="73"/>
      <c r="K85" s="109" t="s">
        <v>193</v>
      </c>
      <c r="L85" s="73"/>
      <c r="M85" s="99"/>
      <c r="N85" s="3"/>
      <c r="O85" s="8" t="s">
        <v>808</v>
      </c>
      <c r="P85" s="3"/>
      <c r="Q85" s="3" t="s">
        <v>809</v>
      </c>
      <c r="R85" s="3"/>
    </row>
    <row r="86" spans="1:18" ht="12.75">
      <c r="A86" s="14"/>
      <c r="B86" s="9"/>
      <c r="C86" s="10" t="str">
        <f t="shared" si="14"/>
        <v/>
      </c>
      <c r="D86" s="9"/>
      <c r="E86" s="9" t="str">
        <f t="shared" si="15"/>
        <v>MANJOONG LEE</v>
      </c>
      <c r="F86" s="9"/>
      <c r="G86" s="3"/>
      <c r="H86" s="73"/>
      <c r="I86" s="99"/>
      <c r="J86" s="73"/>
      <c r="K86" s="109" t="s">
        <v>194</v>
      </c>
      <c r="L86" s="73"/>
      <c r="M86" s="99"/>
      <c r="N86" s="3"/>
      <c r="O86" s="3"/>
      <c r="P86" s="3"/>
      <c r="Q86" s="3" t="s">
        <v>810</v>
      </c>
      <c r="R86" s="3"/>
    </row>
    <row r="87" spans="1:18" ht="12.75">
      <c r="A87" s="14"/>
      <c r="B87" s="9"/>
      <c r="C87" s="10" t="str">
        <f t="shared" si="14"/>
        <v/>
      </c>
      <c r="D87" s="9"/>
      <c r="E87" s="9" t="str">
        <f t="shared" si="15"/>
        <v>HYUNSONG WE</v>
      </c>
      <c r="F87" s="9"/>
      <c r="G87" s="3"/>
      <c r="H87" s="73"/>
      <c r="I87" s="99"/>
      <c r="J87" s="73"/>
      <c r="K87" s="109" t="s">
        <v>195</v>
      </c>
      <c r="L87" s="73"/>
      <c r="M87" s="99"/>
      <c r="N87" s="3"/>
      <c r="O87" s="3"/>
      <c r="P87" s="3"/>
      <c r="Q87" s="3" t="s">
        <v>811</v>
      </c>
      <c r="R87" s="3"/>
    </row>
    <row r="88" spans="1:18" ht="12.75">
      <c r="A88" s="14"/>
      <c r="B88" s="9"/>
      <c r="C88" s="10" t="str">
        <f t="shared" si="14"/>
        <v/>
      </c>
      <c r="D88" s="9"/>
      <c r="E88" s="9" t="str">
        <f t="shared" si="15"/>
        <v>HEEGYEONG JUNG</v>
      </c>
      <c r="F88" s="9"/>
      <c r="G88" s="3"/>
      <c r="H88" s="73"/>
      <c r="I88" s="99"/>
      <c r="J88" s="73"/>
      <c r="K88" s="109" t="s">
        <v>196</v>
      </c>
      <c r="L88" s="73"/>
      <c r="M88" s="99"/>
      <c r="N88" s="3"/>
      <c r="O88" s="3"/>
      <c r="P88" s="3"/>
      <c r="Q88" s="3" t="s">
        <v>812</v>
      </c>
      <c r="R88" s="3"/>
    </row>
    <row r="89" spans="1:18" ht="12.75">
      <c r="A89" s="14"/>
      <c r="B89" s="9"/>
      <c r="C89" s="10"/>
      <c r="D89" s="9"/>
      <c r="E89" s="9" t="str">
        <f t="shared" si="15"/>
        <v>SUNGMIN JUNG</v>
      </c>
      <c r="F89" s="9"/>
      <c r="G89" s="3"/>
      <c r="H89" s="73"/>
      <c r="I89" s="99"/>
      <c r="J89" s="73"/>
      <c r="K89" s="73" t="s">
        <v>197</v>
      </c>
      <c r="L89" s="73"/>
      <c r="M89" s="99"/>
      <c r="N89" s="3"/>
      <c r="O89" s="3"/>
      <c r="P89" s="3"/>
      <c r="Q89" s="3" t="s">
        <v>813</v>
      </c>
      <c r="R89" s="3"/>
    </row>
    <row r="90" spans="1:18" ht="12.75">
      <c r="A90" s="14"/>
      <c r="B90" s="9"/>
      <c r="C90" s="10" t="str">
        <f t="shared" ref="C90:C91" si="16">UPPER(I90)</f>
        <v/>
      </c>
      <c r="D90" s="9"/>
      <c r="E90" s="9" t="str">
        <f t="shared" si="15"/>
        <v/>
      </c>
      <c r="F90" s="9"/>
      <c r="G90" s="3"/>
      <c r="H90" s="73"/>
      <c r="I90" s="99"/>
      <c r="J90" s="73"/>
      <c r="K90" s="109"/>
      <c r="L90" s="73"/>
      <c r="M90" s="99"/>
      <c r="N90" s="3"/>
      <c r="O90" s="8"/>
      <c r="P90" s="3"/>
      <c r="Q90" s="3"/>
      <c r="R90" s="3"/>
    </row>
    <row r="91" spans="1:18" ht="12.75">
      <c r="A91" s="14"/>
      <c r="B91" s="9"/>
      <c r="C91" s="10" t="str">
        <f t="shared" si="16"/>
        <v>SET DESIGN</v>
      </c>
      <c r="D91" s="9"/>
      <c r="E91" s="9" t="str">
        <f t="shared" si="15"/>
        <v>BOMI KIM</v>
      </c>
      <c r="F91" s="9"/>
      <c r="G91" s="3"/>
      <c r="H91" s="73"/>
      <c r="I91" s="99" t="s">
        <v>198</v>
      </c>
      <c r="J91" s="73"/>
      <c r="K91" s="109" t="s">
        <v>199</v>
      </c>
      <c r="L91" s="73"/>
      <c r="M91" s="99"/>
      <c r="N91" s="3"/>
      <c r="O91" s="8" t="s">
        <v>814</v>
      </c>
      <c r="P91" s="3"/>
      <c r="Q91" s="3" t="s">
        <v>815</v>
      </c>
      <c r="R91" s="3"/>
    </row>
    <row r="92" spans="1:18" ht="12.75">
      <c r="A92" s="14"/>
      <c r="B92" s="9"/>
      <c r="C92" s="10"/>
      <c r="D92" s="9"/>
      <c r="E92" s="9" t="str">
        <f t="shared" si="15"/>
        <v>CHANGRAE BAEK</v>
      </c>
      <c r="F92" s="9"/>
      <c r="G92" s="3"/>
      <c r="H92" s="73"/>
      <c r="I92" s="99"/>
      <c r="J92" s="73"/>
      <c r="K92" s="73" t="s">
        <v>200</v>
      </c>
      <c r="L92" s="73"/>
      <c r="M92" s="99"/>
      <c r="N92" s="3"/>
      <c r="O92" s="3"/>
      <c r="P92" s="3"/>
      <c r="Q92" s="3" t="s">
        <v>816</v>
      </c>
      <c r="R92" s="3"/>
    </row>
    <row r="93" spans="1:18" ht="12.75">
      <c r="A93" s="14"/>
      <c r="B93" s="9"/>
      <c r="C93" s="10"/>
      <c r="D93" s="9"/>
      <c r="E93" s="9" t="str">
        <f t="shared" si="15"/>
        <v>SUNYOUNG PARK</v>
      </c>
      <c r="F93" s="9"/>
      <c r="G93" s="3"/>
      <c r="H93" s="73"/>
      <c r="I93" s="99"/>
      <c r="J93" s="73"/>
      <c r="K93" s="73" t="s">
        <v>201</v>
      </c>
      <c r="L93" s="73"/>
      <c r="M93" s="99"/>
      <c r="N93" s="3"/>
      <c r="O93" s="3"/>
      <c r="P93" s="3"/>
      <c r="Q93" s="3" t="s">
        <v>817</v>
      </c>
      <c r="R93" s="3"/>
    </row>
    <row r="94" spans="1:18" ht="12.75">
      <c r="A94" s="14"/>
      <c r="B94" s="9"/>
      <c r="C94" s="10"/>
      <c r="D94" s="9"/>
      <c r="E94" s="9" t="str">
        <f t="shared" si="15"/>
        <v/>
      </c>
      <c r="F94" s="9"/>
      <c r="G94" s="3"/>
      <c r="H94" s="73"/>
      <c r="I94" s="99"/>
      <c r="J94" s="73"/>
      <c r="K94" s="73"/>
      <c r="L94" s="73"/>
      <c r="M94" s="99"/>
      <c r="N94" s="99"/>
      <c r="O94" s="99"/>
      <c r="P94" s="73"/>
      <c r="Q94" s="73"/>
      <c r="R94" s="73"/>
    </row>
    <row r="95" spans="1:18" ht="12.75">
      <c r="A95" s="14"/>
      <c r="B95" s="9"/>
      <c r="C95" s="10" t="str">
        <f>UPPER(I95)</f>
        <v/>
      </c>
      <c r="D95" s="9"/>
      <c r="E95" s="9" t="str">
        <f t="shared" si="15"/>
        <v/>
      </c>
      <c r="F95" s="9"/>
      <c r="G95" s="3"/>
      <c r="H95" s="73"/>
      <c r="I95" s="99"/>
      <c r="J95" s="73"/>
      <c r="K95" s="109"/>
      <c r="L95" s="73"/>
      <c r="M95" s="99"/>
      <c r="N95" s="99"/>
      <c r="O95" s="99"/>
      <c r="P95" s="73"/>
      <c r="Q95" s="73"/>
      <c r="R95" s="73"/>
    </row>
    <row r="96" spans="1:18" ht="15">
      <c r="A96" s="14"/>
      <c r="B96" s="146" t="str">
        <f>UPPER(H96)</f>
        <v>THE MONK STUDIOS</v>
      </c>
      <c r="C96" s="141"/>
      <c r="D96" s="141"/>
      <c r="E96" s="141"/>
      <c r="F96" s="141"/>
      <c r="G96" s="3"/>
      <c r="H96" s="176" t="s">
        <v>202</v>
      </c>
      <c r="I96" s="141"/>
      <c r="J96" s="141"/>
      <c r="K96" s="141"/>
      <c r="L96" s="141"/>
      <c r="M96" s="99"/>
      <c r="N96" s="176" t="s">
        <v>202</v>
      </c>
      <c r="O96" s="141"/>
      <c r="P96" s="141"/>
      <c r="Q96" s="141"/>
      <c r="R96" s="141"/>
    </row>
    <row r="97" spans="1:18" ht="12.75">
      <c r="A97" s="14"/>
      <c r="B97" s="9"/>
      <c r="C97" s="10"/>
      <c r="D97" s="9"/>
      <c r="E97" s="9"/>
      <c r="F97" s="9"/>
      <c r="G97" s="3"/>
      <c r="H97" s="73"/>
      <c r="I97" s="103"/>
      <c r="J97" s="73"/>
      <c r="K97" s="113"/>
      <c r="L97" s="73"/>
      <c r="M97" s="99"/>
      <c r="N97" s="73"/>
      <c r="O97" s="103"/>
      <c r="P97" s="73"/>
      <c r="Q97" s="113"/>
      <c r="R97" s="73"/>
    </row>
    <row r="98" spans="1:18" ht="12.75">
      <c r="A98" s="14"/>
      <c r="B98" s="9"/>
      <c r="C98" s="10" t="str">
        <f t="shared" ref="C98:C101" si="17">UPPER(I98)</f>
        <v>CONCEPT ARTIST</v>
      </c>
      <c r="D98" s="9"/>
      <c r="E98" s="9" t="str">
        <f t="shared" ref="E98:E101" si="18">UPPER(K98)</f>
        <v>WANICHAYA PHRAEJUNYA</v>
      </c>
      <c r="F98" s="9"/>
      <c r="G98" s="3"/>
      <c r="H98" s="73"/>
      <c r="I98" s="114" t="s">
        <v>203</v>
      </c>
      <c r="J98" s="73"/>
      <c r="K98" s="113" t="s">
        <v>610</v>
      </c>
      <c r="L98" s="73"/>
      <c r="M98" s="99"/>
      <c r="N98" s="73"/>
      <c r="O98" s="114" t="s">
        <v>203</v>
      </c>
      <c r="P98" s="73"/>
      <c r="Q98" s="113" t="s">
        <v>610</v>
      </c>
      <c r="R98" s="73"/>
    </row>
    <row r="99" spans="1:18" ht="12.75">
      <c r="A99" s="14"/>
      <c r="B99" s="9"/>
      <c r="C99" s="10" t="str">
        <f t="shared" si="17"/>
        <v/>
      </c>
      <c r="D99" s="9"/>
      <c r="E99" s="9" t="str">
        <f t="shared" si="18"/>
        <v>PAKORN THONGKWANJAI</v>
      </c>
      <c r="F99" s="9"/>
      <c r="G99" s="3"/>
      <c r="H99" s="73"/>
      <c r="I99" s="99"/>
      <c r="J99" s="73"/>
      <c r="K99" s="113" t="s">
        <v>205</v>
      </c>
      <c r="L99" s="73"/>
      <c r="M99" s="99"/>
      <c r="N99" s="73"/>
      <c r="O99" s="99"/>
      <c r="P99" s="73"/>
      <c r="Q99" s="113" t="s">
        <v>205</v>
      </c>
      <c r="R99" s="73"/>
    </row>
    <row r="100" spans="1:18" ht="12.75">
      <c r="A100" s="14"/>
      <c r="B100" s="9"/>
      <c r="C100" s="10" t="str">
        <f t="shared" si="17"/>
        <v/>
      </c>
      <c r="D100" s="9"/>
      <c r="E100" s="9" t="str">
        <f t="shared" si="18"/>
        <v>SURACHART YAMKUNTONG</v>
      </c>
      <c r="F100" s="9"/>
      <c r="G100" s="3"/>
      <c r="H100" s="73"/>
      <c r="I100" s="99"/>
      <c r="J100" s="73"/>
      <c r="K100" s="113" t="s">
        <v>206</v>
      </c>
      <c r="L100" s="73"/>
      <c r="M100" s="99"/>
      <c r="N100" s="73"/>
      <c r="O100" s="99"/>
      <c r="P100" s="73"/>
      <c r="Q100" s="113" t="s">
        <v>206</v>
      </c>
      <c r="R100" s="73"/>
    </row>
    <row r="101" spans="1:18" ht="12.75">
      <c r="A101" s="14"/>
      <c r="B101" s="9"/>
      <c r="C101" s="10" t="str">
        <f t="shared" si="17"/>
        <v/>
      </c>
      <c r="D101" s="9"/>
      <c r="E101" s="9" t="str">
        <f t="shared" si="18"/>
        <v>BURATOUCH THONGPHISITSOMBAT</v>
      </c>
      <c r="F101" s="9"/>
      <c r="G101" s="3"/>
      <c r="H101" s="73"/>
      <c r="I101" s="99"/>
      <c r="J101" s="73"/>
      <c r="K101" s="113" t="s">
        <v>207</v>
      </c>
      <c r="L101" s="73"/>
      <c r="M101" s="99"/>
      <c r="N101" s="73"/>
      <c r="O101" s="99"/>
      <c r="P101" s="73"/>
      <c r="Q101" s="113" t="s">
        <v>207</v>
      </c>
      <c r="R101" s="73"/>
    </row>
    <row r="102" spans="1:18" ht="12.75">
      <c r="A102" s="14"/>
      <c r="B102" s="9"/>
      <c r="C102" s="10"/>
      <c r="D102" s="9"/>
      <c r="E102" s="9"/>
      <c r="F102" s="9"/>
      <c r="G102" s="3"/>
      <c r="H102" s="73"/>
      <c r="I102" s="99"/>
      <c r="J102" s="73"/>
      <c r="K102" s="113"/>
      <c r="L102" s="73"/>
      <c r="M102" s="99"/>
      <c r="N102" s="99"/>
      <c r="O102" s="99"/>
      <c r="P102" s="73"/>
      <c r="Q102" s="73"/>
      <c r="R102" s="73"/>
    </row>
    <row r="103" spans="1:18" ht="15">
      <c r="A103" s="14"/>
      <c r="B103" s="26"/>
      <c r="C103" s="26"/>
      <c r="D103" s="26"/>
      <c r="E103" s="26"/>
      <c r="F103" s="26"/>
      <c r="G103" s="3"/>
      <c r="H103" s="96"/>
      <c r="I103" s="97"/>
      <c r="J103" s="96"/>
      <c r="K103" s="115"/>
      <c r="L103" s="96"/>
      <c r="M103" s="99"/>
      <c r="N103" s="99"/>
      <c r="O103" s="99"/>
      <c r="P103" s="73"/>
      <c r="Q103" s="73"/>
      <c r="R103" s="73"/>
    </row>
    <row r="104" spans="1:18" ht="15">
      <c r="A104" s="14"/>
      <c r="B104" s="6"/>
      <c r="C104" s="6"/>
      <c r="D104" s="6"/>
      <c r="E104" s="6"/>
      <c r="F104" s="6"/>
      <c r="G104" s="3"/>
      <c r="H104" s="96"/>
      <c r="I104" s="97"/>
      <c r="J104" s="96"/>
      <c r="K104" s="115"/>
      <c r="L104" s="96"/>
      <c r="M104" s="99"/>
      <c r="N104" s="99"/>
      <c r="O104" s="99"/>
      <c r="P104" s="73"/>
      <c r="Q104" s="73"/>
      <c r="R104" s="73"/>
    </row>
    <row r="105" spans="1:18" ht="18">
      <c r="A105" s="14"/>
      <c r="B105" s="150" t="str">
        <f>UPPER(H105)</f>
        <v xml:space="preserve">ASSET </v>
      </c>
      <c r="C105" s="141"/>
      <c r="D105" s="141"/>
      <c r="E105" s="141"/>
      <c r="F105" s="141"/>
      <c r="G105" s="28"/>
      <c r="H105" s="173" t="s">
        <v>208</v>
      </c>
      <c r="I105" s="141"/>
      <c r="J105" s="141"/>
      <c r="K105" s="141"/>
      <c r="L105" s="141"/>
      <c r="M105" s="112"/>
      <c r="N105" s="149" t="s">
        <v>818</v>
      </c>
      <c r="O105" s="141"/>
      <c r="P105" s="141"/>
      <c r="Q105" s="141"/>
      <c r="R105" s="141"/>
    </row>
    <row r="106" spans="1:18" ht="12.75">
      <c r="A106" s="14"/>
      <c r="B106" s="9"/>
      <c r="C106" s="10" t="str">
        <f t="shared" ref="C106:C114" si="19">UPPER(I106)</f>
        <v>ASSET SUPERVISOR</v>
      </c>
      <c r="D106" s="9"/>
      <c r="E106" s="9" t="str">
        <f t="shared" ref="E106:E114" si="20">UPPER(K106)</f>
        <v>SANGWOO NAM</v>
      </c>
      <c r="F106" s="9"/>
      <c r="G106" s="3"/>
      <c r="H106" s="73"/>
      <c r="I106" s="99" t="s">
        <v>209</v>
      </c>
      <c r="J106" s="73"/>
      <c r="K106" s="73" t="s">
        <v>210</v>
      </c>
      <c r="L106" s="73"/>
      <c r="M106" s="99"/>
      <c r="N106" s="8"/>
      <c r="O106" s="8" t="s">
        <v>819</v>
      </c>
      <c r="P106" s="3"/>
      <c r="Q106" s="3" t="s">
        <v>820</v>
      </c>
      <c r="R106" s="3"/>
    </row>
    <row r="107" spans="1:18" ht="12.75">
      <c r="A107" s="14"/>
      <c r="B107" s="9"/>
      <c r="C107" s="10" t="str">
        <f t="shared" si="19"/>
        <v/>
      </c>
      <c r="D107" s="9"/>
      <c r="E107" s="9" t="str">
        <f t="shared" si="20"/>
        <v/>
      </c>
      <c r="F107" s="9"/>
      <c r="G107" s="3"/>
      <c r="H107" s="73"/>
      <c r="I107" s="99"/>
      <c r="J107" s="73"/>
      <c r="K107" s="73"/>
      <c r="L107" s="73"/>
      <c r="M107" s="99"/>
      <c r="N107" s="8"/>
      <c r="O107" s="21"/>
      <c r="P107" s="3"/>
      <c r="Q107" s="3"/>
      <c r="R107" s="3"/>
    </row>
    <row r="108" spans="1:18" ht="12.75">
      <c r="A108" s="14"/>
      <c r="B108" s="9"/>
      <c r="C108" s="10" t="str">
        <f t="shared" si="19"/>
        <v>MODELING SUPERVISOR</v>
      </c>
      <c r="D108" s="9"/>
      <c r="E108" s="9" t="str">
        <f t="shared" si="20"/>
        <v>TEAYOUNG KIM</v>
      </c>
      <c r="F108" s="9"/>
      <c r="G108" s="3"/>
      <c r="H108" s="73"/>
      <c r="I108" s="99" t="s">
        <v>211</v>
      </c>
      <c r="J108" s="73"/>
      <c r="K108" s="73" t="s">
        <v>212</v>
      </c>
      <c r="L108" s="73"/>
      <c r="M108" s="99"/>
      <c r="N108" s="8"/>
      <c r="O108" s="8" t="s">
        <v>821</v>
      </c>
      <c r="P108" s="3"/>
      <c r="Q108" s="3" t="s">
        <v>822</v>
      </c>
      <c r="R108" s="3"/>
    </row>
    <row r="109" spans="1:18" ht="12.75">
      <c r="A109" s="14"/>
      <c r="B109" s="9"/>
      <c r="C109" s="10" t="str">
        <f t="shared" si="19"/>
        <v/>
      </c>
      <c r="D109" s="9"/>
      <c r="E109" s="9" t="str">
        <f t="shared" si="20"/>
        <v>JUNGYUN HA</v>
      </c>
      <c r="F109" s="9"/>
      <c r="G109" s="3"/>
      <c r="H109" s="73"/>
      <c r="I109" s="99"/>
      <c r="J109" s="73"/>
      <c r="K109" s="73" t="s">
        <v>213</v>
      </c>
      <c r="L109" s="73"/>
      <c r="M109" s="99"/>
      <c r="N109" s="8"/>
      <c r="O109" s="8"/>
      <c r="P109" s="3"/>
      <c r="Q109" s="3" t="s">
        <v>823</v>
      </c>
      <c r="R109" s="3"/>
    </row>
    <row r="110" spans="1:18" ht="12.75">
      <c r="A110" s="14"/>
      <c r="B110" s="9"/>
      <c r="C110" s="10" t="str">
        <f t="shared" si="19"/>
        <v/>
      </c>
      <c r="D110" s="9"/>
      <c r="E110" s="9" t="str">
        <f t="shared" si="20"/>
        <v>KIPYO KIM</v>
      </c>
      <c r="F110" s="9"/>
      <c r="G110" s="3"/>
      <c r="H110" s="73"/>
      <c r="I110" s="99"/>
      <c r="J110" s="73"/>
      <c r="K110" s="73" t="s">
        <v>214</v>
      </c>
      <c r="L110" s="73"/>
      <c r="M110" s="99"/>
      <c r="N110" s="8"/>
      <c r="O110" s="8"/>
      <c r="P110" s="3"/>
      <c r="Q110" s="3" t="s">
        <v>824</v>
      </c>
      <c r="R110" s="3"/>
    </row>
    <row r="111" spans="1:18" ht="12.75">
      <c r="A111" s="14"/>
      <c r="B111" s="9"/>
      <c r="C111" s="10" t="str">
        <f t="shared" si="19"/>
        <v/>
      </c>
      <c r="D111" s="9"/>
      <c r="E111" s="9" t="str">
        <f t="shared" si="20"/>
        <v/>
      </c>
      <c r="F111" s="9"/>
      <c r="G111" s="3"/>
      <c r="H111" s="73"/>
      <c r="I111" s="99"/>
      <c r="J111" s="73"/>
      <c r="K111" s="73"/>
      <c r="L111" s="73"/>
      <c r="M111" s="99"/>
      <c r="N111" s="8"/>
      <c r="O111" s="8"/>
      <c r="P111" s="3"/>
      <c r="Q111" s="3"/>
      <c r="R111" s="3"/>
    </row>
    <row r="112" spans="1:18" ht="12.75">
      <c r="A112" s="14"/>
      <c r="B112" s="9"/>
      <c r="C112" s="10" t="str">
        <f t="shared" si="19"/>
        <v>LOOKDEV ARTIST</v>
      </c>
      <c r="D112" s="9"/>
      <c r="E112" s="9" t="str">
        <f t="shared" si="20"/>
        <v>YEONJU LEE</v>
      </c>
      <c r="F112" s="9"/>
      <c r="G112" s="3"/>
      <c r="H112" s="73"/>
      <c r="I112" s="99" t="s">
        <v>215</v>
      </c>
      <c r="J112" s="73"/>
      <c r="K112" s="73" t="s">
        <v>216</v>
      </c>
      <c r="L112" s="73"/>
      <c r="M112" s="99"/>
      <c r="N112" s="8"/>
      <c r="O112" s="8" t="s">
        <v>825</v>
      </c>
      <c r="P112" s="3"/>
      <c r="Q112" s="3" t="s">
        <v>826</v>
      </c>
      <c r="R112" s="3"/>
    </row>
    <row r="113" spans="1:18" ht="12.75">
      <c r="A113" s="14"/>
      <c r="B113" s="9"/>
      <c r="C113" s="10" t="str">
        <f t="shared" si="19"/>
        <v/>
      </c>
      <c r="D113" s="9"/>
      <c r="E113" s="9" t="str">
        <f t="shared" si="20"/>
        <v/>
      </c>
      <c r="F113" s="9"/>
      <c r="G113" s="3"/>
      <c r="H113" s="73"/>
      <c r="I113" s="99"/>
      <c r="J113" s="73"/>
      <c r="K113" s="73"/>
      <c r="L113" s="73"/>
      <c r="M113" s="73"/>
      <c r="N113" s="3"/>
      <c r="O113" s="8"/>
      <c r="P113" s="3"/>
      <c r="Q113" s="3"/>
      <c r="R113" s="3"/>
    </row>
    <row r="114" spans="1:18" ht="12.75">
      <c r="A114" s="14"/>
      <c r="B114" s="9"/>
      <c r="C114" s="10" t="str">
        <f t="shared" si="19"/>
        <v>RIGGING</v>
      </c>
      <c r="D114" s="9"/>
      <c r="E114" s="9" t="str">
        <f t="shared" si="20"/>
        <v>MINJU YOO</v>
      </c>
      <c r="F114" s="9"/>
      <c r="G114" s="3"/>
      <c r="H114" s="73"/>
      <c r="I114" s="99" t="s">
        <v>217</v>
      </c>
      <c r="J114" s="73"/>
      <c r="K114" s="73" t="s">
        <v>218</v>
      </c>
      <c r="L114" s="73"/>
      <c r="M114" s="99"/>
      <c r="N114" s="8"/>
      <c r="O114" s="8" t="s">
        <v>827</v>
      </c>
      <c r="P114" s="3"/>
      <c r="Q114" s="3" t="s">
        <v>828</v>
      </c>
      <c r="R114" s="3"/>
    </row>
    <row r="115" spans="1:18" ht="12.75">
      <c r="A115" s="14"/>
      <c r="B115" s="9"/>
      <c r="C115" s="10"/>
      <c r="D115" s="9"/>
      <c r="E115" s="9"/>
      <c r="F115" s="9"/>
      <c r="G115" s="3"/>
      <c r="H115" s="73"/>
      <c r="I115" s="99"/>
      <c r="J115" s="73"/>
      <c r="K115" s="73"/>
      <c r="L115" s="73"/>
      <c r="M115" s="99"/>
      <c r="N115" s="99"/>
      <c r="O115" s="99"/>
      <c r="P115" s="73"/>
      <c r="Q115" s="73"/>
      <c r="R115" s="73"/>
    </row>
    <row r="116" spans="1:18" ht="12.75">
      <c r="A116" s="14"/>
      <c r="B116" s="11"/>
      <c r="C116" s="12" t="str">
        <f>UPPER(I116)</f>
        <v/>
      </c>
      <c r="D116" s="11"/>
      <c r="E116" s="11" t="str">
        <f>UPPER(K116)</f>
        <v/>
      </c>
      <c r="F116" s="11"/>
      <c r="G116" s="3"/>
      <c r="H116" s="73"/>
      <c r="I116" s="100"/>
      <c r="J116" s="73"/>
      <c r="K116" s="73"/>
      <c r="L116" s="73"/>
      <c r="M116" s="99"/>
      <c r="N116" s="99"/>
      <c r="O116" s="99"/>
      <c r="P116" s="73"/>
      <c r="Q116" s="73"/>
      <c r="R116" s="73"/>
    </row>
    <row r="117" spans="1:18" ht="12.75">
      <c r="A117" s="14"/>
      <c r="B117" s="9"/>
      <c r="C117" s="10"/>
      <c r="D117" s="9"/>
      <c r="E117" s="9"/>
      <c r="F117" s="9"/>
      <c r="G117" s="3"/>
      <c r="H117" s="73"/>
      <c r="I117" s="100"/>
      <c r="J117" s="73"/>
      <c r="K117" s="73"/>
      <c r="L117" s="73"/>
      <c r="M117" s="99"/>
      <c r="N117" s="99"/>
      <c r="O117" s="99"/>
      <c r="P117" s="73"/>
      <c r="Q117" s="73"/>
      <c r="R117" s="73"/>
    </row>
    <row r="118" spans="1:18" ht="18">
      <c r="A118" s="14"/>
      <c r="B118" s="150" t="str">
        <f t="shared" ref="B118:B119" si="21">UPPER(H118)</f>
        <v xml:space="preserve">ASSET </v>
      </c>
      <c r="C118" s="141"/>
      <c r="D118" s="141"/>
      <c r="E118" s="141"/>
      <c r="F118" s="141"/>
      <c r="G118" s="28"/>
      <c r="H118" s="173" t="s">
        <v>208</v>
      </c>
      <c r="I118" s="141"/>
      <c r="J118" s="141"/>
      <c r="K118" s="141"/>
      <c r="L118" s="141"/>
      <c r="M118" s="99"/>
      <c r="N118" s="149" t="s">
        <v>818</v>
      </c>
      <c r="O118" s="141"/>
      <c r="P118" s="141"/>
      <c r="Q118" s="141"/>
      <c r="R118" s="141"/>
    </row>
    <row r="119" spans="1:18" ht="15">
      <c r="A119" s="14"/>
      <c r="B119" s="146" t="str">
        <f t="shared" si="21"/>
        <v>THE MONK STUDIOS</v>
      </c>
      <c r="C119" s="141"/>
      <c r="D119" s="141"/>
      <c r="E119" s="141"/>
      <c r="F119" s="141"/>
      <c r="G119" s="3"/>
      <c r="H119" s="176" t="s">
        <v>202</v>
      </c>
      <c r="I119" s="141"/>
      <c r="J119" s="141"/>
      <c r="K119" s="141"/>
      <c r="L119" s="141"/>
      <c r="M119" s="99"/>
      <c r="N119" s="176" t="s">
        <v>202</v>
      </c>
      <c r="O119" s="141"/>
      <c r="P119" s="141"/>
      <c r="Q119" s="141"/>
      <c r="R119" s="141"/>
    </row>
    <row r="120" spans="1:18" ht="12.75">
      <c r="A120" s="14"/>
      <c r="B120" s="9"/>
      <c r="C120" s="10"/>
      <c r="D120" s="9"/>
      <c r="E120" s="9"/>
      <c r="F120" s="9"/>
      <c r="G120" s="3"/>
      <c r="H120" s="73"/>
      <c r="I120" s="99"/>
      <c r="J120" s="100"/>
      <c r="K120" s="116"/>
      <c r="L120" s="100"/>
      <c r="M120" s="100"/>
      <c r="N120" s="73"/>
      <c r="O120" s="99"/>
      <c r="P120" s="100"/>
      <c r="Q120" s="116"/>
      <c r="R120" s="100"/>
    </row>
    <row r="121" spans="1:18" ht="12.75">
      <c r="A121" s="14"/>
      <c r="B121" s="9"/>
      <c r="C121" s="10" t="str">
        <f t="shared" ref="C121:C138" si="22">UPPER(I121)</f>
        <v>ASSET SUPERVISOR</v>
      </c>
      <c r="D121" s="9"/>
      <c r="E121" s="9" t="str">
        <f t="shared" ref="E121:E141" si="23">UPPER(K121)</f>
        <v>ATTAPORN KANJANASAHAS</v>
      </c>
      <c r="F121" s="9"/>
      <c r="G121" s="3"/>
      <c r="H121" s="73"/>
      <c r="I121" s="99" t="s">
        <v>209</v>
      </c>
      <c r="J121" s="100"/>
      <c r="K121" s="116" t="s">
        <v>219</v>
      </c>
      <c r="L121" s="100"/>
      <c r="M121" s="100"/>
      <c r="N121" s="73"/>
      <c r="O121" s="99" t="s">
        <v>209</v>
      </c>
      <c r="P121" s="100"/>
      <c r="Q121" s="116" t="s">
        <v>219</v>
      </c>
      <c r="R121" s="100"/>
    </row>
    <row r="122" spans="1:18" ht="12.75">
      <c r="A122" s="14"/>
      <c r="B122" s="9"/>
      <c r="C122" s="10" t="str">
        <f t="shared" si="22"/>
        <v/>
      </c>
      <c r="D122" s="9"/>
      <c r="E122" s="9" t="str">
        <f t="shared" si="23"/>
        <v/>
      </c>
      <c r="F122" s="9"/>
      <c r="G122" s="3"/>
      <c r="H122" s="73"/>
      <c r="I122" s="100"/>
      <c r="J122" s="100"/>
      <c r="K122" s="117"/>
      <c r="L122" s="100"/>
      <c r="M122" s="100"/>
      <c r="N122" s="73"/>
      <c r="O122" s="100"/>
      <c r="P122" s="100"/>
      <c r="Q122" s="117"/>
      <c r="R122" s="100"/>
    </row>
    <row r="123" spans="1:18" ht="12.75">
      <c r="A123" s="14"/>
      <c r="B123" s="9"/>
      <c r="C123" s="10" t="str">
        <f t="shared" si="22"/>
        <v>MODEL SUPERVISOR</v>
      </c>
      <c r="D123" s="9"/>
      <c r="E123" s="9" t="str">
        <f t="shared" si="23"/>
        <v>THANITTHA PROMPATIMA</v>
      </c>
      <c r="F123" s="9"/>
      <c r="G123" s="3"/>
      <c r="H123" s="73"/>
      <c r="I123" s="101" t="s">
        <v>220</v>
      </c>
      <c r="J123" s="73"/>
      <c r="K123" s="118" t="s">
        <v>221</v>
      </c>
      <c r="L123" s="73"/>
      <c r="M123" s="99"/>
      <c r="N123" s="73"/>
      <c r="O123" s="101" t="s">
        <v>220</v>
      </c>
      <c r="P123" s="73"/>
      <c r="Q123" s="118" t="s">
        <v>221</v>
      </c>
      <c r="R123" s="73"/>
    </row>
    <row r="124" spans="1:18" ht="12.75">
      <c r="A124" s="14"/>
      <c r="B124" s="9"/>
      <c r="C124" s="10" t="str">
        <f t="shared" si="22"/>
        <v/>
      </c>
      <c r="D124" s="9"/>
      <c r="E124" s="9" t="str">
        <f t="shared" si="23"/>
        <v/>
      </c>
      <c r="F124" s="9"/>
      <c r="G124" s="3"/>
      <c r="H124" s="73"/>
      <c r="I124" s="101"/>
      <c r="J124" s="73"/>
      <c r="K124" s="118"/>
      <c r="L124" s="73"/>
      <c r="M124" s="99"/>
      <c r="N124" s="73"/>
      <c r="O124" s="101"/>
      <c r="P124" s="73"/>
      <c r="Q124" s="118"/>
      <c r="R124" s="73"/>
    </row>
    <row r="125" spans="1:18" ht="12.75">
      <c r="A125" s="14"/>
      <c r="B125" s="9"/>
      <c r="C125" s="10" t="str">
        <f t="shared" si="22"/>
        <v>MODELER LEADER</v>
      </c>
      <c r="D125" s="9"/>
      <c r="E125" s="9" t="str">
        <f t="shared" si="23"/>
        <v>YANNAKRON WONGPHUN</v>
      </c>
      <c r="F125" s="9"/>
      <c r="G125" s="3"/>
      <c r="H125" s="73"/>
      <c r="I125" s="101" t="s">
        <v>222</v>
      </c>
      <c r="J125" s="73"/>
      <c r="K125" s="118" t="s">
        <v>223</v>
      </c>
      <c r="L125" s="73"/>
      <c r="M125" s="99"/>
      <c r="N125" s="73"/>
      <c r="O125" s="101" t="s">
        <v>222</v>
      </c>
      <c r="P125" s="73"/>
      <c r="Q125" s="118" t="s">
        <v>223</v>
      </c>
      <c r="R125" s="73"/>
    </row>
    <row r="126" spans="1:18" ht="12.75">
      <c r="A126" s="14"/>
      <c r="B126" s="9"/>
      <c r="C126" s="10" t="str">
        <f t="shared" si="22"/>
        <v/>
      </c>
      <c r="D126" s="9"/>
      <c r="E126" s="9" t="str">
        <f t="shared" si="23"/>
        <v>CHANATITH TAWANMAI</v>
      </c>
      <c r="F126" s="9"/>
      <c r="G126" s="3"/>
      <c r="H126" s="73"/>
      <c r="I126" s="101"/>
      <c r="J126" s="73"/>
      <c r="K126" s="118" t="s">
        <v>224</v>
      </c>
      <c r="L126" s="73"/>
      <c r="M126" s="99"/>
      <c r="N126" s="73"/>
      <c r="O126" s="101"/>
      <c r="P126" s="73"/>
      <c r="Q126" s="118" t="s">
        <v>224</v>
      </c>
      <c r="R126" s="73"/>
    </row>
    <row r="127" spans="1:18" ht="12.75">
      <c r="A127" s="14"/>
      <c r="B127" s="9"/>
      <c r="C127" s="10" t="str">
        <f t="shared" si="22"/>
        <v/>
      </c>
      <c r="D127" s="9"/>
      <c r="E127" s="9" t="str">
        <f t="shared" si="23"/>
        <v/>
      </c>
      <c r="F127" s="9"/>
      <c r="G127" s="3"/>
      <c r="H127" s="73"/>
      <c r="I127" s="101"/>
      <c r="J127" s="73"/>
      <c r="K127" s="118"/>
      <c r="L127" s="73"/>
      <c r="M127" s="99"/>
      <c r="N127" s="73"/>
      <c r="O127" s="101"/>
      <c r="P127" s="73"/>
      <c r="Q127" s="118"/>
      <c r="R127" s="73"/>
    </row>
    <row r="128" spans="1:18" ht="12.75">
      <c r="A128" s="14"/>
      <c r="B128" s="9"/>
      <c r="C128" s="10" t="str">
        <f t="shared" si="22"/>
        <v>MODELER</v>
      </c>
      <c r="D128" s="9"/>
      <c r="E128" s="9" t="str">
        <f t="shared" si="23"/>
        <v>JIRAWAT PANGCHOMPOO</v>
      </c>
      <c r="F128" s="9"/>
      <c r="G128" s="3"/>
      <c r="H128" s="73"/>
      <c r="I128" s="101" t="s">
        <v>225</v>
      </c>
      <c r="J128" s="73"/>
      <c r="K128" s="118" t="s">
        <v>226</v>
      </c>
      <c r="L128" s="73"/>
      <c r="M128" s="99"/>
      <c r="N128" s="73"/>
      <c r="O128" s="101" t="s">
        <v>225</v>
      </c>
      <c r="P128" s="73"/>
      <c r="Q128" s="118" t="s">
        <v>226</v>
      </c>
      <c r="R128" s="73"/>
    </row>
    <row r="129" spans="1:18" ht="12.75">
      <c r="A129" s="14"/>
      <c r="B129" s="9"/>
      <c r="C129" s="10" t="str">
        <f t="shared" si="22"/>
        <v/>
      </c>
      <c r="D129" s="9"/>
      <c r="E129" s="9" t="str">
        <f t="shared" si="23"/>
        <v>TEERAWAT PHO-OB</v>
      </c>
      <c r="F129" s="9"/>
      <c r="G129" s="3"/>
      <c r="H129" s="73"/>
      <c r="I129" s="99"/>
      <c r="J129" s="73"/>
      <c r="K129" s="118" t="s">
        <v>227</v>
      </c>
      <c r="L129" s="73"/>
      <c r="M129" s="99"/>
      <c r="N129" s="73"/>
      <c r="O129" s="99"/>
      <c r="P129" s="73"/>
      <c r="Q129" s="118" t="s">
        <v>227</v>
      </c>
      <c r="R129" s="73"/>
    </row>
    <row r="130" spans="1:18" ht="12.75">
      <c r="A130" s="14"/>
      <c r="B130" s="9"/>
      <c r="C130" s="10" t="str">
        <f t="shared" si="22"/>
        <v/>
      </c>
      <c r="D130" s="9"/>
      <c r="E130" s="9" t="str">
        <f t="shared" si="23"/>
        <v>SUPACHOCK NUAMTHONG</v>
      </c>
      <c r="F130" s="9"/>
      <c r="G130" s="3"/>
      <c r="H130" s="73"/>
      <c r="I130" s="99"/>
      <c r="J130" s="73"/>
      <c r="K130" s="118" t="s">
        <v>228</v>
      </c>
      <c r="L130" s="73"/>
      <c r="M130" s="99"/>
      <c r="N130" s="73"/>
      <c r="O130" s="99"/>
      <c r="P130" s="73"/>
      <c r="Q130" s="118" t="s">
        <v>228</v>
      </c>
      <c r="R130" s="73"/>
    </row>
    <row r="131" spans="1:18" ht="12.75">
      <c r="A131" s="14"/>
      <c r="B131" s="9"/>
      <c r="C131" s="10" t="str">
        <f t="shared" si="22"/>
        <v/>
      </c>
      <c r="D131" s="9"/>
      <c r="E131" s="9" t="str">
        <f t="shared" si="23"/>
        <v>VIPHADA KARNJANAWARIT</v>
      </c>
      <c r="F131" s="9"/>
      <c r="G131" s="3"/>
      <c r="H131" s="73"/>
      <c r="I131" s="99"/>
      <c r="J131" s="73"/>
      <c r="K131" s="118" t="s">
        <v>229</v>
      </c>
      <c r="L131" s="73"/>
      <c r="M131" s="99"/>
      <c r="N131" s="73"/>
      <c r="O131" s="99"/>
      <c r="P131" s="73"/>
      <c r="Q131" s="118" t="s">
        <v>229</v>
      </c>
      <c r="R131" s="73"/>
    </row>
    <row r="132" spans="1:18" ht="12.75">
      <c r="A132" s="14"/>
      <c r="B132" s="9"/>
      <c r="C132" s="10" t="str">
        <f t="shared" si="22"/>
        <v/>
      </c>
      <c r="D132" s="9"/>
      <c r="E132" s="9" t="str">
        <f t="shared" si="23"/>
        <v>TEERAKA KONGPAISAND</v>
      </c>
      <c r="F132" s="9"/>
      <c r="G132" s="3"/>
      <c r="H132" s="73"/>
      <c r="I132" s="99"/>
      <c r="J132" s="73"/>
      <c r="K132" s="118" t="s">
        <v>230</v>
      </c>
      <c r="L132" s="73"/>
      <c r="M132" s="99"/>
      <c r="N132" s="73"/>
      <c r="O132" s="99"/>
      <c r="P132" s="73"/>
      <c r="Q132" s="118" t="s">
        <v>230</v>
      </c>
      <c r="R132" s="73"/>
    </row>
    <row r="133" spans="1:18" ht="12.75">
      <c r="A133" s="14"/>
      <c r="B133" s="9"/>
      <c r="C133" s="10" t="str">
        <f t="shared" si="22"/>
        <v/>
      </c>
      <c r="D133" s="9"/>
      <c r="E133" s="9" t="str">
        <f t="shared" si="23"/>
        <v>NATCHA NUNTANAJAROENKUL</v>
      </c>
      <c r="F133" s="9"/>
      <c r="G133" s="3"/>
      <c r="H133" s="73"/>
      <c r="I133" s="99"/>
      <c r="J133" s="73"/>
      <c r="K133" s="118" t="s">
        <v>231</v>
      </c>
      <c r="L133" s="73"/>
      <c r="M133" s="99"/>
      <c r="N133" s="73"/>
      <c r="O133" s="99"/>
      <c r="P133" s="73"/>
      <c r="Q133" s="118" t="s">
        <v>231</v>
      </c>
      <c r="R133" s="73"/>
    </row>
    <row r="134" spans="1:18" ht="12.75">
      <c r="A134" s="14"/>
      <c r="B134" s="9"/>
      <c r="C134" s="10" t="str">
        <f t="shared" si="22"/>
        <v/>
      </c>
      <c r="D134" s="9"/>
      <c r="E134" s="9" t="str">
        <f t="shared" si="23"/>
        <v>PANUWAT VIVATTANAWONGSIRI</v>
      </c>
      <c r="F134" s="9"/>
      <c r="G134" s="3"/>
      <c r="H134" s="73"/>
      <c r="I134" s="99"/>
      <c r="J134" s="73"/>
      <c r="K134" s="118" t="s">
        <v>232</v>
      </c>
      <c r="L134" s="73"/>
      <c r="M134" s="99"/>
      <c r="N134" s="73"/>
      <c r="O134" s="99"/>
      <c r="P134" s="73"/>
      <c r="Q134" s="118" t="s">
        <v>232</v>
      </c>
      <c r="R134" s="73"/>
    </row>
    <row r="135" spans="1:18" ht="12.75">
      <c r="A135" s="14"/>
      <c r="B135" s="9"/>
      <c r="C135" s="10" t="str">
        <f t="shared" si="22"/>
        <v/>
      </c>
      <c r="D135" s="9"/>
      <c r="E135" s="9" t="str">
        <f t="shared" si="23"/>
        <v>KOTCHAWAN PRADITUKRIT</v>
      </c>
      <c r="F135" s="9"/>
      <c r="G135" s="3"/>
      <c r="H135" s="73"/>
      <c r="I135" s="99"/>
      <c r="J135" s="73"/>
      <c r="K135" s="118" t="s">
        <v>233</v>
      </c>
      <c r="L135" s="73"/>
      <c r="M135" s="99"/>
      <c r="N135" s="73"/>
      <c r="O135" s="99"/>
      <c r="P135" s="73"/>
      <c r="Q135" s="118" t="s">
        <v>233</v>
      </c>
      <c r="R135" s="73"/>
    </row>
    <row r="136" spans="1:18" ht="12.75">
      <c r="A136" s="14"/>
      <c r="B136" s="9"/>
      <c r="C136" s="10" t="str">
        <f t="shared" si="22"/>
        <v/>
      </c>
      <c r="D136" s="9"/>
      <c r="E136" s="9" t="str">
        <f t="shared" si="23"/>
        <v>SUPAPAK SUKWAN</v>
      </c>
      <c r="F136" s="9"/>
      <c r="G136" s="3"/>
      <c r="H136" s="73"/>
      <c r="I136" s="99"/>
      <c r="J136" s="73"/>
      <c r="K136" s="118" t="s">
        <v>234</v>
      </c>
      <c r="L136" s="73"/>
      <c r="M136" s="99"/>
      <c r="N136" s="73"/>
      <c r="O136" s="99"/>
      <c r="P136" s="73"/>
      <c r="Q136" s="118" t="s">
        <v>234</v>
      </c>
      <c r="R136" s="73"/>
    </row>
    <row r="137" spans="1:18" ht="12.75">
      <c r="A137" s="14"/>
      <c r="B137" s="9"/>
      <c r="C137" s="10" t="str">
        <f t="shared" si="22"/>
        <v/>
      </c>
      <c r="D137" s="9"/>
      <c r="E137" s="9" t="str">
        <f t="shared" si="23"/>
        <v>ANURAK WASAENDEE</v>
      </c>
      <c r="F137" s="9"/>
      <c r="G137" s="3"/>
      <c r="H137" s="73"/>
      <c r="I137" s="99"/>
      <c r="J137" s="73"/>
      <c r="K137" s="118" t="s">
        <v>235</v>
      </c>
      <c r="L137" s="73"/>
      <c r="M137" s="99"/>
      <c r="N137" s="73"/>
      <c r="O137" s="99"/>
      <c r="P137" s="73"/>
      <c r="Q137" s="118" t="s">
        <v>235</v>
      </c>
      <c r="R137" s="73"/>
    </row>
    <row r="138" spans="1:18" ht="12.75">
      <c r="A138" s="14"/>
      <c r="B138" s="9"/>
      <c r="C138" s="10" t="str">
        <f t="shared" si="22"/>
        <v/>
      </c>
      <c r="D138" s="9"/>
      <c r="E138" s="9" t="str">
        <f t="shared" si="23"/>
        <v>JAKKRIT THANAPHATTHANAKUL</v>
      </c>
      <c r="F138" s="9"/>
      <c r="G138" s="3"/>
      <c r="H138" s="73"/>
      <c r="I138" s="99"/>
      <c r="J138" s="73"/>
      <c r="K138" s="118" t="s">
        <v>236</v>
      </c>
      <c r="L138" s="73"/>
      <c r="M138" s="99"/>
      <c r="N138" s="73"/>
      <c r="O138" s="99"/>
      <c r="P138" s="73"/>
      <c r="Q138" s="118" t="s">
        <v>236</v>
      </c>
      <c r="R138" s="73"/>
    </row>
    <row r="139" spans="1:18" ht="12.75">
      <c r="A139" s="14"/>
      <c r="B139" s="9"/>
      <c r="C139" s="10"/>
      <c r="D139" s="9"/>
      <c r="E139" s="9" t="str">
        <f t="shared" si="23"/>
        <v>TANAWAT YORIYA</v>
      </c>
      <c r="F139" s="9"/>
      <c r="G139" s="3"/>
      <c r="H139" s="73"/>
      <c r="I139" s="99"/>
      <c r="J139" s="73"/>
      <c r="K139" s="113" t="s">
        <v>237</v>
      </c>
      <c r="L139" s="73"/>
      <c r="M139" s="99"/>
      <c r="N139" s="73"/>
      <c r="O139" s="99"/>
      <c r="P139" s="73"/>
      <c r="Q139" s="113" t="s">
        <v>237</v>
      </c>
      <c r="R139" s="73"/>
    </row>
    <row r="140" spans="1:18" ht="12.75">
      <c r="A140" s="14"/>
      <c r="B140" s="9"/>
      <c r="C140" s="10"/>
      <c r="D140" s="9"/>
      <c r="E140" s="9" t="str">
        <f t="shared" si="23"/>
        <v>WITSANUKORN CHALIAOTHAM</v>
      </c>
      <c r="F140" s="9"/>
      <c r="G140" s="3"/>
      <c r="H140" s="73"/>
      <c r="I140" s="99"/>
      <c r="J140" s="73"/>
      <c r="K140" s="113" t="s">
        <v>238</v>
      </c>
      <c r="L140" s="73"/>
      <c r="M140" s="99"/>
      <c r="N140" s="73"/>
      <c r="O140" s="99"/>
      <c r="P140" s="73"/>
      <c r="Q140" s="113" t="s">
        <v>238</v>
      </c>
      <c r="R140" s="73"/>
    </row>
    <row r="141" spans="1:18" ht="12.75">
      <c r="A141" s="14"/>
      <c r="B141" s="9"/>
      <c r="C141" s="10"/>
      <c r="D141" s="9"/>
      <c r="E141" s="9" t="str">
        <f t="shared" si="23"/>
        <v>CHANBHASAKORN MINGSOMPAN</v>
      </c>
      <c r="F141" s="9"/>
      <c r="G141" s="3"/>
      <c r="H141" s="73"/>
      <c r="I141" s="99"/>
      <c r="J141" s="73"/>
      <c r="K141" s="113" t="s">
        <v>239</v>
      </c>
      <c r="L141" s="73"/>
      <c r="M141" s="99"/>
      <c r="N141" s="73"/>
      <c r="O141" s="99"/>
      <c r="P141" s="73"/>
      <c r="Q141" s="113" t="s">
        <v>239</v>
      </c>
      <c r="R141" s="73"/>
    </row>
    <row r="142" spans="1:18" ht="12.75">
      <c r="A142" s="14"/>
      <c r="B142" s="9"/>
      <c r="C142" s="10"/>
      <c r="D142" s="9"/>
      <c r="E142" s="9"/>
      <c r="F142" s="9"/>
      <c r="G142" s="3"/>
      <c r="H142" s="73"/>
      <c r="I142" s="99"/>
      <c r="J142" s="73"/>
      <c r="K142" s="113"/>
      <c r="L142" s="73"/>
      <c r="M142" s="99"/>
      <c r="N142" s="99"/>
      <c r="O142" s="99"/>
      <c r="P142" s="73"/>
      <c r="Q142" s="73"/>
      <c r="R142" s="73"/>
    </row>
    <row r="143" spans="1:18" ht="12.75">
      <c r="A143" s="14"/>
      <c r="B143" s="11"/>
      <c r="C143" s="12"/>
      <c r="D143" s="11"/>
      <c r="E143" s="11"/>
      <c r="F143" s="11"/>
      <c r="G143" s="3"/>
      <c r="H143" s="73"/>
      <c r="I143" s="99"/>
      <c r="J143" s="73"/>
      <c r="K143" s="113"/>
      <c r="L143" s="73"/>
      <c r="M143" s="99"/>
      <c r="N143" s="99"/>
      <c r="O143" s="99"/>
      <c r="P143" s="73"/>
      <c r="Q143" s="73"/>
      <c r="R143" s="73"/>
    </row>
    <row r="144" spans="1:18" ht="12.75">
      <c r="A144" s="14"/>
      <c r="B144" s="9"/>
      <c r="C144" s="10"/>
      <c r="D144" s="9"/>
      <c r="E144" s="9"/>
      <c r="F144" s="9"/>
      <c r="G144" s="3"/>
      <c r="H144" s="73"/>
      <c r="I144" s="99"/>
      <c r="J144" s="73"/>
      <c r="K144" s="113"/>
      <c r="L144" s="73"/>
      <c r="M144" s="99"/>
      <c r="N144" s="99"/>
      <c r="O144" s="99"/>
      <c r="P144" s="73"/>
      <c r="Q144" s="73"/>
      <c r="R144" s="73"/>
    </row>
    <row r="145" spans="1:18" ht="18">
      <c r="A145" s="14"/>
      <c r="B145" s="150" t="str">
        <f t="shared" ref="B145:B146" si="24">UPPER(H145)</f>
        <v xml:space="preserve">ASSET </v>
      </c>
      <c r="C145" s="141"/>
      <c r="D145" s="141"/>
      <c r="E145" s="141"/>
      <c r="F145" s="141"/>
      <c r="G145" s="28"/>
      <c r="H145" s="173" t="s">
        <v>208</v>
      </c>
      <c r="I145" s="141"/>
      <c r="J145" s="141"/>
      <c r="K145" s="141"/>
      <c r="L145" s="141"/>
      <c r="M145" s="99"/>
      <c r="N145" s="149" t="s">
        <v>818</v>
      </c>
      <c r="O145" s="141"/>
      <c r="P145" s="141"/>
      <c r="Q145" s="141"/>
      <c r="R145" s="141"/>
    </row>
    <row r="146" spans="1:18" ht="15">
      <c r="A146" s="14"/>
      <c r="B146" s="146" t="str">
        <f t="shared" si="24"/>
        <v>THE MONK STUDIOS</v>
      </c>
      <c r="C146" s="141"/>
      <c r="D146" s="141"/>
      <c r="E146" s="141"/>
      <c r="F146" s="141"/>
      <c r="G146" s="3"/>
      <c r="H146" s="176" t="s">
        <v>202</v>
      </c>
      <c r="I146" s="141"/>
      <c r="J146" s="141"/>
      <c r="K146" s="141"/>
      <c r="L146" s="141"/>
      <c r="M146" s="99"/>
      <c r="N146" s="176" t="s">
        <v>202</v>
      </c>
      <c r="O146" s="141"/>
      <c r="P146" s="141"/>
      <c r="Q146" s="141"/>
      <c r="R146" s="141"/>
    </row>
    <row r="147" spans="1:18" ht="12.75">
      <c r="A147" s="14"/>
      <c r="B147" s="38"/>
      <c r="C147" s="38"/>
      <c r="D147" s="38"/>
      <c r="E147" s="38"/>
      <c r="F147" s="38"/>
      <c r="G147" s="3"/>
      <c r="H147" s="96"/>
      <c r="I147" s="96"/>
      <c r="J147" s="96"/>
      <c r="K147" s="96"/>
      <c r="L147" s="96"/>
      <c r="M147" s="73"/>
      <c r="N147" s="96"/>
      <c r="O147" s="96"/>
      <c r="P147" s="96"/>
      <c r="Q147" s="96"/>
      <c r="R147" s="96"/>
    </row>
    <row r="148" spans="1:18" ht="12.75">
      <c r="A148" s="14"/>
      <c r="B148" s="9"/>
      <c r="C148" s="10" t="str">
        <f t="shared" ref="C148:C161" si="25">UPPER(I148)</f>
        <v>TEXTURE SUPERVISOR</v>
      </c>
      <c r="D148" s="9"/>
      <c r="E148" s="9" t="str">
        <f t="shared" ref="E148:E163" si="26">UPPER(K148)</f>
        <v>REWAT SIKHEMNGAM</v>
      </c>
      <c r="F148" s="9"/>
      <c r="G148" s="3"/>
      <c r="H148" s="73"/>
      <c r="I148" s="101" t="s">
        <v>240</v>
      </c>
      <c r="J148" s="73"/>
      <c r="K148" s="102" t="s">
        <v>241</v>
      </c>
      <c r="L148" s="73"/>
      <c r="M148" s="99"/>
      <c r="N148" s="73"/>
      <c r="O148" s="101" t="s">
        <v>240</v>
      </c>
      <c r="P148" s="73"/>
      <c r="Q148" s="102" t="s">
        <v>241</v>
      </c>
      <c r="R148" s="73"/>
    </row>
    <row r="149" spans="1:18" ht="12.75">
      <c r="A149" s="14"/>
      <c r="B149" s="9"/>
      <c r="C149" s="10" t="str">
        <f t="shared" si="25"/>
        <v/>
      </c>
      <c r="D149" s="9"/>
      <c r="E149" s="9" t="str">
        <f t="shared" si="26"/>
        <v/>
      </c>
      <c r="F149" s="9"/>
      <c r="G149" s="3"/>
      <c r="H149" s="73"/>
      <c r="I149" s="101"/>
      <c r="J149" s="73"/>
      <c r="K149" s="102"/>
      <c r="L149" s="73"/>
      <c r="M149" s="99"/>
      <c r="N149" s="73"/>
      <c r="O149" s="101"/>
      <c r="P149" s="73"/>
      <c r="Q149" s="102"/>
      <c r="R149" s="73"/>
    </row>
    <row r="150" spans="1:18" ht="12.75">
      <c r="A150" s="14"/>
      <c r="B150" s="9"/>
      <c r="C150" s="10" t="str">
        <f t="shared" si="25"/>
        <v>TEXTURE LEAD</v>
      </c>
      <c r="D150" s="9"/>
      <c r="E150" s="9" t="str">
        <f t="shared" si="26"/>
        <v>DUANGRUETHAI WONGPHAKHAM</v>
      </c>
      <c r="F150" s="9"/>
      <c r="G150" s="3"/>
      <c r="H150" s="73"/>
      <c r="I150" s="101" t="s">
        <v>242</v>
      </c>
      <c r="J150" s="73"/>
      <c r="K150" s="102" t="s">
        <v>243</v>
      </c>
      <c r="L150" s="73"/>
      <c r="M150" s="99"/>
      <c r="N150" s="73"/>
      <c r="O150" s="101" t="s">
        <v>242</v>
      </c>
      <c r="P150" s="73"/>
      <c r="Q150" s="102" t="s">
        <v>243</v>
      </c>
      <c r="R150" s="73"/>
    </row>
    <row r="151" spans="1:18" ht="12.75">
      <c r="A151" s="14"/>
      <c r="B151" s="9"/>
      <c r="C151" s="10" t="str">
        <f t="shared" si="25"/>
        <v/>
      </c>
      <c r="D151" s="9"/>
      <c r="E151" s="9" t="str">
        <f t="shared" si="26"/>
        <v/>
      </c>
      <c r="F151" s="9"/>
      <c r="G151" s="3"/>
      <c r="H151" s="73"/>
      <c r="I151" s="101"/>
      <c r="J151" s="73"/>
      <c r="K151" s="102"/>
      <c r="L151" s="73"/>
      <c r="M151" s="99"/>
      <c r="N151" s="73"/>
      <c r="O151" s="101"/>
      <c r="P151" s="73"/>
      <c r="Q151" s="102"/>
      <c r="R151" s="73"/>
    </row>
    <row r="152" spans="1:18" ht="12.75">
      <c r="A152" s="14"/>
      <c r="B152" s="9"/>
      <c r="C152" s="10" t="str">
        <f t="shared" si="25"/>
        <v>TEXTURE ARTIST</v>
      </c>
      <c r="D152" s="9"/>
      <c r="E152" s="9" t="str">
        <f t="shared" si="26"/>
        <v>SURANG PASAMLEE</v>
      </c>
      <c r="F152" s="9"/>
      <c r="G152" s="3"/>
      <c r="H152" s="73"/>
      <c r="I152" s="101" t="s">
        <v>244</v>
      </c>
      <c r="J152" s="73"/>
      <c r="K152" s="102" t="s">
        <v>245</v>
      </c>
      <c r="L152" s="73"/>
      <c r="M152" s="99"/>
      <c r="N152" s="73"/>
      <c r="O152" s="101" t="s">
        <v>244</v>
      </c>
      <c r="P152" s="73"/>
      <c r="Q152" s="102" t="s">
        <v>245</v>
      </c>
      <c r="R152" s="73"/>
    </row>
    <row r="153" spans="1:18" ht="12.75">
      <c r="A153" s="14"/>
      <c r="B153" s="9"/>
      <c r="C153" s="10" t="str">
        <f t="shared" si="25"/>
        <v/>
      </c>
      <c r="D153" s="9"/>
      <c r="E153" s="9" t="str">
        <f t="shared" si="26"/>
        <v>RUJIKAN PHENPAIJIT</v>
      </c>
      <c r="F153" s="9"/>
      <c r="G153" s="3"/>
      <c r="H153" s="73"/>
      <c r="I153" s="99"/>
      <c r="J153" s="73"/>
      <c r="K153" s="102" t="s">
        <v>246</v>
      </c>
      <c r="L153" s="73"/>
      <c r="M153" s="99"/>
      <c r="N153" s="73"/>
      <c r="O153" s="99"/>
      <c r="P153" s="73"/>
      <c r="Q153" s="102" t="s">
        <v>246</v>
      </c>
      <c r="R153" s="73"/>
    </row>
    <row r="154" spans="1:18" ht="12.75">
      <c r="A154" s="14"/>
      <c r="B154" s="9"/>
      <c r="C154" s="10" t="str">
        <f t="shared" si="25"/>
        <v/>
      </c>
      <c r="D154" s="9"/>
      <c r="E154" s="9" t="str">
        <f t="shared" si="26"/>
        <v>POONNAWAT SANTIYOTHIN</v>
      </c>
      <c r="F154" s="9"/>
      <c r="G154" s="3"/>
      <c r="H154" s="73"/>
      <c r="I154" s="99"/>
      <c r="J154" s="73"/>
      <c r="K154" s="102" t="s">
        <v>247</v>
      </c>
      <c r="L154" s="73"/>
      <c r="M154" s="99"/>
      <c r="N154" s="73"/>
      <c r="O154" s="99"/>
      <c r="P154" s="73"/>
      <c r="Q154" s="102" t="s">
        <v>247</v>
      </c>
      <c r="R154" s="73"/>
    </row>
    <row r="155" spans="1:18" ht="12.75">
      <c r="A155" s="14"/>
      <c r="B155" s="9"/>
      <c r="C155" s="10" t="str">
        <f t="shared" si="25"/>
        <v/>
      </c>
      <c r="D155" s="9"/>
      <c r="E155" s="9" t="str">
        <f t="shared" si="26"/>
        <v>NUTCHAYA PUENGPREEDA</v>
      </c>
      <c r="F155" s="9"/>
      <c r="G155" s="3"/>
      <c r="H155" s="73"/>
      <c r="I155" s="99"/>
      <c r="J155" s="73"/>
      <c r="K155" s="102" t="s">
        <v>248</v>
      </c>
      <c r="L155" s="73"/>
      <c r="M155" s="99"/>
      <c r="N155" s="73"/>
      <c r="O155" s="99"/>
      <c r="P155" s="73"/>
      <c r="Q155" s="102" t="s">
        <v>248</v>
      </c>
      <c r="R155" s="73"/>
    </row>
    <row r="156" spans="1:18" ht="12.75">
      <c r="A156" s="14"/>
      <c r="B156" s="9"/>
      <c r="C156" s="10" t="str">
        <f t="shared" si="25"/>
        <v/>
      </c>
      <c r="D156" s="9"/>
      <c r="E156" s="9" t="str">
        <f t="shared" si="26"/>
        <v>KANLAYANEE SUWANNABUT</v>
      </c>
      <c r="F156" s="9"/>
      <c r="G156" s="3"/>
      <c r="H156" s="73"/>
      <c r="I156" s="99"/>
      <c r="J156" s="73"/>
      <c r="K156" s="102" t="s">
        <v>249</v>
      </c>
      <c r="L156" s="73"/>
      <c r="M156" s="99"/>
      <c r="N156" s="73"/>
      <c r="O156" s="99"/>
      <c r="P156" s="73"/>
      <c r="Q156" s="102" t="s">
        <v>249</v>
      </c>
      <c r="R156" s="73"/>
    </row>
    <row r="157" spans="1:18" ht="12.75">
      <c r="A157" s="14"/>
      <c r="B157" s="9"/>
      <c r="C157" s="10" t="str">
        <f t="shared" si="25"/>
        <v/>
      </c>
      <c r="D157" s="9"/>
      <c r="E157" s="9" t="str">
        <f t="shared" si="26"/>
        <v>THANAWAT SAWATCHITANG</v>
      </c>
      <c r="F157" s="9"/>
      <c r="G157" s="3"/>
      <c r="H157" s="73"/>
      <c r="I157" s="99"/>
      <c r="J157" s="73"/>
      <c r="K157" s="102" t="s">
        <v>250</v>
      </c>
      <c r="L157" s="73"/>
      <c r="M157" s="99"/>
      <c r="N157" s="73"/>
      <c r="O157" s="99"/>
      <c r="P157" s="73"/>
      <c r="Q157" s="102" t="s">
        <v>250</v>
      </c>
      <c r="R157" s="73"/>
    </row>
    <row r="158" spans="1:18" ht="12.75">
      <c r="A158" s="14"/>
      <c r="B158" s="9"/>
      <c r="C158" s="10" t="str">
        <f t="shared" si="25"/>
        <v/>
      </c>
      <c r="D158" s="9"/>
      <c r="E158" s="9" t="str">
        <f t="shared" si="26"/>
        <v>NATYADA WANGKAHAT</v>
      </c>
      <c r="F158" s="9"/>
      <c r="G158" s="3"/>
      <c r="H158" s="73"/>
      <c r="I158" s="99"/>
      <c r="J158" s="73"/>
      <c r="K158" s="102" t="s">
        <v>251</v>
      </c>
      <c r="L158" s="73"/>
      <c r="M158" s="99"/>
      <c r="N158" s="73"/>
      <c r="O158" s="99"/>
      <c r="P158" s="73"/>
      <c r="Q158" s="102" t="s">
        <v>251</v>
      </c>
      <c r="R158" s="73"/>
    </row>
    <row r="159" spans="1:18" ht="12.75">
      <c r="A159" s="14"/>
      <c r="B159" s="9"/>
      <c r="C159" s="10" t="str">
        <f t="shared" si="25"/>
        <v/>
      </c>
      <c r="D159" s="9"/>
      <c r="E159" s="9" t="str">
        <f t="shared" si="26"/>
        <v>KWANLARB POTJANASUNTORN</v>
      </c>
      <c r="F159" s="9"/>
      <c r="G159" s="3"/>
      <c r="H159" s="73"/>
      <c r="I159" s="99"/>
      <c r="J159" s="73"/>
      <c r="K159" s="102" t="s">
        <v>252</v>
      </c>
      <c r="L159" s="73"/>
      <c r="M159" s="99"/>
      <c r="N159" s="73"/>
      <c r="O159" s="99"/>
      <c r="P159" s="73"/>
      <c r="Q159" s="102" t="s">
        <v>252</v>
      </c>
      <c r="R159" s="73"/>
    </row>
    <row r="160" spans="1:18" ht="12.75">
      <c r="A160" s="14"/>
      <c r="B160" s="9"/>
      <c r="C160" s="10" t="str">
        <f t="shared" si="25"/>
        <v/>
      </c>
      <c r="D160" s="9"/>
      <c r="E160" s="9" t="str">
        <f t="shared" si="26"/>
        <v>KLAORAVEE PANPENG</v>
      </c>
      <c r="F160" s="9"/>
      <c r="G160" s="3"/>
      <c r="H160" s="73"/>
      <c r="I160" s="99"/>
      <c r="J160" s="73"/>
      <c r="K160" s="102" t="s">
        <v>253</v>
      </c>
      <c r="L160" s="73"/>
      <c r="M160" s="99"/>
      <c r="N160" s="73"/>
      <c r="O160" s="99"/>
      <c r="P160" s="73"/>
      <c r="Q160" s="102" t="s">
        <v>253</v>
      </c>
      <c r="R160" s="73"/>
    </row>
    <row r="161" spans="1:18" ht="12.75">
      <c r="A161" s="14"/>
      <c r="B161" s="9"/>
      <c r="C161" s="10" t="str">
        <f t="shared" si="25"/>
        <v/>
      </c>
      <c r="D161" s="9"/>
      <c r="E161" s="9" t="str">
        <f t="shared" si="26"/>
        <v>NATPAPON TITICHOATRATTNA</v>
      </c>
      <c r="F161" s="9"/>
      <c r="G161" s="3"/>
      <c r="H161" s="73"/>
      <c r="I161" s="99"/>
      <c r="J161" s="73"/>
      <c r="K161" s="102" t="s">
        <v>254</v>
      </c>
      <c r="L161" s="73"/>
      <c r="M161" s="99"/>
      <c r="N161" s="73"/>
      <c r="O161" s="99"/>
      <c r="P161" s="73"/>
      <c r="Q161" s="102" t="s">
        <v>254</v>
      </c>
      <c r="R161" s="73"/>
    </row>
    <row r="162" spans="1:18" ht="12.75">
      <c r="A162" s="14"/>
      <c r="B162" s="9"/>
      <c r="C162" s="10"/>
      <c r="D162" s="9"/>
      <c r="E162" s="9" t="str">
        <f t="shared" si="26"/>
        <v>SARUTA SANTIPRAP</v>
      </c>
      <c r="F162" s="9"/>
      <c r="G162" s="3"/>
      <c r="H162" s="73"/>
      <c r="I162" s="99"/>
      <c r="J162" s="73"/>
      <c r="K162" s="102" t="s">
        <v>611</v>
      </c>
      <c r="L162" s="73"/>
      <c r="M162" s="99"/>
      <c r="N162" s="73"/>
      <c r="O162" s="99"/>
      <c r="P162" s="73"/>
      <c r="Q162" s="102" t="s">
        <v>611</v>
      </c>
      <c r="R162" s="73"/>
    </row>
    <row r="163" spans="1:18" ht="12.75">
      <c r="A163" s="14"/>
      <c r="B163" s="9"/>
      <c r="C163" s="10"/>
      <c r="D163" s="9"/>
      <c r="E163" s="9" t="str">
        <f t="shared" si="26"/>
        <v>PHATTARANAN CHAROENKIAT</v>
      </c>
      <c r="F163" s="9"/>
      <c r="G163" s="3"/>
      <c r="H163" s="73"/>
      <c r="I163" s="99"/>
      <c r="J163" s="73"/>
      <c r="K163" s="102" t="s">
        <v>612</v>
      </c>
      <c r="L163" s="73"/>
      <c r="M163" s="99"/>
      <c r="N163" s="73"/>
      <c r="O163" s="99"/>
      <c r="P163" s="73"/>
      <c r="Q163" s="102" t="s">
        <v>612</v>
      </c>
      <c r="R163" s="73"/>
    </row>
    <row r="164" spans="1:18" ht="12.75">
      <c r="A164" s="14"/>
      <c r="B164" s="9"/>
      <c r="C164" s="10"/>
      <c r="D164" s="9"/>
      <c r="E164" s="9"/>
      <c r="F164" s="9"/>
      <c r="G164" s="3"/>
      <c r="H164" s="73"/>
      <c r="I164" s="99"/>
      <c r="J164" s="73"/>
      <c r="K164" s="102"/>
      <c r="L164" s="73"/>
      <c r="M164" s="99"/>
      <c r="N164" s="99"/>
      <c r="O164" s="99"/>
      <c r="P164" s="73"/>
      <c r="Q164" s="73"/>
      <c r="R164" s="73"/>
    </row>
    <row r="165" spans="1:18" ht="12.75">
      <c r="A165" s="14"/>
      <c r="B165" s="11"/>
      <c r="C165" s="12"/>
      <c r="D165" s="11"/>
      <c r="E165" s="11"/>
      <c r="F165" s="11"/>
      <c r="G165" s="3"/>
      <c r="H165" s="73"/>
      <c r="I165" s="99"/>
      <c r="J165" s="73"/>
      <c r="K165" s="102"/>
      <c r="L165" s="73"/>
      <c r="M165" s="99"/>
      <c r="N165" s="99"/>
      <c r="O165" s="99"/>
      <c r="P165" s="73"/>
      <c r="Q165" s="73"/>
      <c r="R165" s="73"/>
    </row>
    <row r="166" spans="1:18" ht="12.75">
      <c r="A166" s="14"/>
      <c r="B166" s="9"/>
      <c r="C166" s="10"/>
      <c r="D166" s="9"/>
      <c r="E166" s="9"/>
      <c r="F166" s="9"/>
      <c r="G166" s="3"/>
      <c r="H166" s="73"/>
      <c r="I166" s="99"/>
      <c r="J166" s="73"/>
      <c r="K166" s="102"/>
      <c r="L166" s="73"/>
      <c r="M166" s="99"/>
      <c r="N166" s="99"/>
      <c r="O166" s="99"/>
      <c r="P166" s="73"/>
      <c r="Q166" s="73"/>
      <c r="R166" s="73"/>
    </row>
    <row r="167" spans="1:18" ht="18">
      <c r="A167" s="14"/>
      <c r="B167" s="150" t="str">
        <f t="shared" ref="B167:B168" si="27">UPPER(H167)</f>
        <v xml:space="preserve">ASSET </v>
      </c>
      <c r="C167" s="141"/>
      <c r="D167" s="141"/>
      <c r="E167" s="141"/>
      <c r="F167" s="141"/>
      <c r="G167" s="28"/>
      <c r="H167" s="173" t="s">
        <v>208</v>
      </c>
      <c r="I167" s="141"/>
      <c r="J167" s="141"/>
      <c r="K167" s="141"/>
      <c r="L167" s="141"/>
      <c r="M167" s="99"/>
      <c r="N167" s="149" t="s">
        <v>818</v>
      </c>
      <c r="O167" s="141"/>
      <c r="P167" s="141"/>
      <c r="Q167" s="141"/>
      <c r="R167" s="141"/>
    </row>
    <row r="168" spans="1:18" ht="15">
      <c r="A168" s="14"/>
      <c r="B168" s="146" t="str">
        <f t="shared" si="27"/>
        <v>THE MONK STUDIOS</v>
      </c>
      <c r="C168" s="141"/>
      <c r="D168" s="141"/>
      <c r="E168" s="141"/>
      <c r="F168" s="141"/>
      <c r="G168" s="3"/>
      <c r="H168" s="176" t="s">
        <v>202</v>
      </c>
      <c r="I168" s="141"/>
      <c r="J168" s="141"/>
      <c r="K168" s="141"/>
      <c r="L168" s="141"/>
      <c r="M168" s="99"/>
      <c r="N168" s="176" t="s">
        <v>202</v>
      </c>
      <c r="O168" s="141"/>
      <c r="P168" s="141"/>
      <c r="Q168" s="141"/>
      <c r="R168" s="141"/>
    </row>
    <row r="169" spans="1:18" ht="12.75">
      <c r="A169" s="14"/>
      <c r="B169" s="9"/>
      <c r="C169" s="10"/>
      <c r="D169" s="9"/>
      <c r="E169" s="9"/>
      <c r="F169" s="9"/>
      <c r="G169" s="3"/>
      <c r="H169" s="73"/>
      <c r="I169" s="101"/>
      <c r="J169" s="73"/>
      <c r="K169" s="102"/>
      <c r="L169" s="73"/>
      <c r="M169" s="99"/>
      <c r="N169" s="73"/>
      <c r="O169" s="101"/>
      <c r="P169" s="73"/>
      <c r="Q169" s="102"/>
      <c r="R169" s="73"/>
    </row>
    <row r="170" spans="1:18" ht="12.75">
      <c r="A170" s="14"/>
      <c r="B170" s="9"/>
      <c r="C170" s="10" t="str">
        <f t="shared" ref="C170:C182" si="28">UPPER(I170)</f>
        <v>RIG SUPERVISOR</v>
      </c>
      <c r="D170" s="9"/>
      <c r="E170" s="9" t="str">
        <f t="shared" ref="E170:E183" si="29">UPPER(K170)</f>
        <v>SORAWIT LIMKERTPOL</v>
      </c>
      <c r="F170" s="9"/>
      <c r="G170" s="3"/>
      <c r="H170" s="73"/>
      <c r="I170" s="101" t="s">
        <v>255</v>
      </c>
      <c r="J170" s="73"/>
      <c r="K170" s="113" t="s">
        <v>256</v>
      </c>
      <c r="L170" s="73"/>
      <c r="M170" s="99"/>
      <c r="N170" s="73"/>
      <c r="O170" s="101" t="s">
        <v>255</v>
      </c>
      <c r="P170" s="73"/>
      <c r="Q170" s="113" t="s">
        <v>256</v>
      </c>
      <c r="R170" s="73"/>
    </row>
    <row r="171" spans="1:18" ht="12.75">
      <c r="A171" s="14"/>
      <c r="B171" s="9"/>
      <c r="C171" s="10" t="str">
        <f t="shared" si="28"/>
        <v/>
      </c>
      <c r="D171" s="9"/>
      <c r="E171" s="9" t="str">
        <f t="shared" si="29"/>
        <v/>
      </c>
      <c r="F171" s="9"/>
      <c r="G171" s="3"/>
      <c r="H171" s="73"/>
      <c r="I171" s="101"/>
      <c r="J171" s="73"/>
      <c r="K171" s="113"/>
      <c r="L171" s="73"/>
      <c r="M171" s="99"/>
      <c r="N171" s="73"/>
      <c r="O171" s="101"/>
      <c r="P171" s="73"/>
      <c r="Q171" s="113"/>
      <c r="R171" s="73"/>
    </row>
    <row r="172" spans="1:18" ht="12.75">
      <c r="A172" s="14"/>
      <c r="B172" s="9"/>
      <c r="C172" s="10" t="str">
        <f t="shared" si="28"/>
        <v>RIG LEAD</v>
      </c>
      <c r="D172" s="9"/>
      <c r="E172" s="9" t="str">
        <f t="shared" si="29"/>
        <v>RATHTY PONGWORAPINIT</v>
      </c>
      <c r="F172" s="9"/>
      <c r="G172" s="3"/>
      <c r="H172" s="73"/>
      <c r="I172" s="101" t="s">
        <v>257</v>
      </c>
      <c r="J172" s="73"/>
      <c r="K172" s="113" t="s">
        <v>258</v>
      </c>
      <c r="L172" s="73"/>
      <c r="M172" s="99"/>
      <c r="N172" s="73"/>
      <c r="O172" s="101" t="s">
        <v>257</v>
      </c>
      <c r="P172" s="73"/>
      <c r="Q172" s="113" t="s">
        <v>258</v>
      </c>
      <c r="R172" s="73"/>
    </row>
    <row r="173" spans="1:18" ht="12.75">
      <c r="A173" s="14"/>
      <c r="B173" s="9"/>
      <c r="C173" s="10" t="str">
        <f t="shared" si="28"/>
        <v/>
      </c>
      <c r="D173" s="9"/>
      <c r="E173" s="9" t="str">
        <f t="shared" si="29"/>
        <v>CHONNIKAN SONSAMRIT</v>
      </c>
      <c r="F173" s="9"/>
      <c r="G173" s="3"/>
      <c r="H173" s="73"/>
      <c r="I173" s="101"/>
      <c r="J173" s="73"/>
      <c r="K173" s="113" t="s">
        <v>259</v>
      </c>
      <c r="L173" s="73"/>
      <c r="M173" s="99"/>
      <c r="N173" s="73"/>
      <c r="O173" s="101"/>
      <c r="P173" s="73"/>
      <c r="Q173" s="113" t="s">
        <v>259</v>
      </c>
      <c r="R173" s="73"/>
    </row>
    <row r="174" spans="1:18" ht="12.75">
      <c r="A174" s="14"/>
      <c r="B174" s="9"/>
      <c r="C174" s="10" t="str">
        <f t="shared" si="28"/>
        <v/>
      </c>
      <c r="D174" s="9"/>
      <c r="E174" s="9" t="str">
        <f t="shared" si="29"/>
        <v/>
      </c>
      <c r="F174" s="9"/>
      <c r="G174" s="3"/>
      <c r="H174" s="73"/>
      <c r="I174" s="101"/>
      <c r="J174" s="73"/>
      <c r="K174" s="113"/>
      <c r="L174" s="73"/>
      <c r="M174" s="99"/>
      <c r="N174" s="73"/>
      <c r="O174" s="101"/>
      <c r="P174" s="73"/>
      <c r="Q174" s="113"/>
      <c r="R174" s="73"/>
    </row>
    <row r="175" spans="1:18" ht="12.75">
      <c r="A175" s="14"/>
      <c r="B175" s="9"/>
      <c r="C175" s="10" t="str">
        <f t="shared" si="28"/>
        <v>RIG ARTIST</v>
      </c>
      <c r="D175" s="9"/>
      <c r="E175" s="9" t="str">
        <f t="shared" si="29"/>
        <v>ALI RAZA</v>
      </c>
      <c r="F175" s="9"/>
      <c r="G175" s="3"/>
      <c r="H175" s="73"/>
      <c r="I175" s="101" t="s">
        <v>260</v>
      </c>
      <c r="J175" s="73"/>
      <c r="K175" s="113" t="s">
        <v>261</v>
      </c>
      <c r="L175" s="73"/>
      <c r="M175" s="99"/>
      <c r="N175" s="73"/>
      <c r="O175" s="101" t="s">
        <v>260</v>
      </c>
      <c r="P175" s="73"/>
      <c r="Q175" s="113" t="s">
        <v>261</v>
      </c>
      <c r="R175" s="73"/>
    </row>
    <row r="176" spans="1:18" ht="12.75">
      <c r="A176" s="14"/>
      <c r="B176" s="9"/>
      <c r="C176" s="10" t="str">
        <f t="shared" si="28"/>
        <v/>
      </c>
      <c r="D176" s="9"/>
      <c r="E176" s="9" t="str">
        <f t="shared" si="29"/>
        <v>BHUMINAT CHATURAMETHANONT</v>
      </c>
      <c r="F176" s="9"/>
      <c r="G176" s="3"/>
      <c r="H176" s="73"/>
      <c r="I176" s="99"/>
      <c r="J176" s="73"/>
      <c r="K176" s="113" t="s">
        <v>262</v>
      </c>
      <c r="L176" s="73"/>
      <c r="M176" s="99"/>
      <c r="N176" s="73"/>
      <c r="O176" s="99"/>
      <c r="P176" s="73"/>
      <c r="Q176" s="113" t="s">
        <v>262</v>
      </c>
      <c r="R176" s="73"/>
    </row>
    <row r="177" spans="1:18" ht="12.75">
      <c r="A177" s="14"/>
      <c r="B177" s="9"/>
      <c r="C177" s="10" t="str">
        <f t="shared" si="28"/>
        <v/>
      </c>
      <c r="D177" s="9"/>
      <c r="E177" s="9" t="str">
        <f t="shared" si="29"/>
        <v>KRITTAPAD DEJJEENMUANG</v>
      </c>
      <c r="F177" s="9"/>
      <c r="G177" s="3"/>
      <c r="H177" s="73"/>
      <c r="I177" s="99"/>
      <c r="J177" s="73"/>
      <c r="K177" s="113" t="s">
        <v>263</v>
      </c>
      <c r="L177" s="73"/>
      <c r="M177" s="99"/>
      <c r="N177" s="73"/>
      <c r="O177" s="99"/>
      <c r="P177" s="73"/>
      <c r="Q177" s="113" t="s">
        <v>263</v>
      </c>
      <c r="R177" s="73"/>
    </row>
    <row r="178" spans="1:18" ht="12.75">
      <c r="A178" s="14"/>
      <c r="B178" s="9"/>
      <c r="C178" s="10" t="str">
        <f t="shared" si="28"/>
        <v/>
      </c>
      <c r="D178" s="9"/>
      <c r="E178" s="9" t="str">
        <f t="shared" si="29"/>
        <v>ANAWIN SARNMOUNG</v>
      </c>
      <c r="F178" s="9"/>
      <c r="G178" s="3"/>
      <c r="H178" s="73"/>
      <c r="I178" s="99"/>
      <c r="J178" s="73"/>
      <c r="K178" s="113" t="s">
        <v>264</v>
      </c>
      <c r="L178" s="73"/>
      <c r="M178" s="99"/>
      <c r="N178" s="73"/>
      <c r="O178" s="99"/>
      <c r="P178" s="73"/>
      <c r="Q178" s="113" t="s">
        <v>264</v>
      </c>
      <c r="R178" s="73"/>
    </row>
    <row r="179" spans="1:18" ht="12.75">
      <c r="A179" s="14"/>
      <c r="B179" s="9"/>
      <c r="C179" s="10" t="str">
        <f t="shared" si="28"/>
        <v/>
      </c>
      <c r="D179" s="9"/>
      <c r="E179" s="9" t="str">
        <f t="shared" si="29"/>
        <v>CHANYA KANICHAPONG</v>
      </c>
      <c r="F179" s="9"/>
      <c r="G179" s="3"/>
      <c r="H179" s="73"/>
      <c r="I179" s="99"/>
      <c r="J179" s="73"/>
      <c r="K179" s="113" t="s">
        <v>265</v>
      </c>
      <c r="L179" s="73"/>
      <c r="M179" s="99"/>
      <c r="N179" s="73"/>
      <c r="O179" s="99"/>
      <c r="P179" s="73"/>
      <c r="Q179" s="113" t="s">
        <v>265</v>
      </c>
      <c r="R179" s="73"/>
    </row>
    <row r="180" spans="1:18" ht="12.75">
      <c r="A180" s="14"/>
      <c r="B180" s="9"/>
      <c r="C180" s="10" t="str">
        <f t="shared" si="28"/>
        <v/>
      </c>
      <c r="D180" s="9"/>
      <c r="E180" s="9" t="str">
        <f t="shared" si="29"/>
        <v>JIRAYUT JAIKLA</v>
      </c>
      <c r="F180" s="9"/>
      <c r="G180" s="3"/>
      <c r="H180" s="73"/>
      <c r="I180" s="99"/>
      <c r="J180" s="73"/>
      <c r="K180" s="113" t="s">
        <v>266</v>
      </c>
      <c r="L180" s="73"/>
      <c r="M180" s="99"/>
      <c r="N180" s="73"/>
      <c r="O180" s="99"/>
      <c r="P180" s="73"/>
      <c r="Q180" s="113" t="s">
        <v>266</v>
      </c>
      <c r="R180" s="73"/>
    </row>
    <row r="181" spans="1:18" ht="12.75">
      <c r="A181" s="14"/>
      <c r="B181" s="9"/>
      <c r="C181" s="10" t="str">
        <f t="shared" si="28"/>
        <v/>
      </c>
      <c r="D181" s="9"/>
      <c r="E181" s="9" t="str">
        <f t="shared" si="29"/>
        <v>NANTAPAK PRUANGKARN</v>
      </c>
      <c r="F181" s="9"/>
      <c r="G181" s="3"/>
      <c r="H181" s="73"/>
      <c r="I181" s="99"/>
      <c r="J181" s="73"/>
      <c r="K181" s="113" t="s">
        <v>267</v>
      </c>
      <c r="L181" s="73"/>
      <c r="M181" s="99"/>
      <c r="N181" s="73"/>
      <c r="O181" s="99"/>
      <c r="P181" s="73"/>
      <c r="Q181" s="113" t="s">
        <v>267</v>
      </c>
      <c r="R181" s="73"/>
    </row>
    <row r="182" spans="1:18" ht="12.75">
      <c r="A182" s="14"/>
      <c r="B182" s="9"/>
      <c r="C182" s="10" t="str">
        <f t="shared" si="28"/>
        <v/>
      </c>
      <c r="D182" s="9"/>
      <c r="E182" s="9" t="str">
        <f t="shared" si="29"/>
        <v>PANCHANOK CHOMCHUEN</v>
      </c>
      <c r="F182" s="9"/>
      <c r="G182" s="3"/>
      <c r="H182" s="73"/>
      <c r="I182" s="99"/>
      <c r="J182" s="73"/>
      <c r="K182" s="113" t="s">
        <v>268</v>
      </c>
      <c r="L182" s="73"/>
      <c r="M182" s="99"/>
      <c r="N182" s="73"/>
      <c r="O182" s="99"/>
      <c r="P182" s="73"/>
      <c r="Q182" s="113" t="s">
        <v>268</v>
      </c>
      <c r="R182" s="73"/>
    </row>
    <row r="183" spans="1:18" ht="12.75">
      <c r="A183" s="14"/>
      <c r="B183" s="9"/>
      <c r="C183" s="10"/>
      <c r="D183" s="9"/>
      <c r="E183" s="9" t="str">
        <f t="shared" si="29"/>
        <v>TAWEEWAT TAWEEPASAS</v>
      </c>
      <c r="F183" s="9"/>
      <c r="G183" s="3"/>
      <c r="H183" s="73"/>
      <c r="I183" s="99"/>
      <c r="J183" s="73"/>
      <c r="K183" s="113" t="s">
        <v>269</v>
      </c>
      <c r="L183" s="73"/>
      <c r="M183" s="99"/>
      <c r="N183" s="73"/>
      <c r="O183" s="99"/>
      <c r="P183" s="73"/>
      <c r="Q183" s="113" t="s">
        <v>269</v>
      </c>
      <c r="R183" s="73"/>
    </row>
    <row r="184" spans="1:18" ht="12.75">
      <c r="A184" s="14"/>
      <c r="B184" s="9"/>
      <c r="C184" s="10"/>
      <c r="D184" s="9"/>
      <c r="E184" s="9"/>
      <c r="F184" s="9"/>
      <c r="G184" s="3"/>
      <c r="H184" s="73"/>
      <c r="I184" s="101"/>
      <c r="J184" s="73"/>
      <c r="K184" s="113"/>
      <c r="L184" s="73"/>
      <c r="M184" s="99"/>
      <c r="N184" s="99"/>
      <c r="O184" s="99"/>
      <c r="P184" s="73"/>
      <c r="Q184" s="73"/>
      <c r="R184" s="73"/>
    </row>
    <row r="185" spans="1:18" ht="12.75">
      <c r="A185" s="14"/>
      <c r="B185" s="11"/>
      <c r="C185" s="12"/>
      <c r="D185" s="11"/>
      <c r="E185" s="11"/>
      <c r="F185" s="11"/>
      <c r="G185" s="3"/>
      <c r="H185" s="73"/>
      <c r="I185" s="101"/>
      <c r="J185" s="73"/>
      <c r="K185" s="113"/>
      <c r="L185" s="73"/>
      <c r="M185" s="99"/>
      <c r="N185" s="99"/>
      <c r="O185" s="99"/>
      <c r="P185" s="73"/>
      <c r="Q185" s="73"/>
      <c r="R185" s="73"/>
    </row>
    <row r="186" spans="1:18" ht="12.75">
      <c r="A186" s="14"/>
      <c r="B186" s="9"/>
      <c r="C186" s="10"/>
      <c r="D186" s="9"/>
      <c r="E186" s="9"/>
      <c r="F186" s="9"/>
      <c r="G186" s="3"/>
      <c r="H186" s="73"/>
      <c r="I186" s="101"/>
      <c r="J186" s="73"/>
      <c r="K186" s="113"/>
      <c r="L186" s="73"/>
      <c r="M186" s="99"/>
      <c r="N186" s="99"/>
      <c r="O186" s="99"/>
      <c r="P186" s="73"/>
      <c r="Q186" s="73"/>
      <c r="R186" s="73"/>
    </row>
    <row r="187" spans="1:18" ht="18">
      <c r="A187" s="14"/>
      <c r="B187" s="150" t="str">
        <f t="shared" ref="B187:B188" si="30">UPPER(H187)</f>
        <v xml:space="preserve">ASSET </v>
      </c>
      <c r="C187" s="141"/>
      <c r="D187" s="141"/>
      <c r="E187" s="141"/>
      <c r="F187" s="141"/>
      <c r="G187" s="28"/>
      <c r="H187" s="173" t="s">
        <v>208</v>
      </c>
      <c r="I187" s="141"/>
      <c r="J187" s="141"/>
      <c r="K187" s="141"/>
      <c r="L187" s="141"/>
      <c r="M187" s="99"/>
      <c r="N187" s="149" t="s">
        <v>818</v>
      </c>
      <c r="O187" s="141"/>
      <c r="P187" s="141"/>
      <c r="Q187" s="141"/>
      <c r="R187" s="141"/>
    </row>
    <row r="188" spans="1:18" ht="15">
      <c r="A188" s="14"/>
      <c r="B188" s="146" t="str">
        <f t="shared" si="30"/>
        <v>THE MONK STUDIOS</v>
      </c>
      <c r="C188" s="141"/>
      <c r="D188" s="141"/>
      <c r="E188" s="141"/>
      <c r="F188" s="141"/>
      <c r="G188" s="3"/>
      <c r="H188" s="176" t="s">
        <v>202</v>
      </c>
      <c r="I188" s="141"/>
      <c r="J188" s="141"/>
      <c r="K188" s="141"/>
      <c r="L188" s="141"/>
      <c r="M188" s="99"/>
      <c r="N188" s="176" t="s">
        <v>202</v>
      </c>
      <c r="O188" s="141"/>
      <c r="P188" s="141"/>
      <c r="Q188" s="141"/>
      <c r="R188" s="141"/>
    </row>
    <row r="189" spans="1:18" ht="12.75">
      <c r="A189" s="14"/>
      <c r="B189" s="9"/>
      <c r="C189" s="10"/>
      <c r="D189" s="9"/>
      <c r="E189" s="9"/>
      <c r="F189" s="9"/>
      <c r="G189" s="3"/>
      <c r="H189" s="73"/>
      <c r="I189" s="101"/>
      <c r="J189" s="73"/>
      <c r="K189" s="113"/>
      <c r="L189" s="73"/>
      <c r="M189" s="99"/>
      <c r="N189" s="73"/>
      <c r="O189" s="101"/>
      <c r="P189" s="73"/>
      <c r="Q189" s="113"/>
      <c r="R189" s="73"/>
    </row>
    <row r="190" spans="1:18" ht="12.75">
      <c r="A190" s="14"/>
      <c r="B190" s="9"/>
      <c r="C190" s="10" t="str">
        <f>UPPER(I190)</f>
        <v>GROOMING SUPERVISOR</v>
      </c>
      <c r="D190" s="9"/>
      <c r="E190" s="9" t="str">
        <f>UPPER(K190)</f>
        <v>PHURINUT TANGCHAROEN</v>
      </c>
      <c r="F190" s="9"/>
      <c r="G190" s="3"/>
      <c r="H190" s="73"/>
      <c r="I190" s="101" t="s">
        <v>270</v>
      </c>
      <c r="J190" s="73"/>
      <c r="K190" s="113" t="s">
        <v>271</v>
      </c>
      <c r="L190" s="73"/>
      <c r="M190" s="99"/>
      <c r="N190" s="73"/>
      <c r="O190" s="101" t="s">
        <v>270</v>
      </c>
      <c r="P190" s="73"/>
      <c r="Q190" s="113" t="s">
        <v>271</v>
      </c>
      <c r="R190" s="73"/>
    </row>
    <row r="191" spans="1:18" ht="12.75">
      <c r="A191" s="14"/>
      <c r="B191" s="9"/>
      <c r="C191" s="10"/>
      <c r="D191" s="9"/>
      <c r="E191" s="9"/>
      <c r="F191" s="9"/>
      <c r="G191" s="3"/>
      <c r="H191" s="73"/>
      <c r="I191" s="101"/>
      <c r="J191" s="73"/>
      <c r="K191" s="113"/>
      <c r="L191" s="73"/>
      <c r="M191" s="99"/>
      <c r="N191" s="73"/>
      <c r="O191" s="101"/>
      <c r="P191" s="73"/>
      <c r="Q191" s="113"/>
      <c r="R191" s="73"/>
    </row>
    <row r="192" spans="1:18" ht="12.75">
      <c r="A192" s="14"/>
      <c r="B192" s="9"/>
      <c r="C192" s="10" t="str">
        <f t="shared" ref="C192:C195" si="31">UPPER(I192)</f>
        <v>GROOMING ARTIST</v>
      </c>
      <c r="D192" s="9"/>
      <c r="E192" s="9" t="str">
        <f t="shared" ref="E192:E196" si="32">UPPER(K192)</f>
        <v>BUDSARAPORN WAICHUENCHORM</v>
      </c>
      <c r="F192" s="9"/>
      <c r="G192" s="3"/>
      <c r="H192" s="73"/>
      <c r="I192" s="101" t="s">
        <v>272</v>
      </c>
      <c r="J192" s="73"/>
      <c r="K192" s="113" t="s">
        <v>273</v>
      </c>
      <c r="L192" s="73"/>
      <c r="M192" s="99"/>
      <c r="N192" s="73"/>
      <c r="O192" s="101" t="s">
        <v>272</v>
      </c>
      <c r="P192" s="73"/>
      <c r="Q192" s="113" t="s">
        <v>273</v>
      </c>
      <c r="R192" s="73"/>
    </row>
    <row r="193" spans="1:18" ht="14.25">
      <c r="A193" s="14"/>
      <c r="B193" s="9"/>
      <c r="C193" s="10" t="str">
        <f t="shared" si="31"/>
        <v/>
      </c>
      <c r="D193" s="9"/>
      <c r="E193" s="9" t="str">
        <f t="shared" si="32"/>
        <v>PRAEWPAN SAEPUNG</v>
      </c>
      <c r="F193" s="9"/>
      <c r="G193" s="3"/>
      <c r="H193" s="73"/>
      <c r="I193" s="99"/>
      <c r="J193" s="73"/>
      <c r="K193" s="119" t="s">
        <v>274</v>
      </c>
      <c r="L193" s="73"/>
      <c r="M193" s="99"/>
      <c r="N193" s="73"/>
      <c r="O193" s="99"/>
      <c r="P193" s="73"/>
      <c r="Q193" s="119" t="s">
        <v>274</v>
      </c>
      <c r="R193" s="73"/>
    </row>
    <row r="194" spans="1:18" ht="12.75">
      <c r="A194" s="14"/>
      <c r="B194" s="9"/>
      <c r="C194" s="10" t="str">
        <f t="shared" si="31"/>
        <v/>
      </c>
      <c r="D194" s="9"/>
      <c r="E194" s="9" t="str">
        <f t="shared" si="32"/>
        <v>VANLIPHA KAEWKHAO</v>
      </c>
      <c r="F194" s="9"/>
      <c r="G194" s="3"/>
      <c r="H194" s="73"/>
      <c r="I194" s="99"/>
      <c r="J194" s="73"/>
      <c r="K194" s="113" t="s">
        <v>275</v>
      </c>
      <c r="L194" s="73"/>
      <c r="M194" s="99"/>
      <c r="N194" s="73"/>
      <c r="O194" s="99"/>
      <c r="P194" s="73"/>
      <c r="Q194" s="113" t="s">
        <v>275</v>
      </c>
      <c r="R194" s="73"/>
    </row>
    <row r="195" spans="1:18" ht="12.75">
      <c r="A195" s="14"/>
      <c r="B195" s="9"/>
      <c r="C195" s="10" t="str">
        <f t="shared" si="31"/>
        <v/>
      </c>
      <c r="D195" s="9"/>
      <c r="E195" s="9" t="str">
        <f t="shared" si="32"/>
        <v>PATIPARN KAWINCHAN</v>
      </c>
      <c r="F195" s="9"/>
      <c r="G195" s="3"/>
      <c r="H195" s="73"/>
      <c r="I195" s="99"/>
      <c r="J195" s="73"/>
      <c r="K195" s="113" t="s">
        <v>276</v>
      </c>
      <c r="L195" s="73"/>
      <c r="M195" s="99"/>
      <c r="N195" s="73"/>
      <c r="O195" s="99"/>
      <c r="P195" s="73"/>
      <c r="Q195" s="113" t="s">
        <v>276</v>
      </c>
      <c r="R195" s="73"/>
    </row>
    <row r="196" spans="1:18" ht="12.75">
      <c r="A196" s="14"/>
      <c r="B196" s="9"/>
      <c r="C196" s="10"/>
      <c r="D196" s="9"/>
      <c r="E196" s="9" t="str">
        <f t="shared" si="32"/>
        <v>YOTIN TONGBANTURNG</v>
      </c>
      <c r="F196" s="9"/>
      <c r="G196" s="3"/>
      <c r="H196" s="73"/>
      <c r="I196" s="99"/>
      <c r="J196" s="73"/>
      <c r="K196" s="113" t="s">
        <v>277</v>
      </c>
      <c r="L196" s="73"/>
      <c r="M196" s="99"/>
      <c r="N196" s="73"/>
      <c r="O196" s="99"/>
      <c r="P196" s="73"/>
      <c r="Q196" s="113" t="s">
        <v>277</v>
      </c>
      <c r="R196" s="73"/>
    </row>
    <row r="197" spans="1:18" ht="12.75">
      <c r="A197" s="14"/>
      <c r="B197" s="9"/>
      <c r="C197" s="10"/>
      <c r="D197" s="9"/>
      <c r="E197" s="9"/>
      <c r="F197" s="9"/>
      <c r="G197" s="3"/>
      <c r="H197" s="73"/>
      <c r="I197" s="99"/>
      <c r="J197" s="73"/>
      <c r="K197" s="113"/>
      <c r="L197" s="73"/>
      <c r="M197" s="99"/>
      <c r="N197" s="99"/>
      <c r="O197" s="99"/>
      <c r="P197" s="73"/>
      <c r="Q197" s="73"/>
      <c r="R197" s="73"/>
    </row>
    <row r="198" spans="1:18" ht="12.75">
      <c r="A198" s="14"/>
      <c r="B198" s="11"/>
      <c r="C198" s="12"/>
      <c r="D198" s="11"/>
      <c r="E198" s="11"/>
      <c r="F198" s="11"/>
      <c r="G198" s="3"/>
      <c r="H198" s="73"/>
      <c r="I198" s="99"/>
      <c r="J198" s="73"/>
      <c r="K198" s="113"/>
      <c r="L198" s="73"/>
      <c r="M198" s="99"/>
      <c r="N198" s="99"/>
      <c r="O198" s="99"/>
      <c r="P198" s="73"/>
      <c r="Q198" s="73"/>
      <c r="R198" s="73"/>
    </row>
    <row r="199" spans="1:18" ht="12.75">
      <c r="A199" s="14"/>
      <c r="B199" s="9"/>
      <c r="C199" s="10"/>
      <c r="D199" s="9"/>
      <c r="E199" s="9"/>
      <c r="F199" s="9"/>
      <c r="G199" s="3"/>
      <c r="H199" s="73"/>
      <c r="I199" s="99"/>
      <c r="J199" s="73"/>
      <c r="K199" s="113"/>
      <c r="L199" s="73"/>
      <c r="M199" s="99"/>
      <c r="N199" s="99"/>
      <c r="O199" s="99"/>
      <c r="P199" s="73"/>
      <c r="Q199" s="73"/>
      <c r="R199" s="73"/>
    </row>
    <row r="200" spans="1:18" ht="18">
      <c r="A200" s="14"/>
      <c r="B200" s="150" t="str">
        <f>UPPER(H200)</f>
        <v>LAYOUT</v>
      </c>
      <c r="C200" s="141"/>
      <c r="D200" s="141"/>
      <c r="E200" s="141"/>
      <c r="F200" s="141"/>
      <c r="G200" s="28"/>
      <c r="H200" s="173" t="s">
        <v>278</v>
      </c>
      <c r="I200" s="141"/>
      <c r="J200" s="141"/>
      <c r="K200" s="141"/>
      <c r="L200" s="141"/>
      <c r="M200" s="112"/>
      <c r="N200" s="149" t="s">
        <v>829</v>
      </c>
      <c r="O200" s="141"/>
      <c r="P200" s="141"/>
      <c r="Q200" s="141"/>
      <c r="R200" s="141"/>
    </row>
    <row r="201" spans="1:18" ht="12.75">
      <c r="A201" s="14"/>
      <c r="B201" s="9"/>
      <c r="C201" s="10" t="str">
        <f>UPPER(I201)</f>
        <v>LAYOUT DIRECTOR</v>
      </c>
      <c r="D201" s="9"/>
      <c r="E201" s="9" t="str">
        <f>UPPER(K201)</f>
        <v>KYUNGMIN KIM</v>
      </c>
      <c r="F201" s="9"/>
      <c r="G201" s="3"/>
      <c r="H201" s="73"/>
      <c r="I201" s="99" t="s">
        <v>279</v>
      </c>
      <c r="J201" s="73"/>
      <c r="K201" s="73" t="s">
        <v>280</v>
      </c>
      <c r="L201" s="73"/>
      <c r="M201" s="99"/>
      <c r="N201" s="8"/>
      <c r="O201" s="21" t="s">
        <v>830</v>
      </c>
      <c r="P201" s="3"/>
      <c r="Q201" s="3" t="s">
        <v>831</v>
      </c>
      <c r="R201" s="3"/>
    </row>
    <row r="202" spans="1:18" ht="12.75">
      <c r="A202" s="14"/>
      <c r="B202" s="9"/>
      <c r="C202" s="10"/>
      <c r="D202" s="9"/>
      <c r="E202" s="9"/>
      <c r="F202" s="9"/>
      <c r="G202" s="3"/>
      <c r="H202" s="73"/>
      <c r="I202" s="99"/>
      <c r="J202" s="73"/>
      <c r="K202" s="113"/>
      <c r="L202" s="73"/>
      <c r="M202" s="99"/>
      <c r="N202" s="99"/>
      <c r="O202" s="99"/>
      <c r="P202" s="73"/>
      <c r="Q202" s="73"/>
      <c r="R202" s="73"/>
    </row>
    <row r="203" spans="1:18" ht="12.75">
      <c r="A203" s="14"/>
      <c r="B203" s="9"/>
      <c r="C203" s="10"/>
      <c r="D203" s="9"/>
      <c r="E203" s="9"/>
      <c r="F203" s="9"/>
      <c r="G203" s="3"/>
      <c r="H203" s="73"/>
      <c r="I203" s="99"/>
      <c r="J203" s="73"/>
      <c r="K203" s="113"/>
      <c r="L203" s="73"/>
      <c r="M203" s="99"/>
      <c r="N203" s="99"/>
      <c r="O203" s="99"/>
      <c r="P203" s="73"/>
      <c r="Q203" s="73"/>
      <c r="R203" s="73"/>
    </row>
    <row r="204" spans="1:18" ht="15">
      <c r="A204" s="14"/>
      <c r="B204" s="146" t="str">
        <f>UPPER(H204)</f>
        <v>THE MONK STUDIOS</v>
      </c>
      <c r="C204" s="141"/>
      <c r="D204" s="141"/>
      <c r="E204" s="141"/>
      <c r="F204" s="141"/>
      <c r="G204" s="3"/>
      <c r="H204" s="176" t="s">
        <v>202</v>
      </c>
      <c r="I204" s="141"/>
      <c r="J204" s="141"/>
      <c r="K204" s="141"/>
      <c r="L204" s="141"/>
      <c r="M204" s="99"/>
      <c r="N204" s="149" t="s">
        <v>202</v>
      </c>
      <c r="O204" s="141"/>
      <c r="P204" s="141"/>
      <c r="Q204" s="141"/>
      <c r="R204" s="141"/>
    </row>
    <row r="205" spans="1:18" ht="12.75">
      <c r="A205" s="14"/>
      <c r="B205" s="9"/>
      <c r="C205" s="10" t="str">
        <f>UPPER(I205)</f>
        <v>LAYOUT SUPERVISOR</v>
      </c>
      <c r="D205" s="9"/>
      <c r="E205" s="9" t="str">
        <f>UPPER(K205)</f>
        <v>NITAT WIMANJUNT</v>
      </c>
      <c r="F205" s="9"/>
      <c r="G205" s="3"/>
      <c r="H205" s="73"/>
      <c r="I205" s="101" t="s">
        <v>281</v>
      </c>
      <c r="J205" s="73"/>
      <c r="K205" s="113" t="s">
        <v>701</v>
      </c>
      <c r="L205" s="73"/>
      <c r="M205" s="99"/>
      <c r="N205" s="3"/>
      <c r="O205" s="101" t="s">
        <v>281</v>
      </c>
      <c r="P205" s="73"/>
      <c r="Q205" s="113" t="s">
        <v>701</v>
      </c>
      <c r="R205" s="3"/>
    </row>
    <row r="206" spans="1:18" ht="12.75">
      <c r="A206" s="14"/>
      <c r="B206" s="9"/>
      <c r="C206" s="10"/>
      <c r="D206" s="9"/>
      <c r="E206" s="9"/>
      <c r="F206" s="9"/>
      <c r="G206" s="3"/>
      <c r="H206" s="73"/>
      <c r="I206" s="101"/>
      <c r="J206" s="73"/>
      <c r="K206" s="113"/>
      <c r="L206" s="73"/>
      <c r="M206" s="99"/>
      <c r="N206" s="3"/>
      <c r="O206" s="101"/>
      <c r="P206" s="73"/>
      <c r="Q206" s="113"/>
      <c r="R206" s="3"/>
    </row>
    <row r="207" spans="1:18" ht="12.75">
      <c r="A207" s="14"/>
      <c r="B207" s="9"/>
      <c r="C207" s="10" t="str">
        <f t="shared" ref="C207:C212" si="33">UPPER(I207)</f>
        <v>LAYOUT ARTIST</v>
      </c>
      <c r="D207" s="9"/>
      <c r="E207" s="9" t="str">
        <f t="shared" ref="E207:E213" si="34">UPPER(K207)</f>
        <v>PIYAPHON SRIPHONGNGAM</v>
      </c>
      <c r="F207" s="9"/>
      <c r="G207" s="3"/>
      <c r="H207" s="73"/>
      <c r="I207" s="101" t="s">
        <v>283</v>
      </c>
      <c r="J207" s="73"/>
      <c r="K207" s="113" t="s">
        <v>702</v>
      </c>
      <c r="L207" s="73"/>
      <c r="M207" s="99"/>
      <c r="N207" s="3"/>
      <c r="O207" s="101" t="s">
        <v>283</v>
      </c>
      <c r="P207" s="73"/>
      <c r="Q207" s="113" t="s">
        <v>702</v>
      </c>
      <c r="R207" s="3"/>
    </row>
    <row r="208" spans="1:18" ht="12.75">
      <c r="A208" s="14"/>
      <c r="B208" s="9"/>
      <c r="C208" s="10" t="str">
        <f t="shared" si="33"/>
        <v/>
      </c>
      <c r="D208" s="9"/>
      <c r="E208" s="9" t="str">
        <f t="shared" si="34"/>
        <v>PANYA NATEKOBKUA</v>
      </c>
      <c r="F208" s="9"/>
      <c r="G208" s="3"/>
      <c r="H208" s="73"/>
      <c r="I208" s="99"/>
      <c r="J208" s="73"/>
      <c r="K208" s="113" t="s">
        <v>703</v>
      </c>
      <c r="L208" s="73"/>
      <c r="M208" s="99"/>
      <c r="N208" s="3"/>
      <c r="O208" s="99"/>
      <c r="P208" s="73"/>
      <c r="Q208" s="113" t="s">
        <v>703</v>
      </c>
      <c r="R208" s="3"/>
    </row>
    <row r="209" spans="1:18" ht="12.75">
      <c r="A209" s="14"/>
      <c r="B209" s="9"/>
      <c r="C209" s="10" t="str">
        <f t="shared" si="33"/>
        <v/>
      </c>
      <c r="D209" s="9"/>
      <c r="E209" s="9" t="str">
        <f t="shared" si="34"/>
        <v>CHONLATHORN PHUSRI</v>
      </c>
      <c r="F209" s="9"/>
      <c r="G209" s="3"/>
      <c r="H209" s="73"/>
      <c r="I209" s="99"/>
      <c r="J209" s="73"/>
      <c r="K209" s="113" t="s">
        <v>704</v>
      </c>
      <c r="L209" s="73"/>
      <c r="M209" s="99"/>
      <c r="N209" s="3"/>
      <c r="O209" s="99"/>
      <c r="P209" s="73"/>
      <c r="Q209" s="113" t="s">
        <v>704</v>
      </c>
      <c r="R209" s="3"/>
    </row>
    <row r="210" spans="1:18" ht="12.75">
      <c r="A210" s="14"/>
      <c r="B210" s="9"/>
      <c r="C210" s="10" t="str">
        <f t="shared" si="33"/>
        <v/>
      </c>
      <c r="D210" s="9"/>
      <c r="E210" s="9" t="str">
        <f t="shared" si="34"/>
        <v>NOPPARAT WANGSIN</v>
      </c>
      <c r="F210" s="9"/>
      <c r="G210" s="3"/>
      <c r="H210" s="73"/>
      <c r="I210" s="99"/>
      <c r="J210" s="73"/>
      <c r="K210" s="113" t="s">
        <v>705</v>
      </c>
      <c r="L210" s="73"/>
      <c r="M210" s="99"/>
      <c r="N210" s="3"/>
      <c r="O210" s="99"/>
      <c r="P210" s="73"/>
      <c r="Q210" s="113" t="s">
        <v>705</v>
      </c>
      <c r="R210" s="3"/>
    </row>
    <row r="211" spans="1:18" ht="12.75">
      <c r="A211" s="14"/>
      <c r="B211" s="9"/>
      <c r="C211" s="10" t="str">
        <f t="shared" si="33"/>
        <v/>
      </c>
      <c r="D211" s="9"/>
      <c r="E211" s="9" t="str">
        <f t="shared" si="34"/>
        <v>KANYANEE DUANGNAPA</v>
      </c>
      <c r="F211" s="9"/>
      <c r="G211" s="3"/>
      <c r="H211" s="73"/>
      <c r="I211" s="99"/>
      <c r="J211" s="73"/>
      <c r="K211" s="113" t="s">
        <v>706</v>
      </c>
      <c r="L211" s="73"/>
      <c r="M211" s="99"/>
      <c r="N211" s="3"/>
      <c r="O211" s="99"/>
      <c r="P211" s="73"/>
      <c r="Q211" s="113" t="s">
        <v>706</v>
      </c>
      <c r="R211" s="3"/>
    </row>
    <row r="212" spans="1:18" ht="12.75">
      <c r="A212" s="14"/>
      <c r="B212" s="9"/>
      <c r="C212" s="10" t="str">
        <f t="shared" si="33"/>
        <v/>
      </c>
      <c r="D212" s="9"/>
      <c r="E212" s="9" t="str">
        <f t="shared" si="34"/>
        <v>PHIRAPHON PAKAPHONGPHAN</v>
      </c>
      <c r="F212" s="9"/>
      <c r="G212" s="3"/>
      <c r="H212" s="73"/>
      <c r="I212" s="99"/>
      <c r="J212" s="73"/>
      <c r="K212" s="113" t="s">
        <v>707</v>
      </c>
      <c r="L212" s="73"/>
      <c r="M212" s="99"/>
      <c r="N212" s="3"/>
      <c r="O212" s="99"/>
      <c r="P212" s="73"/>
      <c r="Q212" s="113" t="s">
        <v>707</v>
      </c>
      <c r="R212" s="3"/>
    </row>
    <row r="213" spans="1:18" ht="12.75">
      <c r="A213" s="14"/>
      <c r="B213" s="9"/>
      <c r="C213" s="10"/>
      <c r="D213" s="9"/>
      <c r="E213" s="9" t="str">
        <f t="shared" si="34"/>
        <v>PASSAKORN BENJAPISUT</v>
      </c>
      <c r="F213" s="9"/>
      <c r="G213" s="3"/>
      <c r="H213" s="73"/>
      <c r="I213" s="99"/>
      <c r="J213" s="73"/>
      <c r="K213" s="113" t="s">
        <v>708</v>
      </c>
      <c r="L213" s="73"/>
      <c r="M213" s="99"/>
      <c r="N213" s="99"/>
      <c r="O213" s="99"/>
      <c r="P213" s="73"/>
      <c r="Q213" s="113" t="s">
        <v>708</v>
      </c>
      <c r="R213" s="73"/>
    </row>
    <row r="214" spans="1:18" ht="12.75">
      <c r="A214" s="14"/>
      <c r="B214" s="9"/>
      <c r="C214" s="10"/>
      <c r="D214" s="9"/>
      <c r="E214" s="9"/>
      <c r="F214" s="9"/>
      <c r="G214" s="3"/>
      <c r="H214" s="73"/>
      <c r="I214" s="99"/>
      <c r="J214" s="73"/>
      <c r="K214" s="113"/>
      <c r="L214" s="73"/>
      <c r="M214" s="99"/>
      <c r="N214" s="99"/>
      <c r="O214" s="99"/>
      <c r="P214" s="73"/>
      <c r="Q214" s="73"/>
      <c r="R214" s="73"/>
    </row>
    <row r="215" spans="1:18" ht="12.75">
      <c r="A215" s="14"/>
      <c r="B215" s="11"/>
      <c r="C215" s="12"/>
      <c r="D215" s="11"/>
      <c r="E215" s="11"/>
      <c r="F215" s="11"/>
      <c r="G215" s="3"/>
      <c r="H215" s="73"/>
      <c r="I215" s="99"/>
      <c r="J215" s="73"/>
      <c r="K215" s="109"/>
      <c r="L215" s="73"/>
      <c r="M215" s="99"/>
      <c r="N215" s="99"/>
      <c r="O215" s="99"/>
      <c r="P215" s="73"/>
      <c r="Q215" s="73"/>
      <c r="R215" s="73"/>
    </row>
    <row r="216" spans="1:18" ht="15">
      <c r="A216" s="14"/>
      <c r="B216" s="6"/>
      <c r="C216" s="6"/>
      <c r="D216" s="6"/>
      <c r="E216" s="6"/>
      <c r="F216" s="6"/>
      <c r="G216" s="3"/>
      <c r="H216" s="110"/>
      <c r="I216" s="99"/>
      <c r="J216" s="110"/>
      <c r="K216" s="109"/>
      <c r="L216" s="110"/>
      <c r="M216" s="99"/>
      <c r="N216" s="99"/>
      <c r="O216" s="99"/>
      <c r="P216" s="73"/>
      <c r="Q216" s="73"/>
      <c r="R216" s="73"/>
    </row>
    <row r="217" spans="1:18" ht="18">
      <c r="A217" s="14"/>
      <c r="B217" s="150" t="str">
        <f>UPPER(H217)</f>
        <v>ANIMATION</v>
      </c>
      <c r="C217" s="141"/>
      <c r="D217" s="141"/>
      <c r="E217" s="141"/>
      <c r="F217" s="141"/>
      <c r="G217" s="28"/>
      <c r="H217" s="173" t="s">
        <v>290</v>
      </c>
      <c r="I217" s="141"/>
      <c r="J217" s="141"/>
      <c r="K217" s="141"/>
      <c r="L217" s="141"/>
      <c r="M217" s="112"/>
      <c r="N217" s="149" t="s">
        <v>832</v>
      </c>
      <c r="O217" s="141"/>
      <c r="P217" s="141"/>
      <c r="Q217" s="141"/>
      <c r="R217" s="141"/>
    </row>
    <row r="218" spans="1:18" ht="12.75">
      <c r="A218" s="14"/>
      <c r="B218" s="9"/>
      <c r="C218" s="10" t="str">
        <f>UPPER(I218)</f>
        <v>ANIMATION DIRECTOR</v>
      </c>
      <c r="D218" s="9"/>
      <c r="E218" s="9" t="str">
        <f>UPPER(K218)</f>
        <v>MINCHEOL CHOI</v>
      </c>
      <c r="F218" s="9"/>
      <c r="G218" s="3"/>
      <c r="H218" s="73"/>
      <c r="I218" s="99" t="s">
        <v>291</v>
      </c>
      <c r="J218" s="73"/>
      <c r="K218" s="73" t="s">
        <v>613</v>
      </c>
      <c r="L218" s="73"/>
      <c r="M218" s="99"/>
      <c r="N218" s="3"/>
      <c r="O218" s="8" t="s">
        <v>833</v>
      </c>
      <c r="P218" s="3"/>
      <c r="Q218" s="3" t="s">
        <v>954</v>
      </c>
      <c r="R218" s="3"/>
    </row>
    <row r="219" spans="1:18" ht="12.75">
      <c r="A219" s="14"/>
      <c r="B219" s="9"/>
      <c r="C219" s="10"/>
      <c r="D219" s="9"/>
      <c r="E219" s="9"/>
      <c r="F219" s="9"/>
      <c r="G219" s="3"/>
      <c r="H219" s="73"/>
      <c r="I219" s="99"/>
      <c r="J219" s="73"/>
      <c r="K219" s="109"/>
      <c r="L219" s="73"/>
      <c r="M219" s="99"/>
      <c r="N219" s="99"/>
      <c r="O219" s="99"/>
      <c r="P219" s="73"/>
      <c r="Q219" s="73"/>
      <c r="R219" s="73"/>
    </row>
    <row r="220" spans="1:18" ht="12.75">
      <c r="A220" s="14"/>
      <c r="B220" s="9"/>
      <c r="C220" s="10" t="str">
        <f>UPPER(I220)</f>
        <v/>
      </c>
      <c r="D220" s="9"/>
      <c r="E220" s="9" t="str">
        <f t="shared" ref="E220:E221" si="35">UPPER(K220)</f>
        <v/>
      </c>
      <c r="F220" s="9"/>
      <c r="G220" s="3"/>
      <c r="H220" s="73"/>
      <c r="I220" s="96"/>
      <c r="J220" s="96"/>
      <c r="K220" s="96"/>
      <c r="L220" s="73"/>
      <c r="M220" s="99"/>
      <c r="N220" s="99"/>
      <c r="O220" s="99"/>
      <c r="P220" s="73"/>
      <c r="Q220" s="73"/>
      <c r="R220" s="73"/>
    </row>
    <row r="221" spans="1:18" ht="12.75">
      <c r="A221" s="14"/>
      <c r="B221" s="9"/>
      <c r="C221" s="10"/>
      <c r="D221" s="9"/>
      <c r="E221" s="9" t="str">
        <f t="shared" si="35"/>
        <v/>
      </c>
      <c r="F221" s="9"/>
      <c r="G221" s="3"/>
      <c r="H221" s="73"/>
      <c r="I221" s="96"/>
      <c r="J221" s="96"/>
      <c r="K221" s="96"/>
      <c r="L221" s="73"/>
      <c r="M221" s="99"/>
      <c r="N221" s="99"/>
      <c r="O221" s="99"/>
      <c r="P221" s="73"/>
      <c r="Q221" s="73"/>
      <c r="R221" s="73"/>
    </row>
    <row r="222" spans="1:18" ht="15">
      <c r="A222" s="14"/>
      <c r="B222" s="146" t="str">
        <f>UPPER(H222)</f>
        <v>THE MONK STUDIOS</v>
      </c>
      <c r="C222" s="141"/>
      <c r="D222" s="141"/>
      <c r="E222" s="141"/>
      <c r="F222" s="141"/>
      <c r="G222" s="3"/>
      <c r="H222" s="176" t="s">
        <v>202</v>
      </c>
      <c r="I222" s="141"/>
      <c r="J222" s="141"/>
      <c r="K222" s="141"/>
      <c r="L222" s="141"/>
      <c r="M222" s="99"/>
      <c r="N222" s="176" t="s">
        <v>202</v>
      </c>
      <c r="O222" s="141"/>
      <c r="P222" s="141"/>
      <c r="Q222" s="141"/>
      <c r="R222" s="141"/>
    </row>
    <row r="223" spans="1:18" ht="12.75">
      <c r="A223" s="14"/>
      <c r="B223" s="9"/>
      <c r="C223" s="10" t="str">
        <f t="shared" ref="C223:C227" si="36">UPPER(I223)</f>
        <v>ANIMATION DIRECTOR</v>
      </c>
      <c r="D223" s="9"/>
      <c r="E223" s="9" t="str">
        <f t="shared" ref="E223:E227" si="37">UPPER(K223)</f>
        <v>SUPAPORN KLONGPHAJONKIT</v>
      </c>
      <c r="F223" s="9"/>
      <c r="G223" s="3"/>
      <c r="H223" s="73"/>
      <c r="I223" s="101" t="s">
        <v>291</v>
      </c>
      <c r="J223" s="73"/>
      <c r="K223" s="113" t="s">
        <v>303</v>
      </c>
      <c r="L223" s="73"/>
      <c r="M223" s="99"/>
      <c r="N223" s="73"/>
      <c r="O223" s="101" t="s">
        <v>291</v>
      </c>
      <c r="P223" s="73"/>
      <c r="Q223" s="113" t="s">
        <v>303</v>
      </c>
      <c r="R223" s="73"/>
    </row>
    <row r="224" spans="1:18" ht="12.75">
      <c r="A224" s="14"/>
      <c r="B224" s="9"/>
      <c r="C224" s="10" t="str">
        <f t="shared" si="36"/>
        <v/>
      </c>
      <c r="D224" s="9"/>
      <c r="E224" s="9" t="str">
        <f t="shared" si="37"/>
        <v/>
      </c>
      <c r="F224" s="9"/>
      <c r="G224" s="3"/>
      <c r="H224" s="73"/>
      <c r="I224" s="101"/>
      <c r="J224" s="73"/>
      <c r="K224" s="113"/>
      <c r="L224" s="73"/>
      <c r="M224" s="99"/>
      <c r="N224" s="73"/>
      <c r="O224" s="101"/>
      <c r="P224" s="73"/>
      <c r="Q224" s="113"/>
      <c r="R224" s="73"/>
    </row>
    <row r="225" spans="1:18" ht="12.75">
      <c r="A225" s="14"/>
      <c r="B225" s="9"/>
      <c r="C225" s="10" t="str">
        <f t="shared" si="36"/>
        <v>ANIMATION SUPERVISOR</v>
      </c>
      <c r="D225" s="9"/>
      <c r="E225" s="9" t="str">
        <f t="shared" si="37"/>
        <v>PHAKAMAS PHASUK</v>
      </c>
      <c r="F225" s="9"/>
      <c r="G225" s="3"/>
      <c r="H225" s="73"/>
      <c r="I225" s="101" t="s">
        <v>293</v>
      </c>
      <c r="J225" s="73"/>
      <c r="K225" s="113" t="s">
        <v>614</v>
      </c>
      <c r="L225" s="73"/>
      <c r="M225" s="99"/>
      <c r="N225" s="73"/>
      <c r="O225" s="101" t="s">
        <v>293</v>
      </c>
      <c r="P225" s="73"/>
      <c r="Q225" s="113" t="s">
        <v>614</v>
      </c>
      <c r="R225" s="73"/>
    </row>
    <row r="226" spans="1:18" ht="12.75">
      <c r="A226" s="14"/>
      <c r="B226" s="9"/>
      <c r="C226" s="10" t="str">
        <f t="shared" si="36"/>
        <v/>
      </c>
      <c r="D226" s="9"/>
      <c r="E226" s="9" t="str">
        <f t="shared" si="37"/>
        <v>SASIN POLITANONT</v>
      </c>
      <c r="F226" s="9"/>
      <c r="G226" s="3"/>
      <c r="H226" s="73"/>
      <c r="I226" s="101"/>
      <c r="J226" s="73"/>
      <c r="K226" s="113" t="s">
        <v>615</v>
      </c>
      <c r="L226" s="73"/>
      <c r="M226" s="99"/>
      <c r="N226" s="73"/>
      <c r="O226" s="101"/>
      <c r="P226" s="73"/>
      <c r="Q226" s="113" t="s">
        <v>615</v>
      </c>
      <c r="R226" s="73"/>
    </row>
    <row r="227" spans="1:18" ht="12.75">
      <c r="A227" s="14"/>
      <c r="B227" s="9"/>
      <c r="C227" s="10" t="str">
        <f t="shared" si="36"/>
        <v/>
      </c>
      <c r="D227" s="9"/>
      <c r="E227" s="9" t="str">
        <f t="shared" si="37"/>
        <v/>
      </c>
      <c r="F227" s="9"/>
      <c r="G227" s="3"/>
      <c r="H227" s="73"/>
      <c r="I227" s="101"/>
      <c r="J227" s="73"/>
      <c r="K227" s="113"/>
      <c r="L227" s="73"/>
      <c r="M227" s="99"/>
      <c r="N227" s="99"/>
      <c r="O227" s="99"/>
      <c r="P227" s="73"/>
      <c r="Q227" s="73"/>
      <c r="R227" s="73"/>
    </row>
    <row r="228" spans="1:18" ht="15">
      <c r="A228" s="14"/>
      <c r="B228" s="26"/>
      <c r="C228" s="26"/>
      <c r="D228" s="26"/>
      <c r="E228" s="26"/>
      <c r="F228" s="26"/>
      <c r="G228" s="3"/>
      <c r="H228" s="96"/>
      <c r="I228" s="96"/>
      <c r="J228" s="96"/>
      <c r="K228" s="96"/>
      <c r="L228" s="96"/>
      <c r="M228" s="99"/>
      <c r="N228" s="99"/>
      <c r="O228" s="99"/>
      <c r="P228" s="73"/>
      <c r="Q228" s="73"/>
      <c r="R228" s="73"/>
    </row>
    <row r="229" spans="1:18" ht="15">
      <c r="A229" s="14"/>
      <c r="B229" s="6"/>
      <c r="C229" s="6"/>
      <c r="D229" s="6"/>
      <c r="E229" s="6"/>
      <c r="F229" s="6"/>
      <c r="G229" s="3"/>
      <c r="H229" s="96"/>
      <c r="I229" s="96"/>
      <c r="J229" s="96"/>
      <c r="K229" s="96"/>
      <c r="L229" s="96"/>
      <c r="M229" s="99"/>
      <c r="N229" s="99"/>
      <c r="O229" s="99"/>
      <c r="P229" s="73"/>
      <c r="Q229" s="73"/>
      <c r="R229" s="73"/>
    </row>
    <row r="230" spans="1:18" ht="18">
      <c r="A230" s="14"/>
      <c r="B230" s="150" t="str">
        <f t="shared" ref="B230:B231" si="38">UPPER(H230)</f>
        <v>ANIMATION</v>
      </c>
      <c r="C230" s="141"/>
      <c r="D230" s="141"/>
      <c r="E230" s="141"/>
      <c r="F230" s="141"/>
      <c r="G230" s="28"/>
      <c r="H230" s="173" t="s">
        <v>290</v>
      </c>
      <c r="I230" s="141"/>
      <c r="J230" s="141"/>
      <c r="K230" s="141"/>
      <c r="L230" s="141"/>
      <c r="M230" s="99"/>
      <c r="N230" s="149" t="s">
        <v>832</v>
      </c>
      <c r="O230" s="141"/>
      <c r="P230" s="141"/>
      <c r="Q230" s="141"/>
      <c r="R230" s="141"/>
    </row>
    <row r="231" spans="1:18" ht="15">
      <c r="A231" s="14"/>
      <c r="B231" s="146" t="str">
        <f t="shared" si="38"/>
        <v>ADDITIONAL ARTISTS</v>
      </c>
      <c r="C231" s="141"/>
      <c r="D231" s="141"/>
      <c r="E231" s="141"/>
      <c r="F231" s="141"/>
      <c r="G231" s="3"/>
      <c r="H231" s="176" t="s">
        <v>405</v>
      </c>
      <c r="I231" s="141"/>
      <c r="J231" s="141"/>
      <c r="K231" s="141"/>
      <c r="L231" s="141"/>
      <c r="M231" s="99"/>
      <c r="N231" s="176" t="s">
        <v>405</v>
      </c>
      <c r="O231" s="141"/>
      <c r="P231" s="141"/>
      <c r="Q231" s="141"/>
      <c r="R231" s="141"/>
    </row>
    <row r="232" spans="1:18" ht="12.75">
      <c r="A232" s="14"/>
      <c r="B232" s="9"/>
      <c r="C232" s="10"/>
      <c r="D232" s="9"/>
      <c r="E232" s="9"/>
      <c r="F232" s="9"/>
      <c r="G232" s="3"/>
      <c r="H232" s="73"/>
      <c r="I232" s="101"/>
      <c r="J232" s="73"/>
      <c r="K232" s="113"/>
      <c r="L232" s="73"/>
      <c r="M232" s="99"/>
      <c r="N232" s="73"/>
      <c r="O232" s="101"/>
      <c r="P232" s="73"/>
      <c r="Q232" s="113"/>
      <c r="R232" s="73"/>
    </row>
    <row r="233" spans="1:18" ht="12.75">
      <c r="A233" s="14"/>
      <c r="B233" s="9"/>
      <c r="C233" s="10" t="str">
        <f t="shared" ref="C233:C248" si="39">UPPER(I233)</f>
        <v>ANIMATION SUPERVISOR</v>
      </c>
      <c r="D233" s="9"/>
      <c r="E233" s="9" t="str">
        <f t="shared" ref="E233:E248" si="40">UPPER(K233)</f>
        <v>THANET PHITTAYAPHANURAK</v>
      </c>
      <c r="F233" s="9"/>
      <c r="G233" s="3"/>
      <c r="H233" s="73"/>
      <c r="I233" s="101" t="s">
        <v>293</v>
      </c>
      <c r="J233" s="73"/>
      <c r="K233" s="113" t="s">
        <v>745</v>
      </c>
      <c r="L233" s="73"/>
      <c r="M233" s="99"/>
      <c r="N233" s="73"/>
      <c r="O233" s="101" t="s">
        <v>293</v>
      </c>
      <c r="P233" s="73"/>
      <c r="Q233" s="113" t="s">
        <v>745</v>
      </c>
      <c r="R233" s="73"/>
    </row>
    <row r="234" spans="1:18" ht="12.75">
      <c r="A234" s="14"/>
      <c r="B234" s="9"/>
      <c r="C234" s="10" t="str">
        <f t="shared" si="39"/>
        <v/>
      </c>
      <c r="D234" s="9"/>
      <c r="E234" s="9" t="str">
        <f t="shared" si="40"/>
        <v/>
      </c>
      <c r="F234" s="9"/>
      <c r="G234" s="3"/>
      <c r="H234" s="73"/>
      <c r="I234" s="101"/>
      <c r="J234" s="73"/>
      <c r="K234" s="113"/>
      <c r="L234" s="73"/>
      <c r="M234" s="99"/>
      <c r="N234" s="73"/>
      <c r="O234" s="101"/>
      <c r="P234" s="73"/>
      <c r="Q234" s="113"/>
      <c r="R234" s="73"/>
    </row>
    <row r="235" spans="1:18" ht="12.75">
      <c r="A235" s="14"/>
      <c r="B235" s="9"/>
      <c r="C235" s="10" t="str">
        <f t="shared" si="39"/>
        <v>ANIMATION LEAD</v>
      </c>
      <c r="D235" s="9"/>
      <c r="E235" s="9" t="str">
        <f t="shared" si="40"/>
        <v>SIRICHAI THINYAKUL</v>
      </c>
      <c r="F235" s="9"/>
      <c r="G235" s="3"/>
      <c r="H235" s="73"/>
      <c r="I235" s="101" t="s">
        <v>746</v>
      </c>
      <c r="J235" s="73"/>
      <c r="K235" s="113" t="s">
        <v>747</v>
      </c>
      <c r="L235" s="73"/>
      <c r="M235" s="99"/>
      <c r="N235" s="73"/>
      <c r="O235" s="101" t="s">
        <v>746</v>
      </c>
      <c r="P235" s="73"/>
      <c r="Q235" s="113" t="s">
        <v>747</v>
      </c>
      <c r="R235" s="73"/>
    </row>
    <row r="236" spans="1:18" ht="12.75">
      <c r="A236" s="14"/>
      <c r="B236" s="9"/>
      <c r="C236" s="10" t="str">
        <f t="shared" si="39"/>
        <v/>
      </c>
      <c r="D236" s="9"/>
      <c r="E236" s="9" t="str">
        <f t="shared" si="40"/>
        <v>VEERAWIT  PHONGNITICHAROEN</v>
      </c>
      <c r="F236" s="9"/>
      <c r="G236" s="3"/>
      <c r="H236" s="73"/>
      <c r="I236" s="99"/>
      <c r="J236" s="73"/>
      <c r="K236" s="113" t="s">
        <v>748</v>
      </c>
      <c r="L236" s="73"/>
      <c r="M236" s="99"/>
      <c r="N236" s="73"/>
      <c r="O236" s="99"/>
      <c r="P236" s="73"/>
      <c r="Q236" s="113" t="s">
        <v>748</v>
      </c>
      <c r="R236" s="73"/>
    </row>
    <row r="237" spans="1:18" ht="12.75">
      <c r="A237" s="14"/>
      <c r="B237" s="9"/>
      <c r="C237" s="10" t="str">
        <f t="shared" si="39"/>
        <v/>
      </c>
      <c r="D237" s="9"/>
      <c r="E237" s="9" t="str">
        <f t="shared" si="40"/>
        <v>THANAWAT TUNGCHAROEN</v>
      </c>
      <c r="F237" s="9"/>
      <c r="G237" s="3"/>
      <c r="H237" s="73"/>
      <c r="I237" s="99"/>
      <c r="J237" s="73"/>
      <c r="K237" s="113" t="s">
        <v>749</v>
      </c>
      <c r="L237" s="73"/>
      <c r="M237" s="99"/>
      <c r="N237" s="73"/>
      <c r="O237" s="99"/>
      <c r="P237" s="73"/>
      <c r="Q237" s="113" t="s">
        <v>749</v>
      </c>
      <c r="R237" s="73"/>
    </row>
    <row r="238" spans="1:18" ht="12.75">
      <c r="A238" s="14"/>
      <c r="B238" s="9"/>
      <c r="C238" s="10" t="str">
        <f t="shared" si="39"/>
        <v/>
      </c>
      <c r="D238" s="9"/>
      <c r="E238" s="9" t="str">
        <f t="shared" si="40"/>
        <v/>
      </c>
      <c r="F238" s="9"/>
      <c r="G238" s="3"/>
      <c r="H238" s="73"/>
      <c r="I238" s="101"/>
      <c r="J238" s="73"/>
      <c r="K238" s="113"/>
      <c r="L238" s="73"/>
      <c r="M238" s="99"/>
      <c r="N238" s="73"/>
      <c r="O238" s="101"/>
      <c r="P238" s="73"/>
      <c r="Q238" s="113"/>
      <c r="R238" s="73"/>
    </row>
    <row r="239" spans="1:18" ht="12.75">
      <c r="A239" s="14"/>
      <c r="B239" s="9"/>
      <c r="C239" s="10" t="str">
        <f t="shared" si="39"/>
        <v>ANIMATOR</v>
      </c>
      <c r="D239" s="9"/>
      <c r="E239" s="9" t="str">
        <f t="shared" si="40"/>
        <v>PATSAWAT JONGCHANSITTHO</v>
      </c>
      <c r="F239" s="9"/>
      <c r="G239" s="3"/>
      <c r="H239" s="73"/>
      <c r="I239" s="101" t="s">
        <v>296</v>
      </c>
      <c r="J239" s="73"/>
      <c r="K239" s="113" t="s">
        <v>750</v>
      </c>
      <c r="L239" s="73"/>
      <c r="M239" s="99"/>
      <c r="N239" s="73"/>
      <c r="O239" s="101" t="s">
        <v>296</v>
      </c>
      <c r="P239" s="73"/>
      <c r="Q239" s="113" t="s">
        <v>750</v>
      </c>
      <c r="R239" s="73"/>
    </row>
    <row r="240" spans="1:18" ht="12.75">
      <c r="A240" s="14"/>
      <c r="B240" s="9"/>
      <c r="C240" s="10" t="str">
        <f t="shared" si="39"/>
        <v/>
      </c>
      <c r="D240" s="9"/>
      <c r="E240" s="9" t="str">
        <f t="shared" si="40"/>
        <v>WITAYAPON THAIMAI</v>
      </c>
      <c r="F240" s="9"/>
      <c r="G240" s="3"/>
      <c r="H240" s="73"/>
      <c r="I240" s="99"/>
      <c r="J240" s="73"/>
      <c r="K240" s="113" t="s">
        <v>751</v>
      </c>
      <c r="L240" s="73"/>
      <c r="M240" s="99"/>
      <c r="N240" s="73"/>
      <c r="O240" s="99"/>
      <c r="P240" s="73"/>
      <c r="Q240" s="113" t="s">
        <v>751</v>
      </c>
      <c r="R240" s="73"/>
    </row>
    <row r="241" spans="1:18" ht="12.75">
      <c r="A241" s="14"/>
      <c r="B241" s="9"/>
      <c r="C241" s="10" t="str">
        <f t="shared" si="39"/>
        <v/>
      </c>
      <c r="D241" s="9"/>
      <c r="E241" s="9" t="str">
        <f t="shared" si="40"/>
        <v>GUYPAT TEERASAWAT</v>
      </c>
      <c r="F241" s="9"/>
      <c r="G241" s="3"/>
      <c r="H241" s="73"/>
      <c r="I241" s="99"/>
      <c r="J241" s="73"/>
      <c r="K241" s="113" t="s">
        <v>752</v>
      </c>
      <c r="L241" s="73"/>
      <c r="M241" s="99"/>
      <c r="N241" s="73"/>
      <c r="O241" s="99"/>
      <c r="P241" s="73"/>
      <c r="Q241" s="113" t="s">
        <v>752</v>
      </c>
      <c r="R241" s="73"/>
    </row>
    <row r="242" spans="1:18" ht="12.75">
      <c r="A242" s="14"/>
      <c r="B242" s="9"/>
      <c r="C242" s="10" t="str">
        <f t="shared" si="39"/>
        <v/>
      </c>
      <c r="D242" s="9"/>
      <c r="E242" s="9" t="str">
        <f t="shared" si="40"/>
        <v>WORRAPHACH KANOKAPIWAT</v>
      </c>
      <c r="F242" s="9"/>
      <c r="G242" s="3"/>
      <c r="H242" s="73"/>
      <c r="I242" s="99"/>
      <c r="J242" s="73"/>
      <c r="K242" s="113" t="s">
        <v>753</v>
      </c>
      <c r="L242" s="73"/>
      <c r="M242" s="99"/>
      <c r="N242" s="73"/>
      <c r="O242" s="99"/>
      <c r="P242" s="73"/>
      <c r="Q242" s="113" t="s">
        <v>753</v>
      </c>
      <c r="R242" s="73"/>
    </row>
    <row r="243" spans="1:18" ht="12.75">
      <c r="A243" s="14"/>
      <c r="B243" s="9"/>
      <c r="C243" s="10" t="str">
        <f t="shared" si="39"/>
        <v/>
      </c>
      <c r="D243" s="9"/>
      <c r="E243" s="9" t="str">
        <f t="shared" si="40"/>
        <v>SAKOL SUTTHIPAK</v>
      </c>
      <c r="F243" s="9"/>
      <c r="G243" s="3"/>
      <c r="H243" s="73"/>
      <c r="I243" s="99"/>
      <c r="J243" s="73"/>
      <c r="K243" s="113" t="s">
        <v>754</v>
      </c>
      <c r="L243" s="73"/>
      <c r="M243" s="99"/>
      <c r="N243" s="73"/>
      <c r="O243" s="99"/>
      <c r="P243" s="73"/>
      <c r="Q243" s="113" t="s">
        <v>754</v>
      </c>
      <c r="R243" s="73"/>
    </row>
    <row r="244" spans="1:18" ht="12.75">
      <c r="A244" s="14"/>
      <c r="B244" s="9"/>
      <c r="C244" s="10" t="str">
        <f t="shared" si="39"/>
        <v/>
      </c>
      <c r="D244" s="9"/>
      <c r="E244" s="9" t="str">
        <f t="shared" si="40"/>
        <v>CHUTIMA BOONTHANOM</v>
      </c>
      <c r="F244" s="9"/>
      <c r="G244" s="3"/>
      <c r="H244" s="73"/>
      <c r="I244" s="99"/>
      <c r="J244" s="73"/>
      <c r="K244" s="113" t="s">
        <v>755</v>
      </c>
      <c r="L244" s="73"/>
      <c r="M244" s="99"/>
      <c r="N244" s="73"/>
      <c r="O244" s="99"/>
      <c r="P244" s="73"/>
      <c r="Q244" s="113" t="s">
        <v>755</v>
      </c>
      <c r="R244" s="73"/>
    </row>
    <row r="245" spans="1:18" ht="12.75">
      <c r="A245" s="14"/>
      <c r="B245" s="9"/>
      <c r="C245" s="10" t="str">
        <f t="shared" si="39"/>
        <v/>
      </c>
      <c r="D245" s="9"/>
      <c r="E245" s="9" t="str">
        <f t="shared" si="40"/>
        <v>RATHANON SANTIWIRIYAKARN</v>
      </c>
      <c r="F245" s="9"/>
      <c r="G245" s="3"/>
      <c r="H245" s="73"/>
      <c r="I245" s="99"/>
      <c r="J245" s="73"/>
      <c r="K245" s="113" t="s">
        <v>756</v>
      </c>
      <c r="L245" s="73"/>
      <c r="M245" s="99"/>
      <c r="N245" s="73"/>
      <c r="O245" s="99"/>
      <c r="P245" s="73"/>
      <c r="Q245" s="113" t="s">
        <v>756</v>
      </c>
      <c r="R245" s="73"/>
    </row>
    <row r="246" spans="1:18" ht="12.75">
      <c r="A246" s="14"/>
      <c r="B246" s="9"/>
      <c r="C246" s="10" t="str">
        <f t="shared" si="39"/>
        <v/>
      </c>
      <c r="D246" s="9"/>
      <c r="E246" s="9" t="str">
        <f t="shared" si="40"/>
        <v xml:space="preserve">THARIN WECHAPINANT </v>
      </c>
      <c r="F246" s="9"/>
      <c r="G246" s="3"/>
      <c r="H246" s="73"/>
      <c r="I246" s="99"/>
      <c r="J246" s="73"/>
      <c r="K246" s="113" t="s">
        <v>757</v>
      </c>
      <c r="L246" s="73"/>
      <c r="M246" s="99"/>
      <c r="N246" s="73"/>
      <c r="O246" s="99"/>
      <c r="P246" s="73"/>
      <c r="Q246" s="113" t="s">
        <v>757</v>
      </c>
      <c r="R246" s="73"/>
    </row>
    <row r="247" spans="1:18" ht="12.75">
      <c r="A247" s="14"/>
      <c r="B247" s="9"/>
      <c r="C247" s="10" t="str">
        <f t="shared" si="39"/>
        <v/>
      </c>
      <c r="D247" s="9"/>
      <c r="E247" s="9" t="str">
        <f t="shared" si="40"/>
        <v/>
      </c>
      <c r="F247" s="9"/>
      <c r="G247" s="3"/>
      <c r="H247" s="73"/>
      <c r="I247" s="99"/>
      <c r="J247" s="73"/>
      <c r="K247" s="113"/>
      <c r="L247" s="73"/>
      <c r="M247" s="99"/>
      <c r="N247" s="99"/>
      <c r="O247" s="99"/>
      <c r="P247" s="73"/>
      <c r="Q247" s="73"/>
      <c r="R247" s="73"/>
    </row>
    <row r="248" spans="1:18" ht="12.75">
      <c r="A248" s="14"/>
      <c r="B248" s="11"/>
      <c r="C248" s="12" t="str">
        <f t="shared" si="39"/>
        <v/>
      </c>
      <c r="D248" s="11"/>
      <c r="E248" s="11" t="str">
        <f t="shared" si="40"/>
        <v/>
      </c>
      <c r="F248" s="11"/>
      <c r="G248" s="3"/>
      <c r="H248" s="73"/>
      <c r="I248" s="99"/>
      <c r="J248" s="73"/>
      <c r="K248" s="109"/>
      <c r="L248" s="73"/>
      <c r="M248" s="73"/>
      <c r="N248" s="73"/>
      <c r="O248" s="99"/>
      <c r="P248" s="73"/>
      <c r="Q248" s="73"/>
      <c r="R248" s="73"/>
    </row>
    <row r="249" spans="1:18" ht="15">
      <c r="A249" s="14"/>
      <c r="B249" s="6"/>
      <c r="C249" s="6"/>
      <c r="D249" s="6"/>
      <c r="E249" s="6"/>
      <c r="F249" s="6"/>
      <c r="G249" s="3"/>
      <c r="H249" s="110"/>
      <c r="I249" s="99"/>
      <c r="J249" s="110"/>
      <c r="K249" s="109"/>
      <c r="L249" s="110"/>
      <c r="M249" s="99"/>
      <c r="N249" s="99"/>
      <c r="O249" s="99"/>
      <c r="P249" s="73"/>
      <c r="Q249" s="73"/>
      <c r="R249" s="73"/>
    </row>
    <row r="250" spans="1:18" ht="18">
      <c r="A250" s="14"/>
      <c r="B250" s="150" t="str">
        <f>UPPER(H250)</f>
        <v>LIGHTING / VFX / COMPOSITING</v>
      </c>
      <c r="C250" s="141"/>
      <c r="D250" s="141"/>
      <c r="E250" s="141"/>
      <c r="F250" s="141"/>
      <c r="G250" s="28"/>
      <c r="H250" s="173" t="s">
        <v>330</v>
      </c>
      <c r="I250" s="141"/>
      <c r="J250" s="141"/>
      <c r="K250" s="141"/>
      <c r="L250" s="141"/>
      <c r="M250" s="112"/>
      <c r="N250" s="149" t="s">
        <v>845</v>
      </c>
      <c r="O250" s="141"/>
      <c r="P250" s="141"/>
      <c r="Q250" s="141"/>
      <c r="R250" s="141"/>
    </row>
    <row r="251" spans="1:18" ht="12.75">
      <c r="A251" s="14"/>
      <c r="B251" s="9"/>
      <c r="C251" s="10" t="str">
        <f t="shared" ref="C251:C260" si="41">UPPER(I251)</f>
        <v>VFX SUPERVISOR</v>
      </c>
      <c r="D251" s="9"/>
      <c r="E251" s="9" t="str">
        <f t="shared" ref="E251:E260" si="42">UPPER(K251)</f>
        <v>HYEONGKI KIM</v>
      </c>
      <c r="F251" s="9"/>
      <c r="G251" s="3"/>
      <c r="H251" s="73"/>
      <c r="I251" s="99" t="s">
        <v>331</v>
      </c>
      <c r="J251" s="73"/>
      <c r="K251" s="109" t="s">
        <v>332</v>
      </c>
      <c r="L251" s="73"/>
      <c r="M251" s="99"/>
      <c r="N251" s="8"/>
      <c r="O251" s="8" t="s">
        <v>846</v>
      </c>
      <c r="P251" s="3"/>
      <c r="Q251" s="3" t="s">
        <v>847</v>
      </c>
      <c r="R251" s="3"/>
    </row>
    <row r="252" spans="1:18" ht="12.75">
      <c r="A252" s="14"/>
      <c r="B252" s="9"/>
      <c r="C252" s="10" t="str">
        <f t="shared" si="41"/>
        <v/>
      </c>
      <c r="D252" s="9"/>
      <c r="E252" s="9" t="str">
        <f t="shared" si="42"/>
        <v/>
      </c>
      <c r="F252" s="9"/>
      <c r="G252" s="3"/>
      <c r="H252" s="73"/>
      <c r="I252" s="99"/>
      <c r="J252" s="73"/>
      <c r="K252" s="109"/>
      <c r="L252" s="73"/>
      <c r="M252" s="99"/>
      <c r="N252" s="8"/>
      <c r="O252" s="8"/>
      <c r="P252" s="3"/>
      <c r="Q252" s="3"/>
      <c r="R252" s="3"/>
    </row>
    <row r="253" spans="1:18" ht="12.75">
      <c r="A253" s="14"/>
      <c r="B253" s="9"/>
      <c r="C253" s="10" t="str">
        <f t="shared" si="41"/>
        <v>LIGHTING SUPERVISOR</v>
      </c>
      <c r="D253" s="9"/>
      <c r="E253" s="9" t="str">
        <f t="shared" si="42"/>
        <v>TAE-IN LEE</v>
      </c>
      <c r="F253" s="9"/>
      <c r="G253" s="3"/>
      <c r="H253" s="73"/>
      <c r="I253" s="99" t="s">
        <v>333</v>
      </c>
      <c r="J253" s="73"/>
      <c r="K253" s="109" t="s">
        <v>334</v>
      </c>
      <c r="L253" s="73"/>
      <c r="M253" s="99"/>
      <c r="N253" s="8"/>
      <c r="O253" s="8" t="s">
        <v>848</v>
      </c>
      <c r="P253" s="3"/>
      <c r="Q253" s="3" t="s">
        <v>849</v>
      </c>
      <c r="R253" s="3"/>
    </row>
    <row r="254" spans="1:18" ht="12.75">
      <c r="A254" s="14"/>
      <c r="B254" s="9"/>
      <c r="C254" s="10" t="str">
        <f t="shared" si="41"/>
        <v>LIGHTING ARTIST</v>
      </c>
      <c r="D254" s="9"/>
      <c r="E254" s="9" t="str">
        <f t="shared" si="42"/>
        <v>BYEONGHYEON HWANG</v>
      </c>
      <c r="F254" s="9"/>
      <c r="G254" s="3"/>
      <c r="H254" s="73"/>
      <c r="I254" s="99" t="s">
        <v>335</v>
      </c>
      <c r="J254" s="73"/>
      <c r="K254" s="109" t="s">
        <v>336</v>
      </c>
      <c r="L254" s="73"/>
      <c r="M254" s="99"/>
      <c r="N254" s="8"/>
      <c r="O254" s="8" t="s">
        <v>850</v>
      </c>
      <c r="P254" s="3"/>
      <c r="Q254" s="3" t="s">
        <v>851</v>
      </c>
      <c r="R254" s="3"/>
    </row>
    <row r="255" spans="1:18" ht="12.75">
      <c r="A255" s="14"/>
      <c r="B255" s="9"/>
      <c r="C255" s="10" t="str">
        <f t="shared" si="41"/>
        <v/>
      </c>
      <c r="D255" s="9"/>
      <c r="E255" s="9" t="str">
        <f t="shared" si="42"/>
        <v/>
      </c>
      <c r="F255" s="9"/>
      <c r="G255" s="3"/>
      <c r="H255" s="73"/>
      <c r="I255" s="99"/>
      <c r="J255" s="73"/>
      <c r="K255" s="109"/>
      <c r="L255" s="73"/>
      <c r="M255" s="99"/>
      <c r="N255" s="8"/>
      <c r="O255" s="8"/>
      <c r="P255" s="3"/>
      <c r="Q255" s="3"/>
      <c r="R255" s="3"/>
    </row>
    <row r="256" spans="1:18" ht="12.75">
      <c r="A256" s="14"/>
      <c r="B256" s="9"/>
      <c r="C256" s="10" t="str">
        <f t="shared" si="41"/>
        <v>FX SUPERVISOR</v>
      </c>
      <c r="D256" s="9"/>
      <c r="E256" s="9" t="str">
        <f t="shared" si="42"/>
        <v>SEWANG KIM</v>
      </c>
      <c r="F256" s="9"/>
      <c r="G256" s="3"/>
      <c r="H256" s="73"/>
      <c r="I256" s="99" t="s">
        <v>337</v>
      </c>
      <c r="J256" s="73"/>
      <c r="K256" s="109" t="s">
        <v>338</v>
      </c>
      <c r="L256" s="73"/>
      <c r="M256" s="99"/>
      <c r="N256" s="8"/>
      <c r="O256" s="8" t="s">
        <v>852</v>
      </c>
      <c r="P256" s="3"/>
      <c r="Q256" s="3" t="s">
        <v>853</v>
      </c>
      <c r="R256" s="3"/>
    </row>
    <row r="257" spans="1:18" ht="12.75">
      <c r="A257" s="14"/>
      <c r="B257" s="9"/>
      <c r="C257" s="10" t="str">
        <f t="shared" si="41"/>
        <v>FX ARTIST</v>
      </c>
      <c r="D257" s="9"/>
      <c r="E257" s="9" t="str">
        <f t="shared" si="42"/>
        <v>SAEBOM OH</v>
      </c>
      <c r="F257" s="9"/>
      <c r="G257" s="3"/>
      <c r="H257" s="73"/>
      <c r="I257" s="99" t="s">
        <v>339</v>
      </c>
      <c r="J257" s="73"/>
      <c r="K257" s="109" t="s">
        <v>340</v>
      </c>
      <c r="L257" s="73"/>
      <c r="M257" s="99"/>
      <c r="N257" s="8"/>
      <c r="O257" s="8" t="s">
        <v>854</v>
      </c>
      <c r="P257" s="3"/>
      <c r="Q257" s="137" t="s">
        <v>855</v>
      </c>
      <c r="R257" s="3"/>
    </row>
    <row r="258" spans="1:18" ht="12.75">
      <c r="A258" s="14"/>
      <c r="B258" s="9"/>
      <c r="C258" s="10" t="str">
        <f t="shared" si="41"/>
        <v/>
      </c>
      <c r="D258" s="9"/>
      <c r="E258" s="9" t="str">
        <f t="shared" si="42"/>
        <v/>
      </c>
      <c r="F258" s="9"/>
      <c r="G258" s="3"/>
      <c r="H258" s="73"/>
      <c r="I258" s="99"/>
      <c r="J258" s="73"/>
      <c r="K258" s="109"/>
      <c r="L258" s="73"/>
      <c r="M258" s="99"/>
      <c r="N258" s="8"/>
      <c r="O258" s="8"/>
      <c r="P258" s="3"/>
      <c r="Q258" s="3"/>
      <c r="R258" s="3"/>
    </row>
    <row r="259" spans="1:18" ht="12.75">
      <c r="A259" s="14"/>
      <c r="B259" s="9"/>
      <c r="C259" s="10" t="str">
        <f t="shared" si="41"/>
        <v>COMPOSITING SUPERVISOR</v>
      </c>
      <c r="D259" s="9"/>
      <c r="E259" s="40" t="str">
        <f t="shared" si="42"/>
        <v>YOONHEE JUNG</v>
      </c>
      <c r="F259" s="9"/>
      <c r="G259" s="3"/>
      <c r="H259" s="73"/>
      <c r="I259" s="99" t="s">
        <v>341</v>
      </c>
      <c r="J259" s="73"/>
      <c r="K259" s="109" t="s">
        <v>342</v>
      </c>
      <c r="L259" s="73"/>
      <c r="M259" s="73"/>
      <c r="N259" s="3"/>
      <c r="O259" s="8" t="s">
        <v>856</v>
      </c>
      <c r="P259" s="3"/>
      <c r="Q259" s="3" t="s">
        <v>857</v>
      </c>
      <c r="R259" s="3"/>
    </row>
    <row r="260" spans="1:18" ht="12.75">
      <c r="A260" s="14"/>
      <c r="B260" s="9"/>
      <c r="C260" s="10" t="str">
        <f t="shared" si="41"/>
        <v>COMPOSITING ARTIST</v>
      </c>
      <c r="D260" s="9"/>
      <c r="E260" s="9" t="str">
        <f t="shared" si="42"/>
        <v>NAMMIN KIM</v>
      </c>
      <c r="F260" s="9"/>
      <c r="G260" s="3"/>
      <c r="H260" s="73"/>
      <c r="I260" s="99" t="s">
        <v>343</v>
      </c>
      <c r="J260" s="73"/>
      <c r="K260" s="109" t="s">
        <v>344</v>
      </c>
      <c r="L260" s="73"/>
      <c r="M260" s="99"/>
      <c r="N260" s="8"/>
      <c r="O260" s="8" t="s">
        <v>858</v>
      </c>
      <c r="P260" s="3"/>
      <c r="Q260" s="3" t="s">
        <v>859</v>
      </c>
      <c r="R260" s="3"/>
    </row>
    <row r="261" spans="1:18" ht="12.75">
      <c r="A261" s="14"/>
      <c r="B261" s="9"/>
      <c r="C261" s="10"/>
      <c r="D261" s="9"/>
      <c r="E261" s="9"/>
      <c r="F261" s="9"/>
      <c r="G261" s="3"/>
      <c r="H261" s="73"/>
      <c r="I261" s="99"/>
      <c r="J261" s="73"/>
      <c r="K261" s="109"/>
      <c r="L261" s="73"/>
      <c r="M261" s="99"/>
      <c r="N261" s="99"/>
      <c r="O261" s="99"/>
      <c r="P261" s="73"/>
      <c r="Q261" s="73"/>
      <c r="R261" s="73"/>
    </row>
    <row r="262" spans="1:18" ht="15">
      <c r="A262" s="14"/>
      <c r="B262" s="26"/>
      <c r="C262" s="26"/>
      <c r="D262" s="26"/>
      <c r="E262" s="26"/>
      <c r="F262" s="26"/>
      <c r="G262" s="3"/>
      <c r="H262" s="96"/>
      <c r="I262" s="96"/>
      <c r="J262" s="96"/>
      <c r="K262" s="96"/>
      <c r="L262" s="96"/>
      <c r="M262" s="99"/>
      <c r="N262" s="99"/>
      <c r="O262" s="99"/>
      <c r="P262" s="73"/>
      <c r="Q262" s="73"/>
      <c r="R262" s="73"/>
    </row>
    <row r="263" spans="1:18" ht="15">
      <c r="A263" s="14"/>
      <c r="B263" s="6"/>
      <c r="C263" s="6"/>
      <c r="D263" s="6"/>
      <c r="E263" s="6"/>
      <c r="F263" s="6"/>
      <c r="G263" s="3"/>
      <c r="H263" s="96"/>
      <c r="I263" s="96"/>
      <c r="J263" s="96"/>
      <c r="K263" s="96"/>
      <c r="L263" s="96"/>
      <c r="M263" s="99"/>
      <c r="N263" s="99"/>
      <c r="O263" s="99"/>
      <c r="P263" s="73"/>
      <c r="Q263" s="73"/>
      <c r="R263" s="73"/>
    </row>
    <row r="264" spans="1:18" ht="18">
      <c r="A264" s="14"/>
      <c r="B264" s="150" t="str">
        <f t="shared" ref="B264:B265" si="43">UPPER(H264)</f>
        <v>LIGHTING / VFX / COMPOSITING</v>
      </c>
      <c r="C264" s="141"/>
      <c r="D264" s="141"/>
      <c r="E264" s="141"/>
      <c r="F264" s="141"/>
      <c r="G264" s="28"/>
      <c r="H264" s="173" t="s">
        <v>330</v>
      </c>
      <c r="I264" s="141"/>
      <c r="J264" s="141"/>
      <c r="K264" s="141"/>
      <c r="L264" s="141"/>
      <c r="M264" s="99"/>
      <c r="N264" s="149" t="s">
        <v>845</v>
      </c>
      <c r="O264" s="141"/>
      <c r="P264" s="141"/>
      <c r="Q264" s="141"/>
      <c r="R264" s="141"/>
    </row>
    <row r="265" spans="1:18" ht="15">
      <c r="A265" s="14"/>
      <c r="B265" s="146" t="str">
        <f t="shared" si="43"/>
        <v>THE MONK STUDIOS</v>
      </c>
      <c r="C265" s="141"/>
      <c r="D265" s="141"/>
      <c r="E265" s="141"/>
      <c r="F265" s="141"/>
      <c r="G265" s="3"/>
      <c r="H265" s="176" t="s">
        <v>202</v>
      </c>
      <c r="I265" s="141"/>
      <c r="J265" s="141"/>
      <c r="K265" s="141"/>
      <c r="L265" s="141"/>
      <c r="M265" s="99"/>
      <c r="N265" s="176" t="s">
        <v>202</v>
      </c>
      <c r="O265" s="141"/>
      <c r="P265" s="141"/>
      <c r="Q265" s="141"/>
      <c r="R265" s="141"/>
    </row>
    <row r="266" spans="1:18" ht="12.75">
      <c r="A266" s="14"/>
      <c r="B266" s="9"/>
      <c r="C266" s="10"/>
      <c r="D266" s="9"/>
      <c r="E266" s="9"/>
      <c r="F266" s="9"/>
      <c r="G266" s="3"/>
      <c r="H266" s="73"/>
      <c r="I266" s="101"/>
      <c r="J266" s="73"/>
      <c r="K266" s="102"/>
      <c r="L266" s="73"/>
      <c r="M266" s="99"/>
      <c r="N266" s="73"/>
      <c r="O266" s="101"/>
      <c r="P266" s="73"/>
      <c r="Q266" s="102"/>
      <c r="R266" s="73"/>
    </row>
    <row r="267" spans="1:18" ht="12.75">
      <c r="A267" s="14"/>
      <c r="B267" s="9"/>
      <c r="C267" s="10" t="str">
        <f>UPPER(I267)</f>
        <v>CFX SUPERVISOR</v>
      </c>
      <c r="D267" s="9"/>
      <c r="E267" s="41" t="str">
        <f>UPPER(K267)</f>
        <v>THANAWAT PHUKUMCHAI</v>
      </c>
      <c r="F267" s="9"/>
      <c r="G267" s="3"/>
      <c r="H267" s="73"/>
      <c r="I267" s="101" t="s">
        <v>345</v>
      </c>
      <c r="J267" s="73"/>
      <c r="K267" s="102" t="s">
        <v>348</v>
      </c>
      <c r="L267" s="73"/>
      <c r="M267" s="99"/>
      <c r="N267" s="73"/>
      <c r="O267" s="101" t="s">
        <v>345</v>
      </c>
      <c r="P267" s="73"/>
      <c r="Q267" s="102" t="s">
        <v>348</v>
      </c>
      <c r="R267" s="73"/>
    </row>
    <row r="268" spans="1:18" ht="12.75">
      <c r="A268" s="14"/>
      <c r="B268" s="9"/>
      <c r="C268" s="10"/>
      <c r="D268" s="9"/>
      <c r="E268" s="9"/>
      <c r="F268" s="9"/>
      <c r="G268" s="3"/>
      <c r="H268" s="73"/>
      <c r="I268" s="101"/>
      <c r="J268" s="73"/>
      <c r="K268" s="102"/>
      <c r="L268" s="73"/>
      <c r="M268" s="99"/>
      <c r="N268" s="73"/>
      <c r="O268" s="101"/>
      <c r="P268" s="73"/>
      <c r="Q268" s="102"/>
      <c r="R268" s="73"/>
    </row>
    <row r="269" spans="1:18" ht="12.75">
      <c r="A269" s="14"/>
      <c r="B269" s="9"/>
      <c r="C269" s="10" t="str">
        <f>UPPER(I269)</f>
        <v>CFX ARTIST</v>
      </c>
      <c r="D269" s="9"/>
      <c r="E269" s="9" t="str">
        <f t="shared" ref="E269:E275" si="44">UPPER(K269)</f>
        <v>CHERMAR WITOONWUTTIKUL</v>
      </c>
      <c r="F269" s="9"/>
      <c r="G269" s="3"/>
      <c r="H269" s="73"/>
      <c r="I269" s="101" t="s">
        <v>349</v>
      </c>
      <c r="J269" s="73"/>
      <c r="K269" s="102" t="s">
        <v>350</v>
      </c>
      <c r="L269" s="73"/>
      <c r="M269" s="99"/>
      <c r="N269" s="73"/>
      <c r="O269" s="101" t="s">
        <v>349</v>
      </c>
      <c r="P269" s="73"/>
      <c r="Q269" s="102" t="s">
        <v>350</v>
      </c>
      <c r="R269" s="73"/>
    </row>
    <row r="270" spans="1:18" ht="12.75">
      <c r="A270" s="14"/>
      <c r="B270" s="9"/>
      <c r="C270" s="10"/>
      <c r="D270" s="9"/>
      <c r="E270" s="9" t="str">
        <f t="shared" si="44"/>
        <v>KOMSON SEECHAN</v>
      </c>
      <c r="F270" s="9"/>
      <c r="G270" s="3"/>
      <c r="H270" s="73"/>
      <c r="I270" s="101"/>
      <c r="J270" s="73"/>
      <c r="K270" s="102" t="s">
        <v>351</v>
      </c>
      <c r="L270" s="73"/>
      <c r="M270" s="99"/>
      <c r="N270" s="73"/>
      <c r="O270" s="101"/>
      <c r="P270" s="73"/>
      <c r="Q270" s="102" t="s">
        <v>351</v>
      </c>
      <c r="R270" s="73"/>
    </row>
    <row r="271" spans="1:18" ht="12.75">
      <c r="A271" s="14"/>
      <c r="B271" s="9"/>
      <c r="C271" s="10" t="str">
        <f t="shared" ref="C271:C275" si="45">UPPER(I271)</f>
        <v/>
      </c>
      <c r="D271" s="9"/>
      <c r="E271" s="9" t="str">
        <f t="shared" si="44"/>
        <v>PREECHAPONG NOPRUMPA</v>
      </c>
      <c r="F271" s="9"/>
      <c r="G271" s="3"/>
      <c r="H271" s="73"/>
      <c r="I271" s="101"/>
      <c r="J271" s="73"/>
      <c r="K271" s="102" t="s">
        <v>352</v>
      </c>
      <c r="L271" s="73"/>
      <c r="M271" s="99"/>
      <c r="N271" s="73"/>
      <c r="O271" s="101"/>
      <c r="P271" s="73"/>
      <c r="Q271" s="102" t="s">
        <v>352</v>
      </c>
      <c r="R271" s="73"/>
    </row>
    <row r="272" spans="1:18" ht="12.75">
      <c r="A272" s="14"/>
      <c r="B272" s="9"/>
      <c r="C272" s="10" t="str">
        <f t="shared" si="45"/>
        <v/>
      </c>
      <c r="D272" s="9"/>
      <c r="E272" s="9" t="str">
        <f t="shared" si="44"/>
        <v>SUPPACHAI WONGSALINGKARN</v>
      </c>
      <c r="F272" s="9"/>
      <c r="G272" s="3"/>
      <c r="H272" s="73"/>
      <c r="I272" s="99"/>
      <c r="J272" s="73"/>
      <c r="K272" s="102" t="s">
        <v>353</v>
      </c>
      <c r="L272" s="73"/>
      <c r="M272" s="99"/>
      <c r="N272" s="73"/>
      <c r="O272" s="99"/>
      <c r="P272" s="73"/>
      <c r="Q272" s="102" t="s">
        <v>353</v>
      </c>
      <c r="R272" s="73"/>
    </row>
    <row r="273" spans="1:18" ht="12.75">
      <c r="A273" s="14"/>
      <c r="B273" s="9"/>
      <c r="C273" s="10" t="str">
        <f t="shared" si="45"/>
        <v/>
      </c>
      <c r="D273" s="9"/>
      <c r="E273" s="9" t="str">
        <f t="shared" si="44"/>
        <v>THAWATCHAY KAEWPHUY</v>
      </c>
      <c r="F273" s="9"/>
      <c r="G273" s="3"/>
      <c r="H273" s="73"/>
      <c r="I273" s="99"/>
      <c r="J273" s="73"/>
      <c r="K273" s="102" t="s">
        <v>354</v>
      </c>
      <c r="L273" s="73"/>
      <c r="M273" s="99"/>
      <c r="N273" s="73"/>
      <c r="O273" s="99"/>
      <c r="P273" s="73"/>
      <c r="Q273" s="102" t="s">
        <v>354</v>
      </c>
      <c r="R273" s="73"/>
    </row>
    <row r="274" spans="1:18" ht="12.75">
      <c r="A274" s="14"/>
      <c r="B274" s="9"/>
      <c r="C274" s="10" t="str">
        <f t="shared" si="45"/>
        <v/>
      </c>
      <c r="D274" s="9"/>
      <c r="E274" s="9" t="str">
        <f t="shared" si="44"/>
        <v>TITTAYANAN WANNUBOL</v>
      </c>
      <c r="F274" s="9"/>
      <c r="G274" s="3"/>
      <c r="H274" s="73"/>
      <c r="I274" s="99"/>
      <c r="J274" s="73"/>
      <c r="K274" s="102" t="s">
        <v>355</v>
      </c>
      <c r="L274" s="73"/>
      <c r="M274" s="99"/>
      <c r="N274" s="73"/>
      <c r="O274" s="99"/>
      <c r="P274" s="73"/>
      <c r="Q274" s="102" t="s">
        <v>355</v>
      </c>
      <c r="R274" s="73"/>
    </row>
    <row r="275" spans="1:18" ht="12.75">
      <c r="A275" s="14"/>
      <c r="B275" s="9"/>
      <c r="C275" s="10" t="str">
        <f t="shared" si="45"/>
        <v/>
      </c>
      <c r="D275" s="9"/>
      <c r="E275" s="9" t="str">
        <f t="shared" si="44"/>
        <v>PORNNEEKA THAMWONG</v>
      </c>
      <c r="F275" s="9"/>
      <c r="G275" s="3"/>
      <c r="H275" s="73"/>
      <c r="I275" s="99"/>
      <c r="J275" s="73"/>
      <c r="K275" s="102" t="s">
        <v>356</v>
      </c>
      <c r="L275" s="73"/>
      <c r="M275" s="99"/>
      <c r="N275" s="73"/>
      <c r="O275" s="99"/>
      <c r="P275" s="73"/>
      <c r="Q275" s="102" t="s">
        <v>356</v>
      </c>
      <c r="R275" s="73"/>
    </row>
    <row r="276" spans="1:18" ht="12.75">
      <c r="A276" s="14"/>
      <c r="B276" s="9"/>
      <c r="C276" s="10"/>
      <c r="D276" s="9"/>
      <c r="E276" s="9"/>
      <c r="F276" s="9"/>
      <c r="G276" s="3"/>
      <c r="H276" s="73"/>
      <c r="I276" s="99"/>
      <c r="J276" s="73"/>
      <c r="K276" s="113"/>
      <c r="L276" s="73"/>
      <c r="M276" s="99"/>
      <c r="N276" s="99"/>
      <c r="O276" s="99"/>
      <c r="P276" s="73"/>
      <c r="Q276" s="73"/>
      <c r="R276" s="73"/>
    </row>
    <row r="277" spans="1:18" ht="12.75">
      <c r="A277" s="14"/>
      <c r="B277" s="11"/>
      <c r="C277" s="12"/>
      <c r="D277" s="11"/>
      <c r="E277" s="11"/>
      <c r="F277" s="11"/>
      <c r="G277" s="3"/>
      <c r="H277" s="73"/>
      <c r="I277" s="101"/>
      <c r="J277" s="73"/>
      <c r="K277" s="113"/>
      <c r="L277" s="73"/>
      <c r="M277" s="99"/>
      <c r="N277" s="99"/>
      <c r="O277" s="99"/>
      <c r="P277" s="73"/>
      <c r="Q277" s="73"/>
      <c r="R277" s="73"/>
    </row>
    <row r="278" spans="1:18" ht="18">
      <c r="A278" s="14"/>
      <c r="B278" s="17"/>
      <c r="C278" s="17"/>
      <c r="D278" s="17"/>
      <c r="E278" s="17"/>
      <c r="F278" s="17"/>
      <c r="G278" s="28"/>
      <c r="H278" s="98"/>
      <c r="I278" s="98"/>
      <c r="J278" s="98"/>
      <c r="K278" s="98"/>
      <c r="L278" s="98"/>
      <c r="M278" s="99"/>
      <c r="N278" s="99"/>
      <c r="O278" s="99"/>
      <c r="P278" s="73"/>
      <c r="Q278" s="73"/>
      <c r="R278" s="73"/>
    </row>
    <row r="279" spans="1:18" ht="18">
      <c r="A279" s="14"/>
      <c r="B279" s="150" t="str">
        <f t="shared" ref="B279:B280" si="46">UPPER(H279)</f>
        <v>LIGHTING / VFX / COMPOSITING</v>
      </c>
      <c r="C279" s="141"/>
      <c r="D279" s="141"/>
      <c r="E279" s="141"/>
      <c r="F279" s="141"/>
      <c r="G279" s="28"/>
      <c r="H279" s="173" t="s">
        <v>330</v>
      </c>
      <c r="I279" s="141"/>
      <c r="J279" s="141"/>
      <c r="K279" s="141"/>
      <c r="L279" s="141"/>
      <c r="M279" s="99"/>
      <c r="N279" s="149" t="s">
        <v>845</v>
      </c>
      <c r="O279" s="141"/>
      <c r="P279" s="141"/>
      <c r="Q279" s="141"/>
      <c r="R279" s="141"/>
    </row>
    <row r="280" spans="1:18" ht="15">
      <c r="A280" s="14"/>
      <c r="B280" s="146" t="str">
        <f t="shared" si="46"/>
        <v>THE MONK STUDIOS</v>
      </c>
      <c r="C280" s="141"/>
      <c r="D280" s="141"/>
      <c r="E280" s="141"/>
      <c r="F280" s="141"/>
      <c r="G280" s="3"/>
      <c r="H280" s="176" t="s">
        <v>202</v>
      </c>
      <c r="I280" s="141"/>
      <c r="J280" s="141"/>
      <c r="K280" s="141"/>
      <c r="L280" s="141"/>
      <c r="M280" s="99"/>
      <c r="N280" s="176" t="s">
        <v>202</v>
      </c>
      <c r="O280" s="141"/>
      <c r="P280" s="141"/>
      <c r="Q280" s="141"/>
      <c r="R280" s="141"/>
    </row>
    <row r="281" spans="1:18" ht="12.75">
      <c r="A281" s="14"/>
      <c r="B281" s="9"/>
      <c r="C281" s="10"/>
      <c r="D281" s="9"/>
      <c r="E281" s="9"/>
      <c r="F281" s="9"/>
      <c r="G281" s="3"/>
      <c r="H281" s="73"/>
      <c r="I281" s="101"/>
      <c r="J281" s="73"/>
      <c r="K281" s="113"/>
      <c r="L281" s="73"/>
      <c r="M281" s="99"/>
      <c r="N281" s="73"/>
      <c r="O281" s="101"/>
      <c r="P281" s="73"/>
      <c r="Q281" s="113"/>
      <c r="R281" s="73"/>
    </row>
    <row r="282" spans="1:18" ht="12.75">
      <c r="A282" s="14"/>
      <c r="B282" s="9"/>
      <c r="C282" s="10" t="str">
        <f>UPPER(I282)</f>
        <v>EFFECT SUPERVISOR</v>
      </c>
      <c r="D282" s="9"/>
      <c r="E282" s="9" t="str">
        <f t="shared" ref="E282:E297" si="47">UPPER(K282)</f>
        <v>THACHAPONG RUANGROJ</v>
      </c>
      <c r="F282" s="9"/>
      <c r="G282" s="3"/>
      <c r="H282" s="73"/>
      <c r="I282" s="101" t="s">
        <v>737</v>
      </c>
      <c r="J282" s="73"/>
      <c r="K282" s="113" t="s">
        <v>358</v>
      </c>
      <c r="L282" s="73"/>
      <c r="M282" s="99"/>
      <c r="N282" s="73"/>
      <c r="O282" s="101" t="s">
        <v>737</v>
      </c>
      <c r="P282" s="73"/>
      <c r="Q282" s="113" t="s">
        <v>358</v>
      </c>
      <c r="R282" s="73"/>
    </row>
    <row r="283" spans="1:18" ht="12.75">
      <c r="A283" s="14"/>
      <c r="B283" s="9"/>
      <c r="C283" s="10"/>
      <c r="D283" s="9"/>
      <c r="E283" s="9" t="str">
        <f t="shared" si="47"/>
        <v/>
      </c>
      <c r="F283" s="9"/>
      <c r="G283" s="3"/>
      <c r="H283" s="73"/>
      <c r="I283" s="101"/>
      <c r="J283" s="73"/>
      <c r="K283" s="113"/>
      <c r="L283" s="73"/>
      <c r="M283" s="99"/>
      <c r="N283" s="73"/>
      <c r="O283" s="101"/>
      <c r="P283" s="73"/>
      <c r="Q283" s="113"/>
      <c r="R283" s="73"/>
    </row>
    <row r="284" spans="1:18" ht="12.75">
      <c r="A284" s="14"/>
      <c r="B284" s="9"/>
      <c r="C284" s="10" t="str">
        <f>UPPER(I284)</f>
        <v>VFX GENERALIST</v>
      </c>
      <c r="D284" s="9"/>
      <c r="E284" s="9" t="str">
        <f t="shared" si="47"/>
        <v>PHUONG THANH NAM</v>
      </c>
      <c r="F284" s="9"/>
      <c r="G284" s="3"/>
      <c r="H284" s="73"/>
      <c r="I284" s="101" t="s">
        <v>359</v>
      </c>
      <c r="J284" s="73"/>
      <c r="K284" s="113" t="s">
        <v>360</v>
      </c>
      <c r="L284" s="73"/>
      <c r="M284" s="99"/>
      <c r="N284" s="73"/>
      <c r="O284" s="101" t="s">
        <v>359</v>
      </c>
      <c r="P284" s="73"/>
      <c r="Q284" s="113" t="s">
        <v>360</v>
      </c>
      <c r="R284" s="73"/>
    </row>
    <row r="285" spans="1:18" ht="12.75">
      <c r="A285" s="14"/>
      <c r="B285" s="9"/>
      <c r="C285" s="10"/>
      <c r="D285" s="9"/>
      <c r="E285" s="9" t="str">
        <f t="shared" si="47"/>
        <v/>
      </c>
      <c r="F285" s="9"/>
      <c r="G285" s="3"/>
      <c r="H285" s="73"/>
      <c r="I285" s="101"/>
      <c r="J285" s="73"/>
      <c r="K285" s="113"/>
      <c r="L285" s="73"/>
      <c r="M285" s="99"/>
      <c r="N285" s="73"/>
      <c r="O285" s="101"/>
      <c r="P285" s="73"/>
      <c r="Q285" s="113"/>
      <c r="R285" s="73"/>
    </row>
    <row r="286" spans="1:18" ht="12.75">
      <c r="A286" s="14"/>
      <c r="B286" s="9"/>
      <c r="C286" s="10" t="str">
        <f t="shared" ref="C286:C294" si="48">UPPER(I286)</f>
        <v>EFFECTS ARTIST</v>
      </c>
      <c r="D286" s="9"/>
      <c r="E286" s="9" t="str">
        <f t="shared" si="47"/>
        <v>CHAIPAT WINYOOVIJIT</v>
      </c>
      <c r="F286" s="9"/>
      <c r="G286" s="3"/>
      <c r="H286" s="73"/>
      <c r="I286" s="101" t="s">
        <v>361</v>
      </c>
      <c r="J286" s="73"/>
      <c r="K286" s="113" t="s">
        <v>362</v>
      </c>
      <c r="L286" s="73"/>
      <c r="M286" s="99"/>
      <c r="N286" s="73"/>
      <c r="O286" s="101" t="s">
        <v>361</v>
      </c>
      <c r="P286" s="73"/>
      <c r="Q286" s="113" t="s">
        <v>362</v>
      </c>
      <c r="R286" s="73"/>
    </row>
    <row r="287" spans="1:18" ht="12.75">
      <c r="A287" s="14"/>
      <c r="B287" s="9"/>
      <c r="C287" s="10" t="str">
        <f t="shared" si="48"/>
        <v/>
      </c>
      <c r="D287" s="9"/>
      <c r="E287" s="9" t="str">
        <f t="shared" si="47"/>
        <v>PIYAPONG JANHALUTAI</v>
      </c>
      <c r="F287" s="9"/>
      <c r="G287" s="3"/>
      <c r="H287" s="73"/>
      <c r="I287" s="99"/>
      <c r="J287" s="73"/>
      <c r="K287" s="113" t="s">
        <v>365</v>
      </c>
      <c r="L287" s="73"/>
      <c r="M287" s="99"/>
      <c r="N287" s="73"/>
      <c r="O287" s="99"/>
      <c r="P287" s="73"/>
      <c r="Q287" s="113" t="s">
        <v>365</v>
      </c>
      <c r="R287" s="73"/>
    </row>
    <row r="288" spans="1:18" ht="12.75">
      <c r="A288" s="14"/>
      <c r="B288" s="9"/>
      <c r="C288" s="10" t="str">
        <f t="shared" si="48"/>
        <v/>
      </c>
      <c r="D288" s="9"/>
      <c r="E288" s="9" t="str">
        <f t="shared" si="47"/>
        <v>NATTAPON KRICHAVONG</v>
      </c>
      <c r="F288" s="9"/>
      <c r="G288" s="3"/>
      <c r="H288" s="73"/>
      <c r="I288" s="99"/>
      <c r="J288" s="73"/>
      <c r="K288" s="113" t="s">
        <v>364</v>
      </c>
      <c r="L288" s="73"/>
      <c r="M288" s="99"/>
      <c r="N288" s="73"/>
      <c r="O288" s="99"/>
      <c r="P288" s="73"/>
      <c r="Q288" s="113" t="s">
        <v>364</v>
      </c>
      <c r="R288" s="73"/>
    </row>
    <row r="289" spans="1:18" ht="12.75">
      <c r="A289" s="14"/>
      <c r="B289" s="9"/>
      <c r="C289" s="10" t="str">
        <f t="shared" si="48"/>
        <v/>
      </c>
      <c r="D289" s="9"/>
      <c r="E289" s="9" t="str">
        <f t="shared" si="47"/>
        <v>SILAKORN KONGSUWAN</v>
      </c>
      <c r="F289" s="9"/>
      <c r="G289" s="3"/>
      <c r="H289" s="73"/>
      <c r="I289" s="99"/>
      <c r="J289" s="73"/>
      <c r="K289" s="113" t="s">
        <v>366</v>
      </c>
      <c r="L289" s="73"/>
      <c r="M289" s="99"/>
      <c r="N289" s="73"/>
      <c r="O289" s="99"/>
      <c r="P289" s="73"/>
      <c r="Q289" s="113" t="s">
        <v>366</v>
      </c>
      <c r="R289" s="73"/>
    </row>
    <row r="290" spans="1:18" ht="12.75">
      <c r="A290" s="14"/>
      <c r="B290" s="9"/>
      <c r="C290" s="10" t="str">
        <f t="shared" si="48"/>
        <v/>
      </c>
      <c r="D290" s="9"/>
      <c r="E290" s="9" t="str">
        <f t="shared" si="47"/>
        <v>THANAWAT KAEWARSA</v>
      </c>
      <c r="F290" s="9"/>
      <c r="G290" s="3"/>
      <c r="H290" s="73"/>
      <c r="I290" s="99"/>
      <c r="J290" s="73"/>
      <c r="K290" s="113" t="s">
        <v>369</v>
      </c>
      <c r="L290" s="73"/>
      <c r="M290" s="99"/>
      <c r="N290" s="73"/>
      <c r="O290" s="99"/>
      <c r="P290" s="73"/>
      <c r="Q290" s="113" t="s">
        <v>369</v>
      </c>
      <c r="R290" s="73"/>
    </row>
    <row r="291" spans="1:18" ht="12.75">
      <c r="A291" s="14"/>
      <c r="B291" s="9"/>
      <c r="C291" s="10" t="str">
        <f t="shared" si="48"/>
        <v/>
      </c>
      <c r="D291" s="9"/>
      <c r="E291" s="9" t="str">
        <f t="shared" si="47"/>
        <v>KULAPONG VAIYAMUGAMUYGUL</v>
      </c>
      <c r="F291" s="9"/>
      <c r="G291" s="3"/>
      <c r="H291" s="73"/>
      <c r="I291" s="99"/>
      <c r="J291" s="73"/>
      <c r="K291" s="113" t="s">
        <v>661</v>
      </c>
      <c r="L291" s="73"/>
      <c r="M291" s="99"/>
      <c r="N291" s="73"/>
      <c r="O291" s="99"/>
      <c r="P291" s="73"/>
      <c r="Q291" s="113" t="s">
        <v>661</v>
      </c>
      <c r="R291" s="73"/>
    </row>
    <row r="292" spans="1:18" ht="12.75">
      <c r="A292" s="14"/>
      <c r="B292" s="9"/>
      <c r="C292" s="10" t="str">
        <f t="shared" si="48"/>
        <v/>
      </c>
      <c r="D292" s="9"/>
      <c r="E292" s="9" t="str">
        <f t="shared" si="47"/>
        <v>KITTOUCH WITAYAPASITKUL</v>
      </c>
      <c r="F292" s="9"/>
      <c r="G292" s="3"/>
      <c r="H292" s="73"/>
      <c r="I292" s="99"/>
      <c r="J292" s="73"/>
      <c r="K292" s="113" t="s">
        <v>727</v>
      </c>
      <c r="L292" s="73"/>
      <c r="M292" s="99"/>
      <c r="N292" s="73"/>
      <c r="O292" s="99"/>
      <c r="P292" s="73"/>
      <c r="Q292" s="113" t="s">
        <v>727</v>
      </c>
      <c r="R292" s="73"/>
    </row>
    <row r="293" spans="1:18" ht="12.75">
      <c r="A293" s="14"/>
      <c r="B293" s="9"/>
      <c r="C293" s="10" t="str">
        <f t="shared" si="48"/>
        <v/>
      </c>
      <c r="D293" s="9"/>
      <c r="E293" s="9" t="str">
        <f t="shared" si="47"/>
        <v>WEERAPHAT SANGRUNG</v>
      </c>
      <c r="F293" s="9"/>
      <c r="G293" s="3"/>
      <c r="H293" s="73"/>
      <c r="I293" s="99"/>
      <c r="J293" s="73"/>
      <c r="K293" s="113" t="s">
        <v>728</v>
      </c>
      <c r="L293" s="73"/>
      <c r="M293" s="99"/>
      <c r="N293" s="73"/>
      <c r="O293" s="99"/>
      <c r="P293" s="73"/>
      <c r="Q293" s="113" t="s">
        <v>728</v>
      </c>
      <c r="R293" s="73"/>
    </row>
    <row r="294" spans="1:18" ht="12.75">
      <c r="A294" s="14"/>
      <c r="B294" s="9"/>
      <c r="C294" s="10" t="str">
        <f t="shared" si="48"/>
        <v/>
      </c>
      <c r="D294" s="9"/>
      <c r="E294" s="9" t="str">
        <f t="shared" si="47"/>
        <v>NATARAT WONGMEK</v>
      </c>
      <c r="F294" s="9"/>
      <c r="G294" s="3"/>
      <c r="H294" s="73"/>
      <c r="I294" s="99"/>
      <c r="J294" s="73"/>
      <c r="K294" s="113" t="s">
        <v>738</v>
      </c>
      <c r="L294" s="73"/>
      <c r="M294" s="99"/>
      <c r="N294" s="73"/>
      <c r="O294" s="99"/>
      <c r="P294" s="73"/>
      <c r="Q294" s="113" t="s">
        <v>738</v>
      </c>
      <c r="R294" s="73"/>
    </row>
    <row r="295" spans="1:18" ht="12.75">
      <c r="A295" s="14"/>
      <c r="B295" s="9"/>
      <c r="C295" s="10"/>
      <c r="D295" s="9"/>
      <c r="E295" s="9" t="str">
        <f t="shared" si="47"/>
        <v>NONPAPAT PECHSRI</v>
      </c>
      <c r="F295" s="9"/>
      <c r="G295" s="3"/>
      <c r="H295" s="73"/>
      <c r="I295" s="99"/>
      <c r="J295" s="73"/>
      <c r="K295" s="113" t="s">
        <v>739</v>
      </c>
      <c r="L295" s="73"/>
      <c r="M295" s="99"/>
      <c r="N295" s="73"/>
      <c r="O295" s="99"/>
      <c r="P295" s="73"/>
      <c r="Q295" s="113" t="s">
        <v>739</v>
      </c>
      <c r="R295" s="73"/>
    </row>
    <row r="296" spans="1:18" ht="12.75">
      <c r="A296" s="14"/>
      <c r="B296" s="9"/>
      <c r="C296" s="10"/>
      <c r="D296" s="9"/>
      <c r="E296" s="9" t="str">
        <f t="shared" si="47"/>
        <v>TAMOLWAN SAELOW</v>
      </c>
      <c r="F296" s="9"/>
      <c r="G296" s="3"/>
      <c r="H296" s="73"/>
      <c r="I296" s="99"/>
      <c r="J296" s="73"/>
      <c r="K296" s="113" t="s">
        <v>740</v>
      </c>
      <c r="L296" s="73"/>
      <c r="M296" s="99"/>
      <c r="N296" s="73"/>
      <c r="O296" s="99"/>
      <c r="P296" s="73"/>
      <c r="Q296" s="113" t="s">
        <v>740</v>
      </c>
      <c r="R296" s="73"/>
    </row>
    <row r="297" spans="1:18" ht="12.75">
      <c r="A297" s="14"/>
      <c r="B297" s="9"/>
      <c r="C297" s="10" t="str">
        <f>UPPER(I297)</f>
        <v/>
      </c>
      <c r="D297" s="9"/>
      <c r="E297" s="9" t="str">
        <f t="shared" si="47"/>
        <v/>
      </c>
      <c r="F297" s="9"/>
      <c r="G297" s="3"/>
      <c r="H297" s="73"/>
      <c r="I297" s="99"/>
      <c r="J297" s="73"/>
      <c r="K297" s="109"/>
      <c r="L297" s="73"/>
      <c r="M297" s="99"/>
      <c r="N297" s="99"/>
      <c r="O297" s="99"/>
      <c r="P297" s="73"/>
      <c r="Q297" s="73"/>
      <c r="R297" s="73"/>
    </row>
    <row r="298" spans="1:18" ht="12.75">
      <c r="A298" s="14"/>
      <c r="B298" s="11"/>
      <c r="C298" s="12"/>
      <c r="D298" s="11"/>
      <c r="E298" s="11"/>
      <c r="F298" s="11"/>
      <c r="G298" s="3"/>
      <c r="H298" s="73"/>
      <c r="I298" s="99"/>
      <c r="J298" s="73"/>
      <c r="K298" s="109"/>
      <c r="L298" s="73"/>
      <c r="M298" s="99"/>
      <c r="N298" s="99"/>
      <c r="O298" s="99"/>
      <c r="P298" s="73"/>
      <c r="Q298" s="73"/>
      <c r="R298" s="73"/>
    </row>
    <row r="299" spans="1:18" ht="12.75">
      <c r="A299" s="14"/>
      <c r="B299" s="9"/>
      <c r="C299" s="10"/>
      <c r="D299" s="9"/>
      <c r="E299" s="9"/>
      <c r="F299" s="9"/>
      <c r="G299" s="3"/>
      <c r="H299" s="73"/>
      <c r="I299" s="99"/>
      <c r="J299" s="73"/>
      <c r="K299" s="109"/>
      <c r="L299" s="73"/>
      <c r="M299" s="99"/>
      <c r="N299" s="99"/>
      <c r="O299" s="99"/>
      <c r="P299" s="73"/>
      <c r="Q299" s="73"/>
      <c r="R299" s="73"/>
    </row>
    <row r="300" spans="1:18" ht="18">
      <c r="A300" s="14"/>
      <c r="B300" s="150" t="str">
        <f t="shared" ref="B300:B301" si="49">UPPER(H300)</f>
        <v>LIGHTING / VFX / COMPOSITING</v>
      </c>
      <c r="C300" s="141"/>
      <c r="D300" s="141"/>
      <c r="E300" s="141"/>
      <c r="F300" s="141"/>
      <c r="G300" s="28"/>
      <c r="H300" s="173" t="s">
        <v>330</v>
      </c>
      <c r="I300" s="141"/>
      <c r="J300" s="141"/>
      <c r="K300" s="141"/>
      <c r="L300" s="141"/>
      <c r="M300" s="99"/>
      <c r="N300" s="149" t="s">
        <v>845</v>
      </c>
      <c r="O300" s="141"/>
      <c r="P300" s="141"/>
      <c r="Q300" s="141"/>
      <c r="R300" s="141"/>
    </row>
    <row r="301" spans="1:18" ht="15">
      <c r="A301" s="14"/>
      <c r="B301" s="146" t="str">
        <f t="shared" si="49"/>
        <v>THE MONK STUDIOS</v>
      </c>
      <c r="C301" s="141"/>
      <c r="D301" s="141"/>
      <c r="E301" s="141"/>
      <c r="F301" s="141"/>
      <c r="G301" s="3"/>
      <c r="H301" s="176" t="s">
        <v>202</v>
      </c>
      <c r="I301" s="141"/>
      <c r="J301" s="141"/>
      <c r="K301" s="141"/>
      <c r="L301" s="141"/>
      <c r="M301" s="99"/>
      <c r="N301" s="176" t="s">
        <v>202</v>
      </c>
      <c r="O301" s="141"/>
      <c r="P301" s="141"/>
      <c r="Q301" s="141"/>
      <c r="R301" s="141"/>
    </row>
    <row r="302" spans="1:18" ht="12.75">
      <c r="A302" s="14"/>
      <c r="B302" s="9"/>
      <c r="C302" s="10"/>
      <c r="D302" s="9"/>
      <c r="E302" s="9"/>
      <c r="F302" s="9"/>
      <c r="G302" s="3"/>
      <c r="H302" s="73"/>
      <c r="I302" s="101"/>
      <c r="J302" s="73"/>
      <c r="K302" s="113"/>
      <c r="L302" s="73"/>
      <c r="M302" s="99"/>
      <c r="N302" s="73"/>
      <c r="O302" s="101"/>
      <c r="P302" s="73"/>
      <c r="Q302" s="113"/>
      <c r="R302" s="73"/>
    </row>
    <row r="303" spans="1:18" ht="12.75">
      <c r="A303" s="14"/>
      <c r="B303" s="9"/>
      <c r="C303" s="10" t="str">
        <f>UPPER(I303)</f>
        <v>LIGHTING SUPERVISOR</v>
      </c>
      <c r="D303" s="9"/>
      <c r="E303" s="9" t="str">
        <f>UPPER(K303)</f>
        <v>TIKUMPORN SRISANG-NGAM</v>
      </c>
      <c r="F303" s="9"/>
      <c r="G303" s="3"/>
      <c r="H303" s="73"/>
      <c r="I303" s="101" t="s">
        <v>371</v>
      </c>
      <c r="J303" s="73"/>
      <c r="K303" s="113" t="s">
        <v>372</v>
      </c>
      <c r="L303" s="73"/>
      <c r="M303" s="99"/>
      <c r="N303" s="73"/>
      <c r="O303" s="101" t="s">
        <v>371</v>
      </c>
      <c r="P303" s="73"/>
      <c r="Q303" s="113" t="s">
        <v>372</v>
      </c>
      <c r="R303" s="73"/>
    </row>
    <row r="304" spans="1:18" ht="12.75">
      <c r="A304" s="14"/>
      <c r="B304" s="9"/>
      <c r="C304" s="10"/>
      <c r="D304" s="9"/>
      <c r="E304" s="9"/>
      <c r="F304" s="9"/>
      <c r="G304" s="3"/>
      <c r="H304" s="73"/>
      <c r="I304" s="101"/>
      <c r="J304" s="73"/>
      <c r="K304" s="113"/>
      <c r="L304" s="73"/>
      <c r="M304" s="99"/>
      <c r="N304" s="73"/>
      <c r="O304" s="101"/>
      <c r="P304" s="73"/>
      <c r="Q304" s="113"/>
      <c r="R304" s="73"/>
    </row>
    <row r="305" spans="1:18" ht="12.75">
      <c r="A305" s="14"/>
      <c r="B305" s="9"/>
      <c r="C305" s="10" t="str">
        <f>UPPER(I305)</f>
        <v>LEAD LIGHTING ARTIST</v>
      </c>
      <c r="D305" s="9"/>
      <c r="E305" s="9" t="str">
        <f t="shared" ref="E305:E320" si="50">UPPER(K305)</f>
        <v>METEE PALAPHAN</v>
      </c>
      <c r="F305" s="9"/>
      <c r="G305" s="3"/>
      <c r="H305" s="73"/>
      <c r="I305" s="101" t="s">
        <v>373</v>
      </c>
      <c r="J305" s="73"/>
      <c r="K305" s="113" t="s">
        <v>632</v>
      </c>
      <c r="L305" s="73"/>
      <c r="M305" s="99"/>
      <c r="N305" s="73"/>
      <c r="O305" s="101" t="s">
        <v>373</v>
      </c>
      <c r="P305" s="73"/>
      <c r="Q305" s="113" t="s">
        <v>632</v>
      </c>
      <c r="R305" s="73"/>
    </row>
    <row r="306" spans="1:18" ht="12.75">
      <c r="A306" s="14"/>
      <c r="B306" s="9"/>
      <c r="C306" s="10"/>
      <c r="D306" s="9"/>
      <c r="E306" s="9" t="str">
        <f t="shared" si="50"/>
        <v>CHANIN PHEUNGKLAY</v>
      </c>
      <c r="F306" s="9"/>
      <c r="G306" s="3"/>
      <c r="H306" s="73"/>
      <c r="I306" s="101"/>
      <c r="J306" s="73"/>
      <c r="K306" s="113" t="s">
        <v>374</v>
      </c>
      <c r="L306" s="73"/>
      <c r="M306" s="99"/>
      <c r="N306" s="73"/>
      <c r="O306" s="101"/>
      <c r="P306" s="73"/>
      <c r="Q306" s="113" t="s">
        <v>374</v>
      </c>
      <c r="R306" s="73"/>
    </row>
    <row r="307" spans="1:18" ht="12.75">
      <c r="A307" s="14"/>
      <c r="B307" s="9"/>
      <c r="C307" s="10" t="str">
        <f t="shared" ref="C307:C318" si="51">UPPER(I307)</f>
        <v/>
      </c>
      <c r="D307" s="9"/>
      <c r="E307" s="9" t="str">
        <f t="shared" si="50"/>
        <v/>
      </c>
      <c r="F307" s="9"/>
      <c r="G307" s="3"/>
      <c r="H307" s="73"/>
      <c r="I307" s="101"/>
      <c r="J307" s="73"/>
      <c r="K307" s="113"/>
      <c r="L307" s="73"/>
      <c r="M307" s="99"/>
      <c r="N307" s="73"/>
      <c r="O307" s="101"/>
      <c r="P307" s="73"/>
      <c r="Q307" s="113"/>
      <c r="R307" s="73"/>
    </row>
    <row r="308" spans="1:18" ht="12.75">
      <c r="A308" s="14"/>
      <c r="B308" s="9"/>
      <c r="C308" s="10" t="str">
        <f t="shared" si="51"/>
        <v>LIGHTING ARTIST</v>
      </c>
      <c r="D308" s="9"/>
      <c r="E308" s="9" t="str">
        <f t="shared" si="50"/>
        <v>TITIKAMON NANRUDON</v>
      </c>
      <c r="F308" s="9"/>
      <c r="G308" s="3"/>
      <c r="H308" s="73"/>
      <c r="I308" s="101" t="s">
        <v>335</v>
      </c>
      <c r="J308" s="73"/>
      <c r="K308" s="113" t="s">
        <v>375</v>
      </c>
      <c r="L308" s="73"/>
      <c r="M308" s="99"/>
      <c r="N308" s="73"/>
      <c r="O308" s="101" t="s">
        <v>335</v>
      </c>
      <c r="P308" s="73"/>
      <c r="Q308" s="113" t="s">
        <v>375</v>
      </c>
      <c r="R308" s="73"/>
    </row>
    <row r="309" spans="1:18" ht="12.75">
      <c r="A309" s="14"/>
      <c r="B309" s="9"/>
      <c r="C309" s="10" t="str">
        <f t="shared" si="51"/>
        <v/>
      </c>
      <c r="D309" s="9"/>
      <c r="E309" s="9" t="str">
        <f t="shared" si="50"/>
        <v>PRADTANA KARALOP</v>
      </c>
      <c r="F309" s="9"/>
      <c r="G309" s="3"/>
      <c r="H309" s="73"/>
      <c r="I309" s="99"/>
      <c r="J309" s="73"/>
      <c r="K309" s="113" t="s">
        <v>376</v>
      </c>
      <c r="L309" s="73"/>
      <c r="M309" s="99"/>
      <c r="N309" s="73"/>
      <c r="O309" s="99"/>
      <c r="P309" s="73"/>
      <c r="Q309" s="113" t="s">
        <v>376</v>
      </c>
      <c r="R309" s="73"/>
    </row>
    <row r="310" spans="1:18" ht="12.75">
      <c r="A310" s="14"/>
      <c r="B310" s="9"/>
      <c r="C310" s="10" t="str">
        <f t="shared" si="51"/>
        <v/>
      </c>
      <c r="D310" s="9"/>
      <c r="E310" s="9" t="str">
        <f t="shared" si="50"/>
        <v>WORRAPAT YIMSUKPAITOON</v>
      </c>
      <c r="F310" s="9"/>
      <c r="G310" s="3"/>
      <c r="H310" s="73"/>
      <c r="I310" s="99"/>
      <c r="J310" s="73"/>
      <c r="K310" s="113" t="s">
        <v>377</v>
      </c>
      <c r="L310" s="73"/>
      <c r="M310" s="99"/>
      <c r="N310" s="73"/>
      <c r="O310" s="99"/>
      <c r="P310" s="73"/>
      <c r="Q310" s="113" t="s">
        <v>377</v>
      </c>
      <c r="R310" s="73"/>
    </row>
    <row r="311" spans="1:18" ht="12.75">
      <c r="A311" s="14"/>
      <c r="B311" s="9"/>
      <c r="C311" s="10" t="str">
        <f t="shared" si="51"/>
        <v/>
      </c>
      <c r="D311" s="9"/>
      <c r="E311" s="9" t="str">
        <f t="shared" si="50"/>
        <v>VITTAWAT KITTISUPAT</v>
      </c>
      <c r="F311" s="9"/>
      <c r="G311" s="3"/>
      <c r="H311" s="73"/>
      <c r="I311" s="99"/>
      <c r="J311" s="73"/>
      <c r="K311" s="113" t="s">
        <v>633</v>
      </c>
      <c r="L311" s="73"/>
      <c r="M311" s="99"/>
      <c r="N311" s="73"/>
      <c r="O311" s="99"/>
      <c r="P311" s="73"/>
      <c r="Q311" s="113" t="s">
        <v>633</v>
      </c>
      <c r="R311" s="73"/>
    </row>
    <row r="312" spans="1:18" ht="12.75">
      <c r="A312" s="14"/>
      <c r="B312" s="9"/>
      <c r="C312" s="10" t="str">
        <f t="shared" si="51"/>
        <v/>
      </c>
      <c r="D312" s="9"/>
      <c r="E312" s="9" t="str">
        <f t="shared" si="50"/>
        <v>PHANATHON WARATHIP</v>
      </c>
      <c r="F312" s="9"/>
      <c r="G312" s="3"/>
      <c r="H312" s="73"/>
      <c r="I312" s="99"/>
      <c r="J312" s="73"/>
      <c r="K312" s="113" t="s">
        <v>378</v>
      </c>
      <c r="L312" s="73"/>
      <c r="M312" s="99"/>
      <c r="N312" s="73"/>
      <c r="O312" s="99"/>
      <c r="P312" s="73"/>
      <c r="Q312" s="113" t="s">
        <v>378</v>
      </c>
      <c r="R312" s="73"/>
    </row>
    <row r="313" spans="1:18" ht="12.75">
      <c r="A313" s="14"/>
      <c r="B313" s="9"/>
      <c r="C313" s="10" t="str">
        <f t="shared" si="51"/>
        <v/>
      </c>
      <c r="D313" s="9"/>
      <c r="E313" s="9" t="str">
        <f t="shared" si="50"/>
        <v>BOONYARAT PONOMCHOENG</v>
      </c>
      <c r="F313" s="9"/>
      <c r="G313" s="3"/>
      <c r="H313" s="73"/>
      <c r="I313" s="99"/>
      <c r="J313" s="73"/>
      <c r="K313" s="113" t="s">
        <v>379</v>
      </c>
      <c r="L313" s="73"/>
      <c r="M313" s="99"/>
      <c r="N313" s="73"/>
      <c r="O313" s="99"/>
      <c r="P313" s="73"/>
      <c r="Q313" s="113" t="s">
        <v>379</v>
      </c>
      <c r="R313" s="73"/>
    </row>
    <row r="314" spans="1:18" ht="12.75">
      <c r="A314" s="14"/>
      <c r="B314" s="9"/>
      <c r="C314" s="10" t="str">
        <f t="shared" si="51"/>
        <v/>
      </c>
      <c r="D314" s="9"/>
      <c r="E314" s="9" t="str">
        <f t="shared" si="50"/>
        <v>NUTCHAWEE SREWAI</v>
      </c>
      <c r="F314" s="9"/>
      <c r="G314" s="3"/>
      <c r="H314" s="73"/>
      <c r="I314" s="99"/>
      <c r="J314" s="73"/>
      <c r="K314" s="113" t="s">
        <v>380</v>
      </c>
      <c r="L314" s="73"/>
      <c r="M314" s="99"/>
      <c r="N314" s="73"/>
      <c r="O314" s="99"/>
      <c r="P314" s="73"/>
      <c r="Q314" s="113" t="s">
        <v>380</v>
      </c>
      <c r="R314" s="73"/>
    </row>
    <row r="315" spans="1:18" ht="12.75">
      <c r="A315" s="14"/>
      <c r="B315" s="9"/>
      <c r="C315" s="10" t="str">
        <f t="shared" si="51"/>
        <v/>
      </c>
      <c r="D315" s="9"/>
      <c r="E315" s="9" t="str">
        <f t="shared" si="50"/>
        <v>CHANIPORN PORSEELA</v>
      </c>
      <c r="F315" s="9"/>
      <c r="G315" s="3"/>
      <c r="H315" s="73"/>
      <c r="I315" s="99"/>
      <c r="J315" s="73"/>
      <c r="K315" s="113" t="s">
        <v>381</v>
      </c>
      <c r="L315" s="73"/>
      <c r="M315" s="99"/>
      <c r="N315" s="73"/>
      <c r="O315" s="99"/>
      <c r="P315" s="73"/>
      <c r="Q315" s="113" t="s">
        <v>381</v>
      </c>
      <c r="R315" s="73"/>
    </row>
    <row r="316" spans="1:18" ht="12.75">
      <c r="A316" s="14"/>
      <c r="B316" s="9"/>
      <c r="C316" s="10" t="str">
        <f t="shared" si="51"/>
        <v/>
      </c>
      <c r="D316" s="9"/>
      <c r="E316" s="9" t="str">
        <f t="shared" si="50"/>
        <v>KITTISAK SOPAKUL</v>
      </c>
      <c r="F316" s="9"/>
      <c r="G316" s="3"/>
      <c r="H316" s="73"/>
      <c r="I316" s="99"/>
      <c r="J316" s="73"/>
      <c r="K316" s="113" t="s">
        <v>382</v>
      </c>
      <c r="L316" s="73"/>
      <c r="M316" s="99"/>
      <c r="N316" s="73"/>
      <c r="O316" s="99"/>
      <c r="P316" s="73"/>
      <c r="Q316" s="113" t="s">
        <v>382</v>
      </c>
      <c r="R316" s="73"/>
    </row>
    <row r="317" spans="1:18" ht="12.75">
      <c r="A317" s="14"/>
      <c r="B317" s="9"/>
      <c r="C317" s="10" t="str">
        <f t="shared" si="51"/>
        <v/>
      </c>
      <c r="D317" s="9"/>
      <c r="E317" s="9" t="str">
        <f t="shared" si="50"/>
        <v>KORRAPHAT PONGPAIBOON</v>
      </c>
      <c r="F317" s="9"/>
      <c r="G317" s="3"/>
      <c r="H317" s="73"/>
      <c r="I317" s="99"/>
      <c r="J317" s="73"/>
      <c r="K317" s="113" t="s">
        <v>383</v>
      </c>
      <c r="L317" s="73"/>
      <c r="M317" s="99"/>
      <c r="N317" s="73"/>
      <c r="O317" s="99"/>
      <c r="P317" s="73"/>
      <c r="Q317" s="113" t="s">
        <v>383</v>
      </c>
      <c r="R317" s="73"/>
    </row>
    <row r="318" spans="1:18" ht="12.75">
      <c r="A318" s="14"/>
      <c r="B318" s="9"/>
      <c r="C318" s="10" t="str">
        <f t="shared" si="51"/>
        <v/>
      </c>
      <c r="D318" s="9"/>
      <c r="E318" s="9" t="str">
        <f t="shared" si="50"/>
        <v>SUPANIDA KOSIN</v>
      </c>
      <c r="F318" s="9"/>
      <c r="G318" s="3"/>
      <c r="H318" s="73"/>
      <c r="I318" s="99"/>
      <c r="J318" s="73"/>
      <c r="K318" s="113" t="s">
        <v>635</v>
      </c>
      <c r="L318" s="73"/>
      <c r="M318" s="99"/>
      <c r="N318" s="73"/>
      <c r="O318" s="99"/>
      <c r="P318" s="73"/>
      <c r="Q318" s="113" t="s">
        <v>635</v>
      </c>
      <c r="R318" s="73"/>
    </row>
    <row r="319" spans="1:18" ht="12.75">
      <c r="A319" s="14"/>
      <c r="B319" s="9"/>
      <c r="C319" s="10"/>
      <c r="D319" s="9"/>
      <c r="E319" s="9" t="str">
        <f t="shared" si="50"/>
        <v>VARAT SITTINUNTAWAT</v>
      </c>
      <c r="F319" s="9"/>
      <c r="G319" s="3"/>
      <c r="H319" s="73"/>
      <c r="I319" s="99"/>
      <c r="J319" s="73"/>
      <c r="K319" s="113" t="s">
        <v>636</v>
      </c>
      <c r="L319" s="73"/>
      <c r="M319" s="99"/>
      <c r="N319" s="73"/>
      <c r="O319" s="99"/>
      <c r="P319" s="73"/>
      <c r="Q319" s="113" t="s">
        <v>636</v>
      </c>
      <c r="R319" s="73"/>
    </row>
    <row r="320" spans="1:18" ht="12.75">
      <c r="A320" s="14"/>
      <c r="B320" s="9"/>
      <c r="C320" s="10" t="str">
        <f>UPPER(I320)</f>
        <v/>
      </c>
      <c r="D320" s="9"/>
      <c r="E320" s="9" t="str">
        <f t="shared" si="50"/>
        <v>SUTTIDA BUTMATA</v>
      </c>
      <c r="F320" s="9"/>
      <c r="G320" s="3"/>
      <c r="H320" s="73"/>
      <c r="I320" s="99"/>
      <c r="J320" s="73"/>
      <c r="K320" s="113" t="s">
        <v>637</v>
      </c>
      <c r="L320" s="73"/>
      <c r="M320" s="99"/>
      <c r="N320" s="73"/>
      <c r="O320" s="99"/>
      <c r="P320" s="73"/>
      <c r="Q320" s="113" t="s">
        <v>637</v>
      </c>
      <c r="R320" s="73"/>
    </row>
    <row r="321" spans="1:18" ht="12.75">
      <c r="A321" s="14"/>
      <c r="B321" s="9"/>
      <c r="C321" s="10"/>
      <c r="D321" s="9"/>
      <c r="E321" s="9"/>
      <c r="F321" s="9"/>
      <c r="G321" s="3"/>
      <c r="H321" s="73"/>
      <c r="I321" s="99"/>
      <c r="J321" s="73"/>
      <c r="K321" s="109"/>
      <c r="L321" s="73"/>
      <c r="M321" s="99"/>
      <c r="N321" s="99"/>
      <c r="O321" s="99"/>
      <c r="P321" s="73"/>
      <c r="Q321" s="73"/>
      <c r="R321" s="73"/>
    </row>
    <row r="322" spans="1:18" ht="12.75">
      <c r="A322" s="14"/>
      <c r="B322" s="11"/>
      <c r="C322" s="12"/>
      <c r="D322" s="11"/>
      <c r="E322" s="11"/>
      <c r="F322" s="11"/>
      <c r="G322" s="3"/>
      <c r="H322" s="73"/>
      <c r="I322" s="99"/>
      <c r="J322" s="73"/>
      <c r="K322" s="109"/>
      <c r="L322" s="73"/>
      <c r="M322" s="99"/>
      <c r="N322" s="99"/>
      <c r="O322" s="99"/>
      <c r="P322" s="73"/>
      <c r="Q322" s="73"/>
      <c r="R322" s="73"/>
    </row>
    <row r="323" spans="1:18" ht="12.75">
      <c r="A323" s="14"/>
      <c r="B323" s="9"/>
      <c r="C323" s="10"/>
      <c r="D323" s="9"/>
      <c r="E323" s="9"/>
      <c r="F323" s="9"/>
      <c r="G323" s="3"/>
      <c r="H323" s="73"/>
      <c r="I323" s="99"/>
      <c r="J323" s="73"/>
      <c r="K323" s="109"/>
      <c r="L323" s="73"/>
      <c r="M323" s="99"/>
      <c r="N323" s="99"/>
      <c r="O323" s="99"/>
      <c r="P323" s="73"/>
      <c r="Q323" s="73"/>
      <c r="R323" s="73"/>
    </row>
    <row r="324" spans="1:18" ht="18">
      <c r="A324" s="14"/>
      <c r="B324" s="150" t="str">
        <f t="shared" ref="B324:B325" si="52">UPPER(H324)</f>
        <v>LIGHTING / VFX / COMPOSITING</v>
      </c>
      <c r="C324" s="141"/>
      <c r="D324" s="141"/>
      <c r="E324" s="141"/>
      <c r="F324" s="141"/>
      <c r="G324" s="28"/>
      <c r="H324" s="173" t="s">
        <v>330</v>
      </c>
      <c r="I324" s="141"/>
      <c r="J324" s="141"/>
      <c r="K324" s="141"/>
      <c r="L324" s="141"/>
      <c r="M324" s="99"/>
      <c r="N324" s="149" t="s">
        <v>845</v>
      </c>
      <c r="O324" s="141"/>
      <c r="P324" s="141"/>
      <c r="Q324" s="141"/>
      <c r="R324" s="141"/>
    </row>
    <row r="325" spans="1:18" ht="15">
      <c r="A325" s="14"/>
      <c r="B325" s="146" t="str">
        <f t="shared" si="52"/>
        <v>THE MONK STUDIOS</v>
      </c>
      <c r="C325" s="141"/>
      <c r="D325" s="141"/>
      <c r="E325" s="141"/>
      <c r="F325" s="141"/>
      <c r="G325" s="3"/>
      <c r="H325" s="176" t="s">
        <v>202</v>
      </c>
      <c r="I325" s="141"/>
      <c r="J325" s="141"/>
      <c r="K325" s="141"/>
      <c r="L325" s="141"/>
      <c r="M325" s="99"/>
      <c r="N325" s="176" t="s">
        <v>202</v>
      </c>
      <c r="O325" s="141"/>
      <c r="P325" s="141"/>
      <c r="Q325" s="141"/>
      <c r="R325" s="141"/>
    </row>
    <row r="326" spans="1:18" ht="12.75">
      <c r="A326" s="14"/>
      <c r="B326" s="9"/>
      <c r="C326" s="10"/>
      <c r="D326" s="9"/>
      <c r="E326" s="9"/>
      <c r="F326" s="9"/>
      <c r="G326" s="3"/>
      <c r="H326" s="73"/>
      <c r="I326" s="101"/>
      <c r="J326" s="73"/>
      <c r="K326" s="113"/>
      <c r="L326" s="73"/>
      <c r="M326" s="99"/>
      <c r="N326" s="73"/>
      <c r="O326" s="101"/>
      <c r="P326" s="73"/>
      <c r="Q326" s="113"/>
      <c r="R326" s="73"/>
    </row>
    <row r="327" spans="1:18" ht="12.75">
      <c r="A327" s="14"/>
      <c r="B327" s="9"/>
      <c r="C327" s="10" t="str">
        <f>UPPER(I327)</f>
        <v>LIGHTING ARTIST</v>
      </c>
      <c r="D327" s="9"/>
      <c r="E327" s="9" t="str">
        <f t="shared" ref="E327:E336" si="53">UPPER(K327)</f>
        <v>TANCHANOK SONGSANG</v>
      </c>
      <c r="F327" s="9"/>
      <c r="G327" s="3"/>
      <c r="H327" s="73"/>
      <c r="I327" s="101" t="s">
        <v>335</v>
      </c>
      <c r="J327" s="73"/>
      <c r="K327" s="113" t="s">
        <v>638</v>
      </c>
      <c r="L327" s="73"/>
      <c r="M327" s="99"/>
      <c r="N327" s="73"/>
      <c r="O327" s="101" t="s">
        <v>335</v>
      </c>
      <c r="P327" s="73"/>
      <c r="Q327" s="113" t="s">
        <v>638</v>
      </c>
      <c r="R327" s="73"/>
    </row>
    <row r="328" spans="1:18" ht="12.75">
      <c r="A328" s="14"/>
      <c r="B328" s="9"/>
      <c r="C328" s="10"/>
      <c r="D328" s="9"/>
      <c r="E328" s="9" t="str">
        <f t="shared" si="53"/>
        <v>SIRAPOB KOSITCHAIMONGKHON</v>
      </c>
      <c r="F328" s="9"/>
      <c r="G328" s="3"/>
      <c r="H328" s="73"/>
      <c r="I328" s="101"/>
      <c r="J328" s="73"/>
      <c r="K328" s="113" t="s">
        <v>663</v>
      </c>
      <c r="L328" s="73"/>
      <c r="M328" s="99"/>
      <c r="N328" s="73"/>
      <c r="O328" s="101"/>
      <c r="P328" s="73"/>
      <c r="Q328" s="113" t="s">
        <v>663</v>
      </c>
      <c r="R328" s="73"/>
    </row>
    <row r="329" spans="1:18" ht="12.75">
      <c r="A329" s="14"/>
      <c r="B329" s="9"/>
      <c r="C329" s="10" t="str">
        <f>UPPER(I329)</f>
        <v/>
      </c>
      <c r="D329" s="9"/>
      <c r="E329" s="9" t="str">
        <f t="shared" si="53"/>
        <v>CHANCHOL JANTARAT</v>
      </c>
      <c r="F329" s="9"/>
      <c r="G329" s="3"/>
      <c r="H329" s="73"/>
      <c r="I329" s="101"/>
      <c r="J329" s="73"/>
      <c r="K329" s="113" t="s">
        <v>665</v>
      </c>
      <c r="L329" s="73"/>
      <c r="M329" s="99"/>
      <c r="N329" s="73"/>
      <c r="O329" s="101"/>
      <c r="P329" s="73"/>
      <c r="Q329" s="113" t="s">
        <v>665</v>
      </c>
      <c r="R329" s="73"/>
    </row>
    <row r="330" spans="1:18" ht="12.75">
      <c r="A330" s="14"/>
      <c r="B330" s="9"/>
      <c r="C330" s="10"/>
      <c r="D330" s="9"/>
      <c r="E330" s="9" t="str">
        <f t="shared" si="53"/>
        <v>SIRUNDA SUWANNAPRACHA</v>
      </c>
      <c r="F330" s="9"/>
      <c r="G330" s="3"/>
      <c r="H330" s="73"/>
      <c r="I330" s="101"/>
      <c r="J330" s="73"/>
      <c r="K330" s="113" t="s">
        <v>666</v>
      </c>
      <c r="L330" s="73"/>
      <c r="M330" s="99"/>
      <c r="N330" s="73"/>
      <c r="O330" s="101"/>
      <c r="P330" s="73"/>
      <c r="Q330" s="113" t="s">
        <v>666</v>
      </c>
      <c r="R330" s="73"/>
    </row>
    <row r="331" spans="1:18" ht="12.75">
      <c r="A331" s="14"/>
      <c r="B331" s="9"/>
      <c r="C331" s="10" t="str">
        <f t="shared" ref="C331:C336" si="54">UPPER(I331)</f>
        <v/>
      </c>
      <c r="D331" s="9"/>
      <c r="E331" s="9" t="str">
        <f t="shared" si="53"/>
        <v>KASET REABREANG</v>
      </c>
      <c r="F331" s="9"/>
      <c r="G331" s="3"/>
      <c r="H331" s="73"/>
      <c r="I331" s="101"/>
      <c r="J331" s="73"/>
      <c r="K331" s="113" t="s">
        <v>667</v>
      </c>
      <c r="L331" s="73"/>
      <c r="M331" s="99"/>
      <c r="N331" s="73"/>
      <c r="O331" s="101"/>
      <c r="P331" s="73"/>
      <c r="Q331" s="113" t="s">
        <v>667</v>
      </c>
      <c r="R331" s="73"/>
    </row>
    <row r="332" spans="1:18" ht="12.75">
      <c r="A332" s="14"/>
      <c r="B332" s="9"/>
      <c r="C332" s="10" t="str">
        <f t="shared" si="54"/>
        <v/>
      </c>
      <c r="D332" s="9"/>
      <c r="E332" s="9" t="str">
        <f t="shared" si="53"/>
        <v>LALITA CHINTHAWAN</v>
      </c>
      <c r="F332" s="9"/>
      <c r="G332" s="3"/>
      <c r="H332" s="73"/>
      <c r="I332" s="99"/>
      <c r="J332" s="73"/>
      <c r="K332" s="113" t="s">
        <v>668</v>
      </c>
      <c r="L332" s="73"/>
      <c r="M332" s="99"/>
      <c r="N332" s="73"/>
      <c r="O332" s="99"/>
      <c r="P332" s="73"/>
      <c r="Q332" s="113" t="s">
        <v>668</v>
      </c>
      <c r="R332" s="73"/>
    </row>
    <row r="333" spans="1:18" ht="12.75">
      <c r="A333" s="14"/>
      <c r="B333" s="9"/>
      <c r="C333" s="10" t="str">
        <f t="shared" si="54"/>
        <v/>
      </c>
      <c r="D333" s="9"/>
      <c r="E333" s="9" t="str">
        <f t="shared" si="53"/>
        <v>SONGSAK JANSAWANG</v>
      </c>
      <c r="F333" s="9"/>
      <c r="G333" s="3"/>
      <c r="H333" s="73"/>
      <c r="I333" s="99"/>
      <c r="J333" s="73"/>
      <c r="K333" s="113" t="s">
        <v>669</v>
      </c>
      <c r="L333" s="73"/>
      <c r="M333" s="99"/>
      <c r="N333" s="73"/>
      <c r="O333" s="99"/>
      <c r="P333" s="73"/>
      <c r="Q333" s="113" t="s">
        <v>669</v>
      </c>
      <c r="R333" s="73"/>
    </row>
    <row r="334" spans="1:18" ht="12.75">
      <c r="A334" s="14"/>
      <c r="B334" s="9"/>
      <c r="C334" s="10" t="str">
        <f t="shared" si="54"/>
        <v/>
      </c>
      <c r="D334" s="9"/>
      <c r="E334" s="9" t="str">
        <f t="shared" si="53"/>
        <v>NITHIRUT JIRAKANGVANPHAT</v>
      </c>
      <c r="F334" s="9"/>
      <c r="G334" s="3"/>
      <c r="H334" s="73"/>
      <c r="I334" s="99"/>
      <c r="J334" s="73"/>
      <c r="K334" s="113" t="s">
        <v>670</v>
      </c>
      <c r="L334" s="73"/>
      <c r="M334" s="99"/>
      <c r="N334" s="73"/>
      <c r="O334" s="99"/>
      <c r="P334" s="73"/>
      <c r="Q334" s="113" t="s">
        <v>670</v>
      </c>
      <c r="R334" s="73"/>
    </row>
    <row r="335" spans="1:18" ht="12.75">
      <c r="A335" s="14"/>
      <c r="B335" s="9"/>
      <c r="C335" s="10" t="str">
        <f t="shared" si="54"/>
        <v/>
      </c>
      <c r="D335" s="9"/>
      <c r="E335" s="9" t="str">
        <f t="shared" si="53"/>
        <v>CHITAWADEE SRIRUK</v>
      </c>
      <c r="F335" s="9"/>
      <c r="G335" s="3"/>
      <c r="H335" s="73"/>
      <c r="I335" s="99"/>
      <c r="J335" s="73"/>
      <c r="K335" s="113" t="s">
        <v>671</v>
      </c>
      <c r="L335" s="73"/>
      <c r="M335" s="99"/>
      <c r="N335" s="73"/>
      <c r="O335" s="99"/>
      <c r="P335" s="73"/>
      <c r="Q335" s="113" t="s">
        <v>671</v>
      </c>
      <c r="R335" s="73"/>
    </row>
    <row r="336" spans="1:18" ht="12.75">
      <c r="A336" s="14"/>
      <c r="B336" s="9"/>
      <c r="C336" s="10" t="str">
        <f t="shared" si="54"/>
        <v/>
      </c>
      <c r="D336" s="9"/>
      <c r="E336" s="9" t="str">
        <f t="shared" si="53"/>
        <v>SIRAWAT PUNYARIT</v>
      </c>
      <c r="F336" s="9"/>
      <c r="G336" s="3"/>
      <c r="H336" s="73"/>
      <c r="I336" s="99"/>
      <c r="J336" s="73"/>
      <c r="K336" s="113" t="s">
        <v>672</v>
      </c>
      <c r="L336" s="73"/>
      <c r="M336" s="99"/>
      <c r="N336" s="73"/>
      <c r="O336" s="99"/>
      <c r="P336" s="73"/>
      <c r="Q336" s="113" t="s">
        <v>672</v>
      </c>
      <c r="R336" s="73"/>
    </row>
    <row r="337" spans="1:18" ht="12.75">
      <c r="A337" s="14"/>
      <c r="B337" s="9"/>
      <c r="C337" s="10"/>
      <c r="D337" s="9"/>
      <c r="E337" s="9"/>
      <c r="F337" s="9"/>
      <c r="G337" s="3"/>
      <c r="H337" s="73"/>
      <c r="I337" s="99"/>
      <c r="J337" s="73"/>
      <c r="K337" s="109"/>
      <c r="L337" s="73"/>
      <c r="M337" s="99"/>
      <c r="N337" s="99"/>
      <c r="O337" s="99"/>
      <c r="P337" s="73"/>
      <c r="Q337" s="73"/>
      <c r="R337" s="73"/>
    </row>
    <row r="338" spans="1:18" ht="12.75">
      <c r="A338" s="14"/>
      <c r="B338" s="11"/>
      <c r="C338" s="12"/>
      <c r="D338" s="11"/>
      <c r="E338" s="11"/>
      <c r="F338" s="11"/>
      <c r="G338" s="3"/>
      <c r="H338" s="73"/>
      <c r="I338" s="99"/>
      <c r="J338" s="73"/>
      <c r="K338" s="109"/>
      <c r="L338" s="73"/>
      <c r="M338" s="99"/>
      <c r="N338" s="99"/>
      <c r="O338" s="99"/>
      <c r="P338" s="73"/>
      <c r="Q338" s="73"/>
      <c r="R338" s="73"/>
    </row>
    <row r="339" spans="1:18" ht="15">
      <c r="A339" s="14"/>
      <c r="B339" s="6"/>
      <c r="C339" s="6"/>
      <c r="D339" s="6"/>
      <c r="E339" s="6"/>
      <c r="F339" s="6"/>
      <c r="G339" s="3"/>
      <c r="H339" s="96"/>
      <c r="I339" s="96"/>
      <c r="J339" s="96"/>
      <c r="K339" s="96"/>
      <c r="L339" s="96"/>
      <c r="M339" s="99"/>
      <c r="N339" s="96"/>
      <c r="O339" s="96"/>
      <c r="P339" s="96"/>
      <c r="Q339" s="96"/>
      <c r="R339" s="96"/>
    </row>
    <row r="340" spans="1:18" ht="18">
      <c r="A340" s="14"/>
      <c r="B340" s="150" t="str">
        <f>UPPER(H340)</f>
        <v>PIPELINE &amp; SYSTEM</v>
      </c>
      <c r="C340" s="141"/>
      <c r="D340" s="141"/>
      <c r="E340" s="141"/>
      <c r="F340" s="141"/>
      <c r="G340" s="28"/>
      <c r="H340" s="173" t="s">
        <v>387</v>
      </c>
      <c r="I340" s="141"/>
      <c r="J340" s="141"/>
      <c r="K340" s="141"/>
      <c r="L340" s="141"/>
      <c r="M340" s="112"/>
      <c r="N340" s="149" t="s">
        <v>860</v>
      </c>
      <c r="O340" s="141"/>
      <c r="P340" s="141"/>
      <c r="Q340" s="141"/>
      <c r="R340" s="141"/>
    </row>
    <row r="341" spans="1:18" ht="12.75">
      <c r="A341" s="14"/>
      <c r="B341" s="9"/>
      <c r="C341" s="10"/>
      <c r="D341" s="9"/>
      <c r="E341" s="9"/>
      <c r="F341" s="9"/>
      <c r="G341" s="3"/>
      <c r="H341" s="73"/>
      <c r="I341" s="99"/>
      <c r="J341" s="73"/>
      <c r="K341" s="109"/>
      <c r="L341" s="73"/>
      <c r="M341" s="99"/>
      <c r="N341" s="3"/>
      <c r="O341" s="8"/>
      <c r="P341" s="3"/>
      <c r="Q341" s="3"/>
      <c r="R341" s="3"/>
    </row>
    <row r="342" spans="1:18" ht="12.75">
      <c r="A342" s="14"/>
      <c r="B342" s="9"/>
      <c r="C342" s="10" t="str">
        <f t="shared" ref="C342:C345" si="55">UPPER(I342)</f>
        <v>PIPELINE SUPERVISOR</v>
      </c>
      <c r="D342" s="9"/>
      <c r="E342" s="9" t="str">
        <f t="shared" ref="E342:E345" si="56">UPPER(K342)</f>
        <v>HYUNKYU PARK</v>
      </c>
      <c r="F342" s="9"/>
      <c r="G342" s="3"/>
      <c r="H342" s="73"/>
      <c r="I342" s="99" t="s">
        <v>388</v>
      </c>
      <c r="J342" s="73"/>
      <c r="K342" s="109" t="s">
        <v>389</v>
      </c>
      <c r="L342" s="73"/>
      <c r="M342" s="99"/>
      <c r="N342" s="3"/>
      <c r="O342" s="8" t="s">
        <v>861</v>
      </c>
      <c r="P342" s="3"/>
      <c r="Q342" s="3" t="s">
        <v>862</v>
      </c>
      <c r="R342" s="3"/>
    </row>
    <row r="343" spans="1:18" ht="12.75">
      <c r="A343" s="14"/>
      <c r="B343" s="9"/>
      <c r="C343" s="10" t="str">
        <f t="shared" si="55"/>
        <v/>
      </c>
      <c r="D343" s="9"/>
      <c r="E343" s="9" t="str">
        <f t="shared" si="56"/>
        <v/>
      </c>
      <c r="F343" s="9"/>
      <c r="G343" s="3"/>
      <c r="H343" s="73"/>
      <c r="I343" s="99"/>
      <c r="J343" s="73"/>
      <c r="K343" s="109"/>
      <c r="L343" s="73"/>
      <c r="M343" s="99"/>
      <c r="N343" s="3"/>
      <c r="O343" s="8"/>
      <c r="P343" s="3"/>
      <c r="Q343" s="3"/>
      <c r="R343" s="3"/>
    </row>
    <row r="344" spans="1:18" ht="12.75">
      <c r="A344" s="14"/>
      <c r="B344" s="9"/>
      <c r="C344" s="10" t="str">
        <f t="shared" si="55"/>
        <v>SYSTEM MANAGER</v>
      </c>
      <c r="D344" s="9"/>
      <c r="E344" s="9" t="str">
        <f t="shared" si="56"/>
        <v>JIWOONG RYU</v>
      </c>
      <c r="F344" s="9"/>
      <c r="G344" s="3"/>
      <c r="H344" s="73"/>
      <c r="I344" s="99" t="s">
        <v>390</v>
      </c>
      <c r="J344" s="73"/>
      <c r="K344" s="109" t="s">
        <v>391</v>
      </c>
      <c r="L344" s="73"/>
      <c r="M344" s="99"/>
      <c r="N344" s="3"/>
      <c r="O344" s="8" t="s">
        <v>863</v>
      </c>
      <c r="P344" s="3"/>
      <c r="Q344" s="3" t="s">
        <v>864</v>
      </c>
      <c r="R344" s="3"/>
    </row>
    <row r="345" spans="1:18" ht="12.75">
      <c r="A345" s="14"/>
      <c r="B345" s="9"/>
      <c r="C345" s="10" t="str">
        <f t="shared" si="55"/>
        <v/>
      </c>
      <c r="D345" s="9"/>
      <c r="E345" s="9" t="str">
        <f t="shared" si="56"/>
        <v/>
      </c>
      <c r="F345" s="9"/>
      <c r="G345" s="3"/>
      <c r="H345" s="73"/>
      <c r="I345" s="99"/>
      <c r="J345" s="73"/>
      <c r="K345" s="109"/>
      <c r="L345" s="73"/>
      <c r="M345" s="99"/>
      <c r="N345" s="8"/>
      <c r="O345" s="21"/>
      <c r="P345" s="3"/>
      <c r="Q345" s="3"/>
      <c r="R345" s="3"/>
    </row>
    <row r="346" spans="1:18" ht="18">
      <c r="A346" s="14"/>
      <c r="B346" s="150" t="str">
        <f>UPPER(H346)</f>
        <v>MANAGEMENT</v>
      </c>
      <c r="C346" s="141"/>
      <c r="D346" s="141"/>
      <c r="E346" s="141"/>
      <c r="F346" s="141"/>
      <c r="G346" s="28"/>
      <c r="H346" s="173" t="s">
        <v>392</v>
      </c>
      <c r="I346" s="141"/>
      <c r="J346" s="141"/>
      <c r="K346" s="141"/>
      <c r="L346" s="141"/>
      <c r="M346" s="112"/>
      <c r="N346" s="149" t="s">
        <v>865</v>
      </c>
      <c r="O346" s="141"/>
      <c r="P346" s="141"/>
      <c r="Q346" s="141"/>
      <c r="R346" s="141"/>
    </row>
    <row r="347" spans="1:18" ht="12.75">
      <c r="A347" s="14"/>
      <c r="B347" s="9"/>
      <c r="C347" s="10"/>
      <c r="D347" s="9"/>
      <c r="E347" s="9"/>
      <c r="F347" s="9"/>
      <c r="G347" s="3"/>
      <c r="H347" s="73"/>
      <c r="I347" s="99"/>
      <c r="J347" s="73"/>
      <c r="K347" s="73"/>
      <c r="L347" s="73"/>
      <c r="M347" s="73"/>
      <c r="N347" s="3"/>
      <c r="O347" s="8"/>
      <c r="P347" s="3"/>
      <c r="Q347" s="3"/>
      <c r="R347" s="3"/>
    </row>
    <row r="348" spans="1:18" ht="12.75">
      <c r="A348" s="14"/>
      <c r="B348" s="9"/>
      <c r="C348" s="10" t="str">
        <f>UPPER(I348)</f>
        <v>STUDIO MANAGEMENT</v>
      </c>
      <c r="D348" s="9"/>
      <c r="E348" s="9" t="str">
        <f>UPPER(K348)</f>
        <v>SANGWAN SEOK</v>
      </c>
      <c r="F348" s="9"/>
      <c r="G348" s="3"/>
      <c r="H348" s="73"/>
      <c r="I348" s="99" t="s">
        <v>393</v>
      </c>
      <c r="J348" s="73"/>
      <c r="K348" s="73" t="s">
        <v>394</v>
      </c>
      <c r="L348" s="73"/>
      <c r="M348" s="73"/>
      <c r="N348" s="3"/>
      <c r="O348" s="8" t="s">
        <v>866</v>
      </c>
      <c r="P348" s="3"/>
      <c r="Q348" s="3" t="s">
        <v>867</v>
      </c>
      <c r="R348" s="3"/>
    </row>
    <row r="349" spans="1:18" ht="15">
      <c r="A349" s="14"/>
      <c r="B349" s="146" t="str">
        <f>UPPER(H349)</f>
        <v/>
      </c>
      <c r="C349" s="141"/>
      <c r="D349" s="141"/>
      <c r="E349" s="141"/>
      <c r="F349" s="141"/>
      <c r="G349" s="3"/>
      <c r="H349" s="73"/>
      <c r="I349" s="99"/>
      <c r="J349" s="73"/>
      <c r="K349" s="73"/>
      <c r="L349" s="73"/>
      <c r="M349" s="73"/>
      <c r="N349" s="3"/>
      <c r="O349" s="8"/>
      <c r="P349" s="3"/>
      <c r="Q349" s="3"/>
      <c r="R349" s="3"/>
    </row>
    <row r="350" spans="1:18" ht="12.75">
      <c r="A350" s="14"/>
      <c r="B350" s="9"/>
      <c r="C350" s="10" t="str">
        <f t="shared" ref="C350:C354" si="57">UPPER(I350)</f>
        <v>SUPERVISING PRODUCER</v>
      </c>
      <c r="D350" s="9"/>
      <c r="E350" s="9" t="str">
        <f t="shared" ref="E350:E354" si="58">UPPER(K350)</f>
        <v>JARIN SOHN</v>
      </c>
      <c r="F350" s="9"/>
      <c r="G350" s="3"/>
      <c r="H350" s="73"/>
      <c r="I350" s="99" t="s">
        <v>395</v>
      </c>
      <c r="J350" s="73"/>
      <c r="K350" s="73" t="s">
        <v>396</v>
      </c>
      <c r="L350" s="73"/>
      <c r="M350" s="99"/>
      <c r="N350" s="3"/>
      <c r="O350" s="8" t="s">
        <v>868</v>
      </c>
      <c r="P350" s="3"/>
      <c r="Q350" s="3" t="s">
        <v>869</v>
      </c>
      <c r="R350" s="3"/>
    </row>
    <row r="351" spans="1:18" ht="12.75">
      <c r="A351" s="14"/>
      <c r="B351" s="9"/>
      <c r="C351" s="10" t="str">
        <f t="shared" si="57"/>
        <v/>
      </c>
      <c r="D351" s="9"/>
      <c r="E351" s="9" t="str">
        <f t="shared" si="58"/>
        <v/>
      </c>
      <c r="F351" s="9"/>
      <c r="G351" s="3"/>
      <c r="H351" s="73"/>
      <c r="I351" s="99"/>
      <c r="J351" s="73"/>
      <c r="K351" s="73"/>
      <c r="L351" s="73"/>
      <c r="M351" s="99"/>
      <c r="N351" s="3"/>
      <c r="O351" s="8"/>
      <c r="P351" s="3"/>
      <c r="Q351" s="3"/>
      <c r="R351" s="3"/>
    </row>
    <row r="352" spans="1:18" ht="15">
      <c r="A352" s="14"/>
      <c r="B352" s="6"/>
      <c r="C352" s="10" t="str">
        <f t="shared" si="57"/>
        <v>IP BUSINESS</v>
      </c>
      <c r="D352" s="9"/>
      <c r="E352" s="9" t="str">
        <f t="shared" si="58"/>
        <v>YEOMIN YOON</v>
      </c>
      <c r="F352" s="6"/>
      <c r="G352" s="3"/>
      <c r="H352" s="73"/>
      <c r="I352" s="99" t="s">
        <v>397</v>
      </c>
      <c r="J352" s="73"/>
      <c r="K352" s="73" t="s">
        <v>398</v>
      </c>
      <c r="L352" s="73"/>
      <c r="M352" s="99"/>
      <c r="N352" s="3"/>
      <c r="O352" s="8" t="s">
        <v>870</v>
      </c>
      <c r="P352" s="3"/>
      <c r="Q352" s="3" t="s">
        <v>871</v>
      </c>
      <c r="R352" s="3"/>
    </row>
    <row r="353" spans="1:18" ht="12.75">
      <c r="A353" s="14"/>
      <c r="B353" s="9"/>
      <c r="C353" s="10" t="str">
        <f t="shared" si="57"/>
        <v/>
      </c>
      <c r="D353" s="9"/>
      <c r="E353" s="9" t="str">
        <f t="shared" si="58"/>
        <v>SANGWON NAM</v>
      </c>
      <c r="F353" s="9"/>
      <c r="G353" s="3"/>
      <c r="H353" s="73"/>
      <c r="I353" s="99"/>
      <c r="J353" s="73"/>
      <c r="K353" s="73" t="s">
        <v>399</v>
      </c>
      <c r="L353" s="73"/>
      <c r="M353" s="99"/>
      <c r="N353" s="3"/>
      <c r="O353" s="8"/>
      <c r="P353" s="3"/>
      <c r="Q353" s="3" t="s">
        <v>872</v>
      </c>
      <c r="R353" s="3"/>
    </row>
    <row r="354" spans="1:18" ht="12.75">
      <c r="A354" s="14"/>
      <c r="B354" s="9"/>
      <c r="C354" s="10" t="str">
        <f t="shared" si="57"/>
        <v/>
      </c>
      <c r="D354" s="9"/>
      <c r="E354" s="9" t="str">
        <f t="shared" si="58"/>
        <v xml:space="preserve">GAHYUN BAIK </v>
      </c>
      <c r="F354" s="9"/>
      <c r="G354" s="3"/>
      <c r="H354" s="73"/>
      <c r="I354" s="99"/>
      <c r="J354" s="73"/>
      <c r="K354" s="73" t="s">
        <v>400</v>
      </c>
      <c r="L354" s="73"/>
      <c r="M354" s="99"/>
      <c r="N354" s="3"/>
      <c r="O354" s="8"/>
      <c r="P354" s="3"/>
      <c r="Q354" s="3" t="s">
        <v>873</v>
      </c>
      <c r="R354" s="3"/>
    </row>
    <row r="355" spans="1:18" ht="12.75">
      <c r="A355" s="14"/>
      <c r="B355" s="9"/>
      <c r="C355" s="10"/>
      <c r="D355" s="9"/>
      <c r="E355" s="9"/>
      <c r="F355" s="9"/>
      <c r="G355" s="3"/>
      <c r="H355" s="73"/>
      <c r="I355" s="99"/>
      <c r="J355" s="73"/>
      <c r="K355" s="73" t="s">
        <v>874</v>
      </c>
      <c r="L355" s="73"/>
      <c r="M355" s="99"/>
      <c r="N355" s="3"/>
      <c r="O355" s="8"/>
      <c r="P355" s="3"/>
      <c r="Q355" s="3" t="s">
        <v>875</v>
      </c>
      <c r="R355" s="3"/>
    </row>
    <row r="356" spans="1:18" ht="12.75">
      <c r="A356" s="14"/>
      <c r="B356" s="9"/>
      <c r="C356" s="10" t="str">
        <f t="shared" ref="C356:C360" si="59">UPPER(I356)</f>
        <v/>
      </c>
      <c r="D356" s="9"/>
      <c r="E356" s="9" t="str">
        <f t="shared" ref="E356:E360" si="60">UPPER(K356)</f>
        <v/>
      </c>
      <c r="F356" s="9"/>
      <c r="G356" s="3"/>
      <c r="H356" s="73"/>
      <c r="I356" s="99"/>
      <c r="J356" s="73"/>
      <c r="K356" s="73"/>
      <c r="L356" s="73"/>
      <c r="M356" s="99"/>
      <c r="N356" s="3"/>
      <c r="O356" s="8"/>
      <c r="P356" s="3"/>
      <c r="Q356" s="3"/>
      <c r="R356" s="3"/>
    </row>
    <row r="357" spans="1:18" ht="12.75">
      <c r="A357" s="14"/>
      <c r="B357" s="9"/>
      <c r="C357" s="10" t="str">
        <f t="shared" si="59"/>
        <v>ACCOUNTING</v>
      </c>
      <c r="D357" s="9"/>
      <c r="E357" s="9" t="str">
        <f t="shared" si="60"/>
        <v>JAEHWAN SHIN</v>
      </c>
      <c r="F357" s="9"/>
      <c r="G357" s="3"/>
      <c r="H357" s="73"/>
      <c r="I357" s="99" t="s">
        <v>401</v>
      </c>
      <c r="J357" s="73"/>
      <c r="K357" s="73" t="s">
        <v>402</v>
      </c>
      <c r="L357" s="73"/>
      <c r="M357" s="99"/>
      <c r="N357" s="3"/>
      <c r="O357" s="8" t="s">
        <v>876</v>
      </c>
      <c r="P357" s="3"/>
      <c r="Q357" s="3" t="s">
        <v>877</v>
      </c>
      <c r="R357" s="3"/>
    </row>
    <row r="358" spans="1:18" ht="12.75">
      <c r="A358" s="14"/>
      <c r="B358" s="9"/>
      <c r="C358" s="10" t="str">
        <f t="shared" si="59"/>
        <v/>
      </c>
      <c r="D358" s="9"/>
      <c r="E358" s="9" t="str">
        <f t="shared" si="60"/>
        <v/>
      </c>
      <c r="F358" s="9"/>
      <c r="G358" s="3"/>
      <c r="H358" s="73"/>
      <c r="I358" s="99"/>
      <c r="J358" s="73"/>
      <c r="K358" s="73"/>
      <c r="L358" s="73"/>
      <c r="M358" s="99"/>
      <c r="N358" s="8"/>
      <c r="O358" s="21"/>
      <c r="P358" s="3"/>
      <c r="Q358" s="3"/>
      <c r="R358" s="3"/>
    </row>
    <row r="359" spans="1:18" ht="12.75">
      <c r="A359" s="14"/>
      <c r="B359" s="9"/>
      <c r="C359" s="10" t="str">
        <f t="shared" si="59"/>
        <v>HUMAN RESOURCES</v>
      </c>
      <c r="D359" s="9"/>
      <c r="E359" s="9" t="str">
        <f t="shared" si="60"/>
        <v>JIN KIM</v>
      </c>
      <c r="F359" s="9"/>
      <c r="G359" s="3"/>
      <c r="H359" s="73"/>
      <c r="I359" s="99" t="s">
        <v>403</v>
      </c>
      <c r="J359" s="73"/>
      <c r="K359" s="73" t="s">
        <v>404</v>
      </c>
      <c r="L359" s="73"/>
      <c r="M359" s="99"/>
      <c r="N359" s="8"/>
      <c r="O359" s="8" t="s">
        <v>878</v>
      </c>
      <c r="P359" s="3"/>
      <c r="Q359" s="3" t="s">
        <v>879</v>
      </c>
      <c r="R359" s="3"/>
    </row>
    <row r="360" spans="1:18" ht="12.75">
      <c r="A360" s="14"/>
      <c r="B360" s="9"/>
      <c r="C360" s="10" t="str">
        <f t="shared" si="59"/>
        <v/>
      </c>
      <c r="D360" s="9"/>
      <c r="E360" s="9" t="str">
        <f t="shared" si="60"/>
        <v/>
      </c>
      <c r="F360" s="9"/>
      <c r="G360" s="3"/>
      <c r="H360" s="73"/>
      <c r="I360" s="99"/>
      <c r="J360" s="73"/>
      <c r="K360" s="73"/>
      <c r="L360" s="73"/>
      <c r="M360" s="99"/>
      <c r="N360" s="73"/>
      <c r="O360" s="99"/>
      <c r="P360" s="73"/>
      <c r="Q360" s="73"/>
      <c r="R360" s="73"/>
    </row>
    <row r="361" spans="1:18" ht="12.75">
      <c r="A361" s="14"/>
      <c r="B361" s="11"/>
      <c r="C361" s="12"/>
      <c r="D361" s="11"/>
      <c r="E361" s="11"/>
      <c r="F361" s="11"/>
      <c r="G361" s="3"/>
      <c r="H361" s="73"/>
      <c r="I361" s="99"/>
      <c r="J361" s="73"/>
      <c r="K361" s="109"/>
      <c r="L361" s="73"/>
      <c r="M361" s="73"/>
      <c r="N361" s="73"/>
      <c r="O361" s="99"/>
      <c r="P361" s="73"/>
      <c r="Q361" s="73"/>
      <c r="R361" s="73"/>
    </row>
    <row r="362" spans="1:18" ht="12.75">
      <c r="A362" s="14"/>
      <c r="B362" s="42"/>
      <c r="C362" s="10" t="str">
        <f>UPPER(I362)</f>
        <v/>
      </c>
      <c r="D362" s="9"/>
      <c r="E362" s="9" t="str">
        <f>UPPER(K362)</f>
        <v/>
      </c>
      <c r="F362" s="42"/>
      <c r="G362" s="3"/>
      <c r="H362" s="99"/>
      <c r="I362" s="99"/>
      <c r="J362" s="99"/>
      <c r="K362" s="109"/>
      <c r="L362" s="99"/>
      <c r="M362" s="99"/>
      <c r="N362" s="99"/>
      <c r="O362" s="99"/>
      <c r="P362" s="73"/>
      <c r="Q362" s="73"/>
      <c r="R362" s="73"/>
    </row>
    <row r="363" spans="1:18" ht="18">
      <c r="A363" s="14"/>
      <c r="B363" s="150" t="str">
        <f t="shared" ref="B363:B364" si="61">UPPER(H363)</f>
        <v>ADDITIONAL ARTISTS</v>
      </c>
      <c r="C363" s="141"/>
      <c r="D363" s="141"/>
      <c r="E363" s="141"/>
      <c r="F363" s="141"/>
      <c r="G363" s="28"/>
      <c r="H363" s="173" t="s">
        <v>405</v>
      </c>
      <c r="I363" s="141"/>
      <c r="J363" s="141"/>
      <c r="K363" s="141"/>
      <c r="L363" s="141"/>
      <c r="M363" s="112"/>
      <c r="N363" s="149" t="s">
        <v>880</v>
      </c>
      <c r="O363" s="141"/>
      <c r="P363" s="141"/>
      <c r="Q363" s="141"/>
      <c r="R363" s="141"/>
    </row>
    <row r="364" spans="1:18" ht="12.75">
      <c r="A364" s="14"/>
      <c r="B364" s="165" t="str">
        <f t="shared" si="61"/>
        <v>YGGDRAZIL GROUP PUBLIC CO., LTD.</v>
      </c>
      <c r="C364" s="141"/>
      <c r="D364" s="141"/>
      <c r="E364" s="141"/>
      <c r="F364" s="141"/>
      <c r="G364" s="44"/>
      <c r="H364" s="174" t="s">
        <v>406</v>
      </c>
      <c r="I364" s="141"/>
      <c r="J364" s="141"/>
      <c r="K364" s="141"/>
      <c r="L364" s="141"/>
      <c r="M364" s="107"/>
      <c r="N364" s="174" t="s">
        <v>406</v>
      </c>
      <c r="O364" s="141"/>
      <c r="P364" s="141"/>
      <c r="Q364" s="141"/>
      <c r="R364" s="141"/>
    </row>
    <row r="365" spans="1:18" ht="12.75">
      <c r="A365" s="14"/>
      <c r="B365" s="9"/>
      <c r="C365" s="10"/>
      <c r="D365" s="9"/>
      <c r="E365" s="9"/>
      <c r="F365" s="9"/>
      <c r="G365" s="3"/>
      <c r="H365" s="109"/>
      <c r="I365" s="99"/>
      <c r="J365" s="73"/>
      <c r="K365" s="73"/>
      <c r="L365" s="73"/>
      <c r="M365" s="99"/>
      <c r="N365" s="109"/>
      <c r="O365" s="99"/>
      <c r="P365" s="73"/>
      <c r="Q365" s="73"/>
      <c r="R365" s="73"/>
    </row>
    <row r="366" spans="1:18" ht="12.75">
      <c r="A366" s="14"/>
      <c r="B366" s="9"/>
      <c r="C366" s="10" t="str">
        <f>UPPER(I366)</f>
        <v>ANIMATION DIRECTOR</v>
      </c>
      <c r="D366" s="9"/>
      <c r="E366" s="9" t="str">
        <f>UPPER(K366)</f>
        <v>PAIRATCH LERTKAJORNWONG</v>
      </c>
      <c r="F366" s="9"/>
      <c r="G366" s="3"/>
      <c r="H366" s="109"/>
      <c r="I366" s="99" t="s">
        <v>291</v>
      </c>
      <c r="J366" s="73"/>
      <c r="K366" s="73" t="s">
        <v>407</v>
      </c>
      <c r="L366" s="73"/>
      <c r="M366" s="99"/>
      <c r="N366" s="109"/>
      <c r="O366" s="99" t="s">
        <v>291</v>
      </c>
      <c r="P366" s="73"/>
      <c r="Q366" s="73" t="s">
        <v>407</v>
      </c>
      <c r="R366" s="73"/>
    </row>
    <row r="367" spans="1:18" ht="15">
      <c r="A367" s="14"/>
      <c r="B367" s="6"/>
      <c r="C367" s="6"/>
      <c r="D367" s="6"/>
      <c r="E367" s="6"/>
      <c r="F367" s="6"/>
      <c r="G367" s="3"/>
      <c r="H367" s="96"/>
      <c r="I367" s="96"/>
      <c r="J367" s="96"/>
      <c r="K367" s="96"/>
      <c r="L367" s="96"/>
      <c r="M367" s="99"/>
      <c r="N367" s="96"/>
      <c r="O367" s="96"/>
      <c r="P367" s="96"/>
      <c r="Q367" s="96"/>
      <c r="R367" s="96"/>
    </row>
    <row r="368" spans="1:18" ht="12.75">
      <c r="A368" s="14"/>
      <c r="B368" s="42"/>
      <c r="C368" s="10" t="str">
        <f t="shared" ref="C368:C384" si="62">UPPER(I368)</f>
        <v>ASSET SUPERVISOR</v>
      </c>
      <c r="D368" s="9"/>
      <c r="E368" s="9" t="str">
        <f t="shared" ref="E368:E385" si="63">UPPER(K368)</f>
        <v>PANUWAT BOVORNSIRISARP</v>
      </c>
      <c r="F368" s="42"/>
      <c r="G368" s="3"/>
      <c r="H368" s="99"/>
      <c r="I368" s="99" t="s">
        <v>209</v>
      </c>
      <c r="J368" s="99"/>
      <c r="K368" s="100" t="s">
        <v>408</v>
      </c>
      <c r="L368" s="99"/>
      <c r="M368" s="99"/>
      <c r="N368" s="99"/>
      <c r="O368" s="99" t="s">
        <v>209</v>
      </c>
      <c r="P368" s="99"/>
      <c r="Q368" s="100" t="s">
        <v>408</v>
      </c>
      <c r="R368" s="99"/>
    </row>
    <row r="369" spans="1:18" ht="12.75">
      <c r="A369" s="14"/>
      <c r="B369" s="42"/>
      <c r="C369" s="10" t="str">
        <f t="shared" si="62"/>
        <v>LEAD ASSET</v>
      </c>
      <c r="D369" s="9"/>
      <c r="E369" s="9" t="str">
        <f t="shared" si="63"/>
        <v>PRADTANA TARWONG</v>
      </c>
      <c r="F369" s="42"/>
      <c r="G369" s="3"/>
      <c r="H369" s="99"/>
      <c r="I369" s="99" t="s">
        <v>409</v>
      </c>
      <c r="J369" s="99"/>
      <c r="K369" s="100" t="s">
        <v>410</v>
      </c>
      <c r="L369" s="99"/>
      <c r="M369" s="99"/>
      <c r="N369" s="99"/>
      <c r="O369" s="99" t="s">
        <v>409</v>
      </c>
      <c r="P369" s="99"/>
      <c r="Q369" s="100" t="s">
        <v>410</v>
      </c>
      <c r="R369" s="99"/>
    </row>
    <row r="370" spans="1:18" ht="12.75">
      <c r="A370" s="14"/>
      <c r="B370" s="42"/>
      <c r="C370" s="10" t="str">
        <f t="shared" si="62"/>
        <v>ASSET ARTIST</v>
      </c>
      <c r="D370" s="9"/>
      <c r="E370" s="9" t="str">
        <f t="shared" si="63"/>
        <v>PUCHIT YOTWICHAI</v>
      </c>
      <c r="F370" s="42"/>
      <c r="G370" s="3"/>
      <c r="H370" s="99"/>
      <c r="I370" s="99" t="s">
        <v>411</v>
      </c>
      <c r="J370" s="99"/>
      <c r="K370" s="100" t="s">
        <v>412</v>
      </c>
      <c r="L370" s="99"/>
      <c r="M370" s="99"/>
      <c r="N370" s="99"/>
      <c r="O370" s="99" t="s">
        <v>411</v>
      </c>
      <c r="P370" s="99"/>
      <c r="Q370" s="100" t="s">
        <v>412</v>
      </c>
      <c r="R370" s="99"/>
    </row>
    <row r="371" spans="1:18" ht="12.75">
      <c r="A371" s="14"/>
      <c r="B371" s="42"/>
      <c r="C371" s="10" t="str">
        <f t="shared" si="62"/>
        <v/>
      </c>
      <c r="D371" s="9"/>
      <c r="E371" s="9" t="str">
        <f t="shared" si="63"/>
        <v>RITHIKEAT TEACHO</v>
      </c>
      <c r="F371" s="42"/>
      <c r="G371" s="3"/>
      <c r="H371" s="99"/>
      <c r="I371" s="99"/>
      <c r="J371" s="99"/>
      <c r="K371" s="100" t="s">
        <v>413</v>
      </c>
      <c r="L371" s="99"/>
      <c r="M371" s="99"/>
      <c r="N371" s="99"/>
      <c r="O371" s="99"/>
      <c r="P371" s="99"/>
      <c r="Q371" s="100" t="s">
        <v>413</v>
      </c>
      <c r="R371" s="99"/>
    </row>
    <row r="372" spans="1:18" ht="12.75">
      <c r="A372" s="14"/>
      <c r="B372" s="42"/>
      <c r="C372" s="10" t="str">
        <f t="shared" si="62"/>
        <v/>
      </c>
      <c r="D372" s="9"/>
      <c r="E372" s="9" t="str">
        <f t="shared" si="63"/>
        <v>JAKKRIT JAROENSUK</v>
      </c>
      <c r="F372" s="42"/>
      <c r="G372" s="3"/>
      <c r="H372" s="99"/>
      <c r="I372" s="99"/>
      <c r="J372" s="99"/>
      <c r="K372" s="100" t="s">
        <v>414</v>
      </c>
      <c r="L372" s="99"/>
      <c r="M372" s="99"/>
      <c r="N372" s="99"/>
      <c r="O372" s="99"/>
      <c r="P372" s="99"/>
      <c r="Q372" s="100" t="s">
        <v>414</v>
      </c>
      <c r="R372" s="99"/>
    </row>
    <row r="373" spans="1:18" ht="12.75">
      <c r="A373" s="14"/>
      <c r="B373" s="42"/>
      <c r="C373" s="10" t="str">
        <f t="shared" si="62"/>
        <v/>
      </c>
      <c r="D373" s="9"/>
      <c r="E373" s="9" t="str">
        <f t="shared" si="63"/>
        <v>NAWAPAS MAINKOON</v>
      </c>
      <c r="F373" s="42"/>
      <c r="G373" s="3"/>
      <c r="H373" s="99"/>
      <c r="I373" s="99"/>
      <c r="J373" s="99"/>
      <c r="K373" s="100" t="s">
        <v>415</v>
      </c>
      <c r="L373" s="99"/>
      <c r="M373" s="99"/>
      <c r="N373" s="99"/>
      <c r="O373" s="99"/>
      <c r="P373" s="99"/>
      <c r="Q373" s="100" t="s">
        <v>415</v>
      </c>
      <c r="R373" s="99"/>
    </row>
    <row r="374" spans="1:18" ht="12.75">
      <c r="A374" s="14"/>
      <c r="B374" s="42"/>
      <c r="C374" s="10" t="str">
        <f t="shared" si="62"/>
        <v/>
      </c>
      <c r="D374" s="9"/>
      <c r="E374" s="9" t="str">
        <f t="shared" si="63"/>
        <v>THARIT BANCHANURAT</v>
      </c>
      <c r="F374" s="42"/>
      <c r="G374" s="3"/>
      <c r="H374" s="99"/>
      <c r="I374" s="99"/>
      <c r="J374" s="73"/>
      <c r="K374" s="100" t="s">
        <v>416</v>
      </c>
      <c r="L374" s="99"/>
      <c r="M374" s="99"/>
      <c r="N374" s="99"/>
      <c r="O374" s="99"/>
      <c r="P374" s="73"/>
      <c r="Q374" s="100" t="s">
        <v>416</v>
      </c>
      <c r="R374" s="99"/>
    </row>
    <row r="375" spans="1:18" ht="12.75">
      <c r="A375" s="14"/>
      <c r="B375" s="42"/>
      <c r="C375" s="10" t="str">
        <f t="shared" si="62"/>
        <v/>
      </c>
      <c r="D375" s="9"/>
      <c r="E375" s="9" t="str">
        <f t="shared" si="63"/>
        <v>PALINEE ANURATANAPRASIT</v>
      </c>
      <c r="F375" s="42"/>
      <c r="G375" s="3"/>
      <c r="H375" s="99"/>
      <c r="I375" s="99"/>
      <c r="J375" s="73"/>
      <c r="K375" s="100" t="s">
        <v>417</v>
      </c>
      <c r="L375" s="99"/>
      <c r="M375" s="99"/>
      <c r="N375" s="99"/>
      <c r="O375" s="99"/>
      <c r="P375" s="73"/>
      <c r="Q375" s="100" t="s">
        <v>417</v>
      </c>
      <c r="R375" s="99"/>
    </row>
    <row r="376" spans="1:18" ht="12.75">
      <c r="A376" s="14"/>
      <c r="B376" s="42"/>
      <c r="C376" s="10" t="str">
        <f t="shared" si="62"/>
        <v/>
      </c>
      <c r="D376" s="9"/>
      <c r="E376" s="9" t="str">
        <f t="shared" si="63"/>
        <v>PHARUNYOO PROMKORN</v>
      </c>
      <c r="F376" s="42"/>
      <c r="G376" s="3"/>
      <c r="H376" s="99"/>
      <c r="I376" s="99"/>
      <c r="J376" s="73"/>
      <c r="K376" s="100" t="s">
        <v>418</v>
      </c>
      <c r="L376" s="99"/>
      <c r="M376" s="99"/>
      <c r="N376" s="99"/>
      <c r="O376" s="99"/>
      <c r="P376" s="73"/>
      <c r="Q376" s="100" t="s">
        <v>418</v>
      </c>
      <c r="R376" s="99"/>
    </row>
    <row r="377" spans="1:18" ht="12.75">
      <c r="A377" s="14"/>
      <c r="B377" s="42"/>
      <c r="C377" s="10" t="str">
        <f t="shared" si="62"/>
        <v/>
      </c>
      <c r="D377" s="9"/>
      <c r="E377" s="9" t="str">
        <f t="shared" si="63"/>
        <v>CHANANKARN KANTA</v>
      </c>
      <c r="F377" s="42"/>
      <c r="G377" s="3"/>
      <c r="H377" s="99"/>
      <c r="I377" s="99"/>
      <c r="J377" s="73"/>
      <c r="K377" s="100" t="s">
        <v>419</v>
      </c>
      <c r="L377" s="99"/>
      <c r="M377" s="99"/>
      <c r="N377" s="99"/>
      <c r="O377" s="99"/>
      <c r="P377" s="73"/>
      <c r="Q377" s="100" t="s">
        <v>419</v>
      </c>
      <c r="R377" s="99"/>
    </row>
    <row r="378" spans="1:18" ht="12.75">
      <c r="A378" s="14"/>
      <c r="B378" s="42"/>
      <c r="C378" s="10" t="str">
        <f t="shared" si="62"/>
        <v/>
      </c>
      <c r="D378" s="9"/>
      <c r="E378" s="9" t="str">
        <f t="shared" si="63"/>
        <v>CHANAPAT THUETRONG</v>
      </c>
      <c r="F378" s="42"/>
      <c r="G378" s="3"/>
      <c r="H378" s="99"/>
      <c r="I378" s="99"/>
      <c r="J378" s="73"/>
      <c r="K378" s="100" t="s">
        <v>420</v>
      </c>
      <c r="L378" s="99"/>
      <c r="M378" s="99"/>
      <c r="N378" s="99"/>
      <c r="O378" s="99"/>
      <c r="P378" s="73"/>
      <c r="Q378" s="100" t="s">
        <v>420</v>
      </c>
      <c r="R378" s="99"/>
    </row>
    <row r="379" spans="1:18" ht="12.75">
      <c r="A379" s="14"/>
      <c r="B379" s="42"/>
      <c r="C379" s="10" t="str">
        <f t="shared" si="62"/>
        <v/>
      </c>
      <c r="D379" s="9"/>
      <c r="E379" s="9" t="str">
        <f t="shared" si="63"/>
        <v>TARIGAN SUKONTAGON</v>
      </c>
      <c r="F379" s="42"/>
      <c r="G379" s="3"/>
      <c r="H379" s="99"/>
      <c r="I379" s="99"/>
      <c r="J379" s="73"/>
      <c r="K379" s="100" t="s">
        <v>421</v>
      </c>
      <c r="L379" s="99"/>
      <c r="M379" s="99"/>
      <c r="N379" s="99"/>
      <c r="O379" s="99"/>
      <c r="P379" s="73"/>
      <c r="Q379" s="100" t="s">
        <v>421</v>
      </c>
      <c r="R379" s="99"/>
    </row>
    <row r="380" spans="1:18" ht="12.75">
      <c r="A380" s="14"/>
      <c r="B380" s="42"/>
      <c r="C380" s="10" t="str">
        <f t="shared" si="62"/>
        <v/>
      </c>
      <c r="D380" s="9"/>
      <c r="E380" s="9" t="str">
        <f t="shared" si="63"/>
        <v>WATCHARAPOL PANYAPITAKKUL</v>
      </c>
      <c r="F380" s="42"/>
      <c r="G380" s="3"/>
      <c r="H380" s="99"/>
      <c r="I380" s="99"/>
      <c r="J380" s="73"/>
      <c r="K380" s="100" t="s">
        <v>422</v>
      </c>
      <c r="L380" s="99"/>
      <c r="M380" s="99"/>
      <c r="N380" s="99"/>
      <c r="O380" s="99"/>
      <c r="P380" s="73"/>
      <c r="Q380" s="100" t="s">
        <v>422</v>
      </c>
      <c r="R380" s="99"/>
    </row>
    <row r="381" spans="1:18" ht="12.75">
      <c r="A381" s="14"/>
      <c r="B381" s="42"/>
      <c r="C381" s="10" t="str">
        <f t="shared" si="62"/>
        <v/>
      </c>
      <c r="D381" s="9"/>
      <c r="E381" s="9" t="str">
        <f t="shared" si="63"/>
        <v>PRAPABHORN POOMSIRI</v>
      </c>
      <c r="F381" s="42"/>
      <c r="G381" s="3"/>
      <c r="H381" s="99"/>
      <c r="I381" s="99"/>
      <c r="J381" s="73"/>
      <c r="K381" s="100" t="s">
        <v>423</v>
      </c>
      <c r="L381" s="99"/>
      <c r="M381" s="99"/>
      <c r="N381" s="99"/>
      <c r="O381" s="99"/>
      <c r="P381" s="73"/>
      <c r="Q381" s="100" t="s">
        <v>423</v>
      </c>
      <c r="R381" s="99"/>
    </row>
    <row r="382" spans="1:18" ht="12.75">
      <c r="A382" s="14"/>
      <c r="B382" s="42"/>
      <c r="C382" s="10" t="str">
        <f t="shared" si="62"/>
        <v/>
      </c>
      <c r="D382" s="9"/>
      <c r="E382" s="9" t="str">
        <f t="shared" si="63"/>
        <v>BAVORNSAK UDOMCHIMPLEE</v>
      </c>
      <c r="F382" s="42"/>
      <c r="G382" s="3"/>
      <c r="H382" s="99"/>
      <c r="I382" s="99"/>
      <c r="J382" s="73"/>
      <c r="K382" s="100" t="s">
        <v>424</v>
      </c>
      <c r="L382" s="99"/>
      <c r="M382" s="99"/>
      <c r="N382" s="99"/>
      <c r="O382" s="99"/>
      <c r="P382" s="73"/>
      <c r="Q382" s="100" t="s">
        <v>424</v>
      </c>
      <c r="R382" s="99"/>
    </row>
    <row r="383" spans="1:18" ht="12.75">
      <c r="A383" s="14"/>
      <c r="B383" s="42"/>
      <c r="C383" s="10" t="str">
        <f t="shared" si="62"/>
        <v/>
      </c>
      <c r="D383" s="9"/>
      <c r="E383" s="9" t="str">
        <f t="shared" si="63"/>
        <v/>
      </c>
      <c r="F383" s="42"/>
      <c r="G383" s="3"/>
      <c r="H383" s="99"/>
      <c r="I383" s="99"/>
      <c r="J383" s="73"/>
      <c r="K383" s="73"/>
      <c r="L383" s="99"/>
      <c r="M383" s="99"/>
      <c r="N383" s="99"/>
      <c r="O383" s="99"/>
      <c r="P383" s="73"/>
      <c r="Q383" s="73"/>
      <c r="R383" s="73"/>
    </row>
    <row r="384" spans="1:18" ht="12.75">
      <c r="A384" s="14"/>
      <c r="B384" s="11"/>
      <c r="C384" s="12" t="str">
        <f t="shared" si="62"/>
        <v/>
      </c>
      <c r="D384" s="11"/>
      <c r="E384" s="11" t="str">
        <f t="shared" si="63"/>
        <v/>
      </c>
      <c r="F384" s="11"/>
      <c r="G384" s="3"/>
      <c r="H384" s="73"/>
      <c r="I384" s="99"/>
      <c r="J384" s="73"/>
      <c r="K384" s="109"/>
      <c r="L384" s="73"/>
      <c r="M384" s="73"/>
      <c r="N384" s="73"/>
      <c r="O384" s="99"/>
      <c r="P384" s="73"/>
      <c r="Q384" s="73"/>
      <c r="R384" s="73"/>
    </row>
    <row r="385" spans="1:18" ht="12.75">
      <c r="A385" s="14"/>
      <c r="B385" s="9" t="str">
        <f t="shared" ref="B385:C385" si="64">UPPER(H385)</f>
        <v/>
      </c>
      <c r="C385" s="10" t="str">
        <f t="shared" si="64"/>
        <v/>
      </c>
      <c r="D385" s="9"/>
      <c r="E385" s="9" t="str">
        <f t="shared" si="63"/>
        <v/>
      </c>
      <c r="F385" s="9"/>
      <c r="G385" s="3"/>
      <c r="H385" s="73"/>
      <c r="I385" s="99"/>
      <c r="J385" s="73"/>
      <c r="K385" s="109"/>
      <c r="L385" s="73"/>
      <c r="M385" s="99"/>
      <c r="N385" s="99"/>
      <c r="O385" s="99"/>
      <c r="P385" s="73"/>
      <c r="Q385" s="73"/>
      <c r="R385" s="73"/>
    </row>
    <row r="386" spans="1:18" ht="18">
      <c r="A386" s="14"/>
      <c r="B386" s="150" t="str">
        <f>UPPER(H386)</f>
        <v>VOICE RECORDING</v>
      </c>
      <c r="C386" s="141"/>
      <c r="D386" s="141"/>
      <c r="E386" s="141"/>
      <c r="F386" s="141"/>
      <c r="G386" s="28"/>
      <c r="H386" s="173" t="s">
        <v>425</v>
      </c>
      <c r="I386" s="141"/>
      <c r="J386" s="141"/>
      <c r="K386" s="141"/>
      <c r="L386" s="141"/>
      <c r="M386" s="112"/>
      <c r="N386" s="149" t="s">
        <v>881</v>
      </c>
      <c r="O386" s="141"/>
      <c r="P386" s="141"/>
      <c r="Q386" s="141"/>
      <c r="R386" s="141"/>
    </row>
    <row r="387" spans="1:18" ht="12.75">
      <c r="A387" s="14"/>
      <c r="B387" s="9"/>
      <c r="C387" s="10" t="str">
        <f t="shared" ref="C387:C399" si="65">UPPER(I387)</f>
        <v>VOICE DIRECTOR</v>
      </c>
      <c r="D387" s="9"/>
      <c r="E387" s="9" t="str">
        <f t="shared" ref="E387:E399" si="66">UPPER(K387)</f>
        <v>TOM WAYLAND</v>
      </c>
      <c r="F387" s="9"/>
      <c r="G387" s="3"/>
      <c r="H387" s="73"/>
      <c r="I387" s="101" t="s">
        <v>426</v>
      </c>
      <c r="J387" s="100"/>
      <c r="K387" s="100" t="s">
        <v>58</v>
      </c>
      <c r="L387" s="73"/>
      <c r="M387" s="99"/>
      <c r="N387" s="3"/>
      <c r="O387" s="8" t="s">
        <v>882</v>
      </c>
      <c r="P387" s="3"/>
      <c r="Q387" s="3" t="s">
        <v>883</v>
      </c>
      <c r="R387" s="3"/>
    </row>
    <row r="388" spans="1:18" ht="12.75">
      <c r="A388" s="14"/>
      <c r="B388" s="9"/>
      <c r="C388" s="10" t="str">
        <f t="shared" si="65"/>
        <v/>
      </c>
      <c r="D388" s="9"/>
      <c r="E388" s="9" t="str">
        <f t="shared" si="66"/>
        <v/>
      </c>
      <c r="F388" s="9"/>
      <c r="G388" s="3"/>
      <c r="H388" s="73"/>
      <c r="I388" s="100"/>
      <c r="J388" s="100"/>
      <c r="K388" s="100"/>
      <c r="L388" s="73"/>
      <c r="M388" s="99"/>
      <c r="N388" s="3"/>
      <c r="O388" s="8"/>
      <c r="P388" s="3"/>
      <c r="Q388" s="3"/>
      <c r="R388" s="3"/>
    </row>
    <row r="389" spans="1:18" ht="12.75">
      <c r="A389" s="14"/>
      <c r="B389" s="9"/>
      <c r="C389" s="10" t="str">
        <f t="shared" si="65"/>
        <v>RECORDING ENGINEER</v>
      </c>
      <c r="D389" s="9"/>
      <c r="E389" s="9" t="str">
        <f t="shared" si="66"/>
        <v>DOMINIC DUNN</v>
      </c>
      <c r="F389" s="9"/>
      <c r="G389" s="3"/>
      <c r="H389" s="73"/>
      <c r="I389" s="101" t="s">
        <v>427</v>
      </c>
      <c r="J389" s="100"/>
      <c r="K389" s="100" t="s">
        <v>428</v>
      </c>
      <c r="L389" s="73"/>
      <c r="M389" s="99"/>
      <c r="N389" s="3"/>
      <c r="O389" s="8" t="s">
        <v>884</v>
      </c>
      <c r="P389" s="3"/>
      <c r="Q389" s="3" t="s">
        <v>885</v>
      </c>
      <c r="R389" s="3"/>
    </row>
    <row r="390" spans="1:18" ht="12.75">
      <c r="A390" s="14"/>
      <c r="B390" s="9"/>
      <c r="C390" s="10" t="str">
        <f t="shared" si="65"/>
        <v/>
      </c>
      <c r="D390" s="9"/>
      <c r="E390" s="9" t="str">
        <f t="shared" si="66"/>
        <v>FAHAD RAHMAN</v>
      </c>
      <c r="F390" s="9"/>
      <c r="G390" s="3"/>
      <c r="H390" s="73"/>
      <c r="I390" s="100"/>
      <c r="J390" s="100"/>
      <c r="K390" s="100" t="s">
        <v>429</v>
      </c>
      <c r="L390" s="73"/>
      <c r="M390" s="99"/>
      <c r="N390" s="3"/>
      <c r="O390" s="8"/>
      <c r="P390" s="3"/>
      <c r="Q390" s="3"/>
      <c r="R390" s="3"/>
    </row>
    <row r="391" spans="1:18" ht="12.75">
      <c r="A391" s="14"/>
      <c r="B391" s="9"/>
      <c r="C391" s="10" t="str">
        <f t="shared" si="65"/>
        <v/>
      </c>
      <c r="D391" s="9"/>
      <c r="E391" s="9" t="str">
        <f t="shared" si="66"/>
        <v>TOM WAYLAND</v>
      </c>
      <c r="F391" s="9"/>
      <c r="G391" s="3"/>
      <c r="H391" s="73"/>
      <c r="I391" s="100"/>
      <c r="J391" s="100"/>
      <c r="K391" s="100" t="s">
        <v>58</v>
      </c>
      <c r="L391" s="73"/>
      <c r="M391" s="99"/>
      <c r="N391" s="3"/>
      <c r="O391" s="8" t="s">
        <v>886</v>
      </c>
      <c r="P391" s="3"/>
      <c r="Q391" s="3" t="s">
        <v>885</v>
      </c>
      <c r="R391" s="3"/>
    </row>
    <row r="392" spans="1:18" ht="12.75">
      <c r="A392" s="14"/>
      <c r="B392" s="9"/>
      <c r="C392" s="10" t="str">
        <f t="shared" si="65"/>
        <v/>
      </c>
      <c r="D392" s="9"/>
      <c r="E392" s="9" t="str">
        <f t="shared" si="66"/>
        <v/>
      </c>
      <c r="F392" s="9"/>
      <c r="G392" s="3"/>
      <c r="H392" s="73"/>
      <c r="I392" s="100"/>
      <c r="J392" s="100"/>
      <c r="K392" s="100"/>
      <c r="L392" s="73"/>
      <c r="M392" s="99"/>
      <c r="N392" s="3"/>
      <c r="O392" s="8"/>
      <c r="P392" s="3"/>
      <c r="Q392" s="3"/>
      <c r="R392" s="3"/>
    </row>
    <row r="393" spans="1:18" ht="12.75">
      <c r="A393" s="14"/>
      <c r="B393" s="9"/>
      <c r="C393" s="10" t="str">
        <f t="shared" si="65"/>
        <v>VOICE CASTING</v>
      </c>
      <c r="D393" s="9"/>
      <c r="E393" s="9" t="str">
        <f t="shared" si="66"/>
        <v>TOM WAYLAND</v>
      </c>
      <c r="F393" s="9"/>
      <c r="G393" s="3"/>
      <c r="H393" s="73"/>
      <c r="I393" s="101" t="s">
        <v>430</v>
      </c>
      <c r="J393" s="100"/>
      <c r="K393" s="100" t="s">
        <v>58</v>
      </c>
      <c r="L393" s="73"/>
      <c r="M393" s="99"/>
      <c r="N393" s="3"/>
      <c r="O393" s="8" t="s">
        <v>887</v>
      </c>
      <c r="P393" s="3"/>
      <c r="Q393" s="3" t="s">
        <v>885</v>
      </c>
      <c r="R393" s="3"/>
    </row>
    <row r="394" spans="1:18" ht="12.75">
      <c r="A394" s="14"/>
      <c r="B394" s="9"/>
      <c r="C394" s="10" t="str">
        <f t="shared" si="65"/>
        <v/>
      </c>
      <c r="D394" s="9"/>
      <c r="E394" s="9" t="str">
        <f t="shared" si="66"/>
        <v/>
      </c>
      <c r="F394" s="9"/>
      <c r="G394" s="3"/>
      <c r="H394" s="73"/>
      <c r="I394" s="100"/>
      <c r="J394" s="100"/>
      <c r="K394" s="100"/>
      <c r="L394" s="73"/>
      <c r="M394" s="99"/>
      <c r="N394" s="73"/>
      <c r="O394" s="99"/>
      <c r="P394" s="73"/>
      <c r="Q394" s="109"/>
      <c r="R394" s="73"/>
    </row>
    <row r="395" spans="1:18" ht="12.75">
      <c r="A395" s="14"/>
      <c r="B395" s="9"/>
      <c r="C395" s="10" t="str">
        <f t="shared" si="65"/>
        <v>RECORDED BY</v>
      </c>
      <c r="D395" s="9"/>
      <c r="E395" s="9" t="str">
        <f t="shared" si="66"/>
        <v>3BEEP, NYC</v>
      </c>
      <c r="F395" s="9"/>
      <c r="G395" s="3"/>
      <c r="H395" s="73"/>
      <c r="I395" s="101" t="s">
        <v>431</v>
      </c>
      <c r="J395" s="100"/>
      <c r="K395" s="100" t="s">
        <v>432</v>
      </c>
      <c r="L395" s="73"/>
      <c r="M395" s="99"/>
      <c r="N395" s="73"/>
      <c r="O395" s="99"/>
      <c r="P395" s="73"/>
      <c r="Q395" s="109"/>
      <c r="R395" s="73"/>
    </row>
    <row r="396" spans="1:18" ht="12.75">
      <c r="A396" s="14"/>
      <c r="B396" s="9"/>
      <c r="C396" s="10" t="str">
        <f t="shared" si="65"/>
        <v/>
      </c>
      <c r="D396" s="9"/>
      <c r="E396" s="9" t="str">
        <f t="shared" si="66"/>
        <v/>
      </c>
      <c r="F396" s="9"/>
      <c r="G396" s="3"/>
      <c r="H396" s="73"/>
      <c r="I396" s="100"/>
      <c r="J396" s="100"/>
      <c r="K396" s="100"/>
      <c r="L396" s="73"/>
      <c r="M396" s="99"/>
      <c r="N396" s="73"/>
      <c r="O396" s="99"/>
      <c r="P396" s="73"/>
      <c r="Q396" s="109"/>
      <c r="R396" s="73"/>
    </row>
    <row r="397" spans="1:18" ht="12.75">
      <c r="A397" s="14"/>
      <c r="B397" s="9"/>
      <c r="C397" s="10" t="str">
        <f t="shared" si="65"/>
        <v>PRODUCER FOR  3BEEP</v>
      </c>
      <c r="D397" s="9"/>
      <c r="E397" s="9" t="str">
        <f t="shared" si="66"/>
        <v>TIM WERENKO</v>
      </c>
      <c r="F397" s="9"/>
      <c r="G397" s="3"/>
      <c r="H397" s="73"/>
      <c r="I397" s="101" t="s">
        <v>433</v>
      </c>
      <c r="J397" s="100"/>
      <c r="K397" s="100" t="s">
        <v>434</v>
      </c>
      <c r="L397" s="73"/>
      <c r="M397" s="99"/>
      <c r="N397" s="73"/>
      <c r="O397" s="99"/>
      <c r="P397" s="73"/>
      <c r="Q397" s="109"/>
      <c r="R397" s="73"/>
    </row>
    <row r="398" spans="1:18" ht="12.75">
      <c r="A398" s="14"/>
      <c r="B398" s="9"/>
      <c r="C398" s="10" t="str">
        <f t="shared" si="65"/>
        <v/>
      </c>
      <c r="D398" s="9"/>
      <c r="E398" s="9" t="str">
        <f t="shared" si="66"/>
        <v>TOM WAYLAND</v>
      </c>
      <c r="F398" s="9"/>
      <c r="G398" s="3"/>
      <c r="H398" s="73"/>
      <c r="I398" s="100"/>
      <c r="J398" s="100"/>
      <c r="K398" s="100" t="s">
        <v>58</v>
      </c>
      <c r="L398" s="73"/>
      <c r="M398" s="99"/>
      <c r="N398" s="73"/>
      <c r="O398" s="99"/>
      <c r="P398" s="73"/>
      <c r="Q398" s="109"/>
      <c r="R398" s="73"/>
    </row>
    <row r="399" spans="1:18" ht="12.75">
      <c r="A399" s="14"/>
      <c r="B399" s="9"/>
      <c r="C399" s="10" t="str">
        <f t="shared" si="65"/>
        <v/>
      </c>
      <c r="D399" s="9"/>
      <c r="E399" s="9" t="str">
        <f t="shared" si="66"/>
        <v/>
      </c>
      <c r="F399" s="9"/>
      <c r="G399" s="3"/>
      <c r="H399" s="73"/>
      <c r="I399" s="99"/>
      <c r="J399" s="73"/>
      <c r="K399" s="109"/>
      <c r="L399" s="73"/>
      <c r="M399" s="99"/>
      <c r="N399" s="99"/>
      <c r="O399" s="99"/>
      <c r="P399" s="73"/>
      <c r="Q399" s="73"/>
      <c r="R399" s="73"/>
    </row>
    <row r="400" spans="1:18" ht="12.75">
      <c r="A400" s="14"/>
      <c r="B400" s="11"/>
      <c r="C400" s="12"/>
      <c r="D400" s="11"/>
      <c r="E400" s="11"/>
      <c r="F400" s="11"/>
      <c r="G400" s="3"/>
      <c r="H400" s="73"/>
      <c r="I400" s="99"/>
      <c r="J400" s="73"/>
      <c r="K400" s="109"/>
      <c r="L400" s="73"/>
      <c r="M400" s="73"/>
      <c r="N400" s="73"/>
      <c r="O400" s="99"/>
      <c r="P400" s="73"/>
      <c r="Q400" s="73"/>
      <c r="R400" s="73"/>
    </row>
    <row r="401" spans="1:18" ht="15">
      <c r="A401" s="14"/>
      <c r="B401" s="6"/>
      <c r="C401" s="6"/>
      <c r="D401" s="6"/>
      <c r="E401" s="6"/>
      <c r="F401" s="6"/>
      <c r="G401" s="3"/>
      <c r="H401" s="96"/>
      <c r="I401" s="96"/>
      <c r="J401" s="96"/>
      <c r="K401" s="96"/>
      <c r="L401" s="96"/>
      <c r="M401" s="99"/>
      <c r="N401" s="99"/>
      <c r="O401" s="99"/>
      <c r="P401" s="73"/>
      <c r="Q401" s="73"/>
      <c r="R401" s="73"/>
    </row>
    <row r="402" spans="1:18" ht="18">
      <c r="A402" s="14"/>
      <c r="B402" s="150" t="str">
        <f>UPPER(H402)</f>
        <v>POST PRODUCTION / ORIGINAL SCORES &amp; SONGS</v>
      </c>
      <c r="C402" s="141"/>
      <c r="D402" s="141"/>
      <c r="E402" s="141"/>
      <c r="F402" s="141"/>
      <c r="G402" s="28"/>
      <c r="H402" s="173" t="s">
        <v>435</v>
      </c>
      <c r="I402" s="141"/>
      <c r="J402" s="141"/>
      <c r="K402" s="141"/>
      <c r="L402" s="141"/>
      <c r="M402" s="112"/>
      <c r="N402" s="149" t="s">
        <v>888</v>
      </c>
      <c r="O402" s="141"/>
      <c r="P402" s="141"/>
      <c r="Q402" s="141"/>
      <c r="R402" s="141"/>
    </row>
    <row r="403" spans="1:18" ht="12.75">
      <c r="A403" s="14"/>
      <c r="B403" s="9"/>
      <c r="C403" s="10" t="str">
        <f t="shared" ref="C403:C405" si="67">UPPER(I403)</f>
        <v>AUDIO POST PRODUCTION</v>
      </c>
      <c r="D403" s="9"/>
      <c r="E403" s="9" t="str">
        <f t="shared" ref="E403:E405" si="68">UPPER(K403)</f>
        <v>DOONG SOUND</v>
      </c>
      <c r="F403" s="9"/>
      <c r="G403" s="3"/>
      <c r="H403" s="73"/>
      <c r="I403" s="99" t="s">
        <v>436</v>
      </c>
      <c r="J403" s="73"/>
      <c r="K403" s="73" t="s">
        <v>437</v>
      </c>
      <c r="L403" s="73"/>
      <c r="M403" s="99"/>
      <c r="N403" s="3"/>
      <c r="O403" s="8" t="s">
        <v>889</v>
      </c>
      <c r="P403" s="3"/>
      <c r="Q403" s="3" t="s">
        <v>883</v>
      </c>
      <c r="R403" s="3"/>
    </row>
    <row r="404" spans="1:18" ht="15">
      <c r="A404" s="14"/>
      <c r="B404" s="6"/>
      <c r="C404" s="10" t="str">
        <f t="shared" si="67"/>
        <v>SOUND SUPERVISOR</v>
      </c>
      <c r="D404" s="9"/>
      <c r="E404" s="9" t="str">
        <f t="shared" si="68"/>
        <v>JEONGYOUNG PARK</v>
      </c>
      <c r="F404" s="6"/>
      <c r="G404" s="3"/>
      <c r="H404" s="73"/>
      <c r="I404" s="99" t="s">
        <v>438</v>
      </c>
      <c r="J404" s="73"/>
      <c r="K404" s="73" t="s">
        <v>439</v>
      </c>
      <c r="L404" s="73"/>
      <c r="M404" s="99"/>
      <c r="N404" s="3"/>
      <c r="O404" s="8" t="s">
        <v>890</v>
      </c>
      <c r="P404" s="3"/>
      <c r="Q404" s="3" t="s">
        <v>891</v>
      </c>
      <c r="R404" s="3"/>
    </row>
    <row r="405" spans="1:18" ht="15">
      <c r="A405" s="14"/>
      <c r="B405" s="6"/>
      <c r="C405" s="10" t="str">
        <f t="shared" si="67"/>
        <v>SOUND PRODUCTION MANAGER</v>
      </c>
      <c r="D405" s="9"/>
      <c r="E405" s="9" t="str">
        <f t="shared" si="68"/>
        <v>HYEJEONG HWANG</v>
      </c>
      <c r="F405" s="6"/>
      <c r="G405" s="3"/>
      <c r="H405" s="73"/>
      <c r="I405" s="99" t="s">
        <v>440</v>
      </c>
      <c r="J405" s="73"/>
      <c r="K405" s="73" t="s">
        <v>441</v>
      </c>
      <c r="L405" s="73"/>
      <c r="M405" s="99"/>
      <c r="N405" s="3"/>
      <c r="O405" s="8" t="s">
        <v>892</v>
      </c>
      <c r="P405" s="3"/>
      <c r="Q405" s="3" t="s">
        <v>885</v>
      </c>
      <c r="R405" s="3"/>
    </row>
    <row r="406" spans="1:18" ht="15">
      <c r="A406" s="14"/>
      <c r="B406" s="6"/>
      <c r="C406" s="6"/>
      <c r="D406" s="6"/>
      <c r="E406" s="6"/>
      <c r="F406" s="6"/>
      <c r="G406" s="3"/>
      <c r="H406" s="73"/>
      <c r="I406" s="99"/>
      <c r="J406" s="73"/>
      <c r="K406" s="73"/>
      <c r="L406" s="73"/>
      <c r="M406" s="99"/>
      <c r="N406" s="99"/>
      <c r="O406" s="99"/>
      <c r="P406" s="73"/>
      <c r="Q406" s="73"/>
      <c r="R406" s="73"/>
    </row>
    <row r="407" spans="1:18" ht="15">
      <c r="A407" s="14"/>
      <c r="B407" s="6"/>
      <c r="C407" s="6"/>
      <c r="D407" s="6"/>
      <c r="E407" s="6"/>
      <c r="F407" s="6"/>
      <c r="G407" s="3"/>
      <c r="H407" s="73"/>
      <c r="I407" s="99"/>
      <c r="J407" s="73"/>
      <c r="K407" s="73"/>
      <c r="L407" s="73"/>
      <c r="M407" s="99"/>
      <c r="N407" s="176"/>
      <c r="O407" s="141"/>
      <c r="P407" s="141"/>
      <c r="Q407" s="141"/>
      <c r="R407" s="141"/>
    </row>
    <row r="408" spans="1:18" ht="15">
      <c r="A408" s="14"/>
      <c r="B408" s="146" t="str">
        <f>UPPER(H408)</f>
        <v>SOUND</v>
      </c>
      <c r="C408" s="141"/>
      <c r="D408" s="141"/>
      <c r="E408" s="141"/>
      <c r="F408" s="141"/>
      <c r="G408" s="3"/>
      <c r="H408" s="176" t="s">
        <v>442</v>
      </c>
      <c r="I408" s="141"/>
      <c r="J408" s="141"/>
      <c r="K408" s="141"/>
      <c r="L408" s="141"/>
      <c r="M408" s="99"/>
      <c r="N408" s="149" t="s">
        <v>893</v>
      </c>
      <c r="O408" s="141"/>
      <c r="P408" s="141"/>
      <c r="Q408" s="141"/>
      <c r="R408" s="141"/>
    </row>
    <row r="409" spans="1:18" ht="12.75">
      <c r="A409" s="14"/>
      <c r="B409" s="9"/>
      <c r="C409" s="10" t="str">
        <f t="shared" ref="C409:C411" si="69">UPPER(I409)</f>
        <v>CHIEF SOUND DESIGNER &amp; EFFECTS &amp; EDITOR</v>
      </c>
      <c r="D409" s="9"/>
      <c r="E409" s="9" t="str">
        <f t="shared" ref="E409:E411" si="70">UPPER(K409)</f>
        <v>HYEJEONG HWANG</v>
      </c>
      <c r="F409" s="9"/>
      <c r="G409" s="3"/>
      <c r="H409" s="99"/>
      <c r="I409" s="99" t="s">
        <v>443</v>
      </c>
      <c r="J409" s="73"/>
      <c r="K409" s="73" t="s">
        <v>441</v>
      </c>
      <c r="L409" s="73"/>
      <c r="M409" s="99"/>
      <c r="N409" s="3"/>
      <c r="O409" s="8" t="s">
        <v>894</v>
      </c>
      <c r="P409" s="3"/>
      <c r="Q409" s="3" t="s">
        <v>885</v>
      </c>
      <c r="R409" s="3"/>
    </row>
    <row r="410" spans="1:18" ht="12.75">
      <c r="A410" s="14"/>
      <c r="B410" s="9"/>
      <c r="C410" s="10" t="str">
        <f t="shared" si="69"/>
        <v>VOICE EDITOR</v>
      </c>
      <c r="D410" s="9"/>
      <c r="E410" s="9" t="str">
        <f t="shared" si="70"/>
        <v>HYEJEONG HWANG</v>
      </c>
      <c r="F410" s="9"/>
      <c r="G410" s="3"/>
      <c r="H410" s="99"/>
      <c r="I410" s="99" t="s">
        <v>444</v>
      </c>
      <c r="J410" s="73"/>
      <c r="K410" s="73" t="s">
        <v>441</v>
      </c>
      <c r="L410" s="73"/>
      <c r="M410" s="99"/>
      <c r="N410" s="3"/>
      <c r="O410" s="8" t="s">
        <v>895</v>
      </c>
      <c r="P410" s="3"/>
      <c r="Q410" s="3" t="s">
        <v>885</v>
      </c>
      <c r="R410" s="3"/>
    </row>
    <row r="411" spans="1:18" ht="12.75">
      <c r="A411" s="14"/>
      <c r="B411" s="9"/>
      <c r="C411" s="10" t="str">
        <f t="shared" si="69"/>
        <v>MIXING &amp; MASTERING</v>
      </c>
      <c r="D411" s="9"/>
      <c r="E411" s="9" t="str">
        <f t="shared" si="70"/>
        <v>HYEJEONG HWANG</v>
      </c>
      <c r="F411" s="9"/>
      <c r="G411" s="3"/>
      <c r="H411" s="99"/>
      <c r="I411" s="99" t="s">
        <v>445</v>
      </c>
      <c r="J411" s="73"/>
      <c r="K411" s="73" t="s">
        <v>441</v>
      </c>
      <c r="L411" s="73"/>
      <c r="M411" s="99"/>
      <c r="N411" s="3"/>
      <c r="O411" s="8" t="s">
        <v>896</v>
      </c>
      <c r="P411" s="3"/>
      <c r="Q411" s="3" t="s">
        <v>885</v>
      </c>
      <c r="R411" s="3"/>
    </row>
    <row r="412" spans="1:18" ht="12.75">
      <c r="A412" s="14"/>
      <c r="B412" s="9"/>
      <c r="C412" s="9"/>
      <c r="D412" s="9"/>
      <c r="E412" s="9"/>
      <c r="F412" s="9"/>
      <c r="G412" s="3"/>
      <c r="H412" s="99"/>
      <c r="I412" s="99"/>
      <c r="J412" s="73"/>
      <c r="K412" s="73" t="s">
        <v>439</v>
      </c>
      <c r="L412" s="73"/>
      <c r="M412" s="99"/>
      <c r="N412" s="3"/>
      <c r="O412" s="8"/>
      <c r="P412" s="3"/>
      <c r="Q412" s="3" t="s">
        <v>891</v>
      </c>
      <c r="R412" s="3"/>
    </row>
    <row r="413" spans="1:18" ht="12.75">
      <c r="A413" s="14"/>
      <c r="B413" s="9"/>
      <c r="C413" s="9"/>
      <c r="D413" s="9"/>
      <c r="E413" s="9"/>
      <c r="F413" s="9"/>
      <c r="G413" s="3"/>
      <c r="H413" s="99"/>
      <c r="I413" s="99"/>
      <c r="J413" s="73"/>
      <c r="K413" s="73"/>
      <c r="L413" s="73"/>
      <c r="M413" s="99"/>
      <c r="N413" s="149"/>
      <c r="O413" s="141"/>
      <c r="P413" s="141"/>
      <c r="Q413" s="141"/>
      <c r="R413" s="141"/>
    </row>
    <row r="414" spans="1:18" ht="12.75">
      <c r="A414" s="14"/>
      <c r="B414" s="9"/>
      <c r="C414" s="9"/>
      <c r="D414" s="9"/>
      <c r="E414" s="9"/>
      <c r="F414" s="9"/>
      <c r="G414" s="3"/>
      <c r="H414" s="99"/>
      <c r="I414" s="99"/>
      <c r="J414" s="73"/>
      <c r="K414" s="73"/>
      <c r="L414" s="73"/>
      <c r="M414" s="99"/>
      <c r="N414" s="8"/>
      <c r="O414" s="8"/>
      <c r="P414" s="3"/>
      <c r="Q414" s="3"/>
      <c r="R414" s="3"/>
    </row>
    <row r="415" spans="1:18" ht="15">
      <c r="A415" s="14"/>
      <c r="B415" s="146" t="str">
        <f>UPPER(H415)</f>
        <v>ORIGINAL SCORE</v>
      </c>
      <c r="C415" s="141"/>
      <c r="D415" s="141"/>
      <c r="E415" s="141"/>
      <c r="F415" s="141"/>
      <c r="G415" s="3"/>
      <c r="H415" s="176" t="s">
        <v>446</v>
      </c>
      <c r="I415" s="141"/>
      <c r="J415" s="141"/>
      <c r="K415" s="141"/>
      <c r="L415" s="141"/>
      <c r="M415" s="99"/>
      <c r="N415" s="149" t="s">
        <v>897</v>
      </c>
      <c r="O415" s="141"/>
      <c r="P415" s="141"/>
      <c r="Q415" s="141"/>
      <c r="R415" s="141"/>
    </row>
    <row r="416" spans="1:18" ht="12.75">
      <c r="A416" s="14"/>
      <c r="B416" s="9"/>
      <c r="C416" s="10" t="str">
        <f>UPPER(I416)</f>
        <v>MUSIC SUPERVISOR</v>
      </c>
      <c r="D416" s="9"/>
      <c r="E416" s="9" t="str">
        <f t="shared" ref="E416:E425" si="71">UPPER(K416)</f>
        <v>YOONHO KIM</v>
      </c>
      <c r="F416" s="9"/>
      <c r="G416" s="3"/>
      <c r="H416" s="99"/>
      <c r="I416" s="99" t="s">
        <v>447</v>
      </c>
      <c r="J416" s="73"/>
      <c r="K416" s="73" t="s">
        <v>448</v>
      </c>
      <c r="L416" s="73"/>
      <c r="M416" s="99"/>
      <c r="N416" s="3"/>
      <c r="O416" s="8" t="s">
        <v>898</v>
      </c>
      <c r="P416" s="3"/>
      <c r="Q416" s="3" t="s">
        <v>899</v>
      </c>
      <c r="R416" s="3"/>
    </row>
    <row r="417" spans="1:18" ht="12.75">
      <c r="A417" s="14"/>
      <c r="B417" s="9"/>
      <c r="C417" s="9"/>
      <c r="D417" s="9"/>
      <c r="E417" s="9" t="str">
        <f t="shared" si="71"/>
        <v>SIEUN KIM</v>
      </c>
      <c r="F417" s="9"/>
      <c r="G417" s="3"/>
      <c r="H417" s="99"/>
      <c r="I417" s="99" t="s">
        <v>449</v>
      </c>
      <c r="J417" s="73"/>
      <c r="K417" s="73" t="s">
        <v>450</v>
      </c>
      <c r="L417" s="73"/>
      <c r="M417" s="99"/>
      <c r="N417" s="3"/>
      <c r="O417" s="8" t="s">
        <v>900</v>
      </c>
      <c r="P417" s="3"/>
      <c r="Q417" s="3" t="s">
        <v>901</v>
      </c>
      <c r="R417" s="3"/>
    </row>
    <row r="418" spans="1:18" ht="12.75">
      <c r="A418" s="14"/>
      <c r="B418" s="9"/>
      <c r="C418" s="10" t="str">
        <f>UPPER(I418)</f>
        <v>ADDITIONAL COMPOSER</v>
      </c>
      <c r="D418" s="9"/>
      <c r="E418" s="9" t="str">
        <f t="shared" si="71"/>
        <v>NAYEON LEE</v>
      </c>
      <c r="F418" s="9"/>
      <c r="G418" s="3"/>
      <c r="H418" s="99"/>
      <c r="I418" s="99" t="s">
        <v>451</v>
      </c>
      <c r="J418" s="73"/>
      <c r="K418" s="102" t="s">
        <v>452</v>
      </c>
      <c r="L418" s="73"/>
      <c r="M418" s="99"/>
      <c r="N418" s="3"/>
      <c r="O418" s="8" t="s">
        <v>902</v>
      </c>
      <c r="P418" s="3"/>
      <c r="Q418" s="3" t="s">
        <v>903</v>
      </c>
      <c r="R418" s="3"/>
    </row>
    <row r="419" spans="1:18" ht="12.75">
      <c r="A419" s="14"/>
      <c r="B419" s="9"/>
      <c r="C419" s="10"/>
      <c r="D419" s="9"/>
      <c r="E419" s="9" t="str">
        <f t="shared" si="71"/>
        <v>DOLLY HWANG</v>
      </c>
      <c r="F419" s="9"/>
      <c r="G419" s="3"/>
      <c r="H419" s="99"/>
      <c r="I419" s="99"/>
      <c r="J419" s="73"/>
      <c r="K419" s="102" t="s">
        <v>453</v>
      </c>
      <c r="L419" s="73"/>
      <c r="M419" s="99"/>
      <c r="N419" s="3"/>
      <c r="O419" s="3"/>
      <c r="P419" s="3"/>
      <c r="Q419" s="20" t="s">
        <v>453</v>
      </c>
      <c r="R419" s="3"/>
    </row>
    <row r="420" spans="1:18" ht="12.75">
      <c r="A420" s="14"/>
      <c r="B420" s="9"/>
      <c r="C420" s="10"/>
      <c r="D420" s="9"/>
      <c r="E420" s="9" t="str">
        <f t="shared" si="71"/>
        <v>HAEHOON LEE</v>
      </c>
      <c r="F420" s="9"/>
      <c r="G420" s="3"/>
      <c r="H420" s="99"/>
      <c r="I420" s="99"/>
      <c r="J420" s="73"/>
      <c r="K420" s="104" t="s">
        <v>454</v>
      </c>
      <c r="L420" s="73"/>
      <c r="M420" s="99"/>
      <c r="N420" s="3"/>
      <c r="O420" s="3"/>
      <c r="P420" s="3"/>
      <c r="Q420" s="3" t="s">
        <v>904</v>
      </c>
      <c r="R420" s="3"/>
    </row>
    <row r="421" spans="1:18" ht="12.75">
      <c r="A421" s="14"/>
      <c r="B421" s="9"/>
      <c r="C421" s="10"/>
      <c r="D421" s="9"/>
      <c r="E421" s="9" t="str">
        <f t="shared" si="71"/>
        <v>SOYOUNG KWON</v>
      </c>
      <c r="F421" s="9"/>
      <c r="G421" s="3"/>
      <c r="H421" s="99"/>
      <c r="I421" s="99"/>
      <c r="J421" s="73"/>
      <c r="K421" s="102" t="s">
        <v>455</v>
      </c>
      <c r="L421" s="73"/>
      <c r="M421" s="99"/>
      <c r="N421" s="8"/>
      <c r="O421" s="8"/>
      <c r="P421" s="3"/>
      <c r="Q421" s="3" t="s">
        <v>905</v>
      </c>
      <c r="R421" s="3"/>
    </row>
    <row r="422" spans="1:18" ht="12.75">
      <c r="A422" s="14"/>
      <c r="B422" s="9"/>
      <c r="C422" s="10"/>
      <c r="D422" s="9"/>
      <c r="E422" s="9" t="str">
        <f t="shared" si="71"/>
        <v>BUMPIZ</v>
      </c>
      <c r="F422" s="9"/>
      <c r="G422" s="3"/>
      <c r="H422" s="99"/>
      <c r="I422" s="99"/>
      <c r="J422" s="73"/>
      <c r="K422" s="102" t="s">
        <v>456</v>
      </c>
      <c r="L422" s="73"/>
      <c r="M422" s="99"/>
      <c r="N422" s="8"/>
      <c r="O422" s="21"/>
      <c r="P422" s="3"/>
      <c r="Q422" s="3" t="s">
        <v>456</v>
      </c>
      <c r="R422" s="3"/>
    </row>
    <row r="423" spans="1:18" ht="12.75">
      <c r="A423" s="14"/>
      <c r="B423" s="9"/>
      <c r="C423" s="10"/>
      <c r="D423" s="9"/>
      <c r="E423" s="9" t="str">
        <f t="shared" si="71"/>
        <v>YEONGHUN YUN</v>
      </c>
      <c r="F423" s="9"/>
      <c r="G423" s="3"/>
      <c r="H423" s="99"/>
      <c r="I423" s="99"/>
      <c r="J423" s="73"/>
      <c r="K423" s="102" t="s">
        <v>457</v>
      </c>
      <c r="L423" s="73"/>
      <c r="M423" s="99"/>
      <c r="N423" s="8"/>
      <c r="O423" s="21"/>
      <c r="P423" s="3"/>
      <c r="Q423" s="3" t="s">
        <v>906</v>
      </c>
      <c r="R423" s="3"/>
    </row>
    <row r="424" spans="1:18" ht="12.75">
      <c r="A424" s="14"/>
      <c r="B424" s="9"/>
      <c r="C424" s="10"/>
      <c r="D424" s="9"/>
      <c r="E424" s="9" t="str">
        <f t="shared" si="71"/>
        <v>JIAE YU</v>
      </c>
      <c r="F424" s="9"/>
      <c r="G424" s="3"/>
      <c r="H424" s="99"/>
      <c r="I424" s="99"/>
      <c r="J424" s="73"/>
      <c r="K424" s="102" t="s">
        <v>458</v>
      </c>
      <c r="L424" s="73"/>
      <c r="M424" s="99"/>
      <c r="N424" s="8"/>
      <c r="O424" s="21"/>
      <c r="P424" s="3"/>
      <c r="Q424" s="3" t="s">
        <v>907</v>
      </c>
      <c r="R424" s="3"/>
    </row>
    <row r="425" spans="1:18" ht="12.75">
      <c r="A425" s="14"/>
      <c r="B425" s="9"/>
      <c r="C425" s="9"/>
      <c r="D425" s="9"/>
      <c r="E425" s="9" t="str">
        <f t="shared" si="71"/>
        <v/>
      </c>
      <c r="F425" s="9"/>
      <c r="G425" s="3"/>
      <c r="H425" s="99"/>
      <c r="I425" s="99"/>
      <c r="J425" s="73"/>
      <c r="K425" s="102"/>
      <c r="L425" s="73"/>
      <c r="M425" s="99"/>
      <c r="N425" s="99"/>
      <c r="O425" s="99"/>
      <c r="P425" s="73"/>
      <c r="Q425" s="73"/>
      <c r="R425" s="73"/>
    </row>
    <row r="426" spans="1:18" ht="12.75">
      <c r="A426" s="14"/>
      <c r="B426" s="11"/>
      <c r="C426" s="11"/>
      <c r="D426" s="11"/>
      <c r="E426" s="11"/>
      <c r="F426" s="11"/>
      <c r="G426" s="3"/>
      <c r="H426" s="99"/>
      <c r="I426" s="99"/>
      <c r="J426" s="73"/>
      <c r="K426" s="73"/>
      <c r="L426" s="73"/>
      <c r="M426" s="99"/>
      <c r="N426" s="99"/>
      <c r="O426" s="99"/>
      <c r="P426" s="73"/>
      <c r="Q426" s="73"/>
      <c r="R426" s="73"/>
    </row>
    <row r="427" spans="1:18" ht="15">
      <c r="A427" s="14"/>
      <c r="B427" s="6"/>
      <c r="C427" s="6"/>
      <c r="D427" s="6"/>
      <c r="E427" s="6"/>
      <c r="F427" s="6"/>
      <c r="G427" s="3"/>
      <c r="H427" s="122"/>
      <c r="I427" s="96"/>
      <c r="J427" s="96"/>
      <c r="K427" s="96"/>
      <c r="L427" s="122"/>
      <c r="M427" s="99"/>
      <c r="N427" s="99"/>
      <c r="O427" s="99"/>
      <c r="P427" s="73"/>
      <c r="Q427" s="73"/>
      <c r="R427" s="73"/>
    </row>
    <row r="428" spans="1:18" ht="18">
      <c r="A428" s="14"/>
      <c r="B428" s="150" t="str">
        <f t="shared" ref="B428:B429" si="72">UPPER(H428)</f>
        <v>POST PRODUCTION / ORIGINAL SCORES &amp; SONGS</v>
      </c>
      <c r="C428" s="141"/>
      <c r="D428" s="141"/>
      <c r="E428" s="141"/>
      <c r="F428" s="141"/>
      <c r="G428" s="28"/>
      <c r="H428" s="173" t="s">
        <v>435</v>
      </c>
      <c r="I428" s="141"/>
      <c r="J428" s="141"/>
      <c r="K428" s="141"/>
      <c r="L428" s="141"/>
      <c r="M428" s="112"/>
      <c r="N428" s="149" t="s">
        <v>888</v>
      </c>
      <c r="O428" s="141"/>
      <c r="P428" s="141"/>
      <c r="Q428" s="141"/>
      <c r="R428" s="141"/>
    </row>
    <row r="429" spans="1:18" ht="15">
      <c r="A429" s="14"/>
      <c r="B429" s="146" t="str">
        <f t="shared" si="72"/>
        <v>RECORDING SESSION</v>
      </c>
      <c r="C429" s="141"/>
      <c r="D429" s="141"/>
      <c r="E429" s="141"/>
      <c r="F429" s="141"/>
      <c r="G429" s="3"/>
      <c r="H429" s="178" t="s">
        <v>459</v>
      </c>
      <c r="I429" s="141"/>
      <c r="J429" s="141"/>
      <c r="K429" s="141"/>
      <c r="L429" s="141"/>
      <c r="M429" s="99"/>
      <c r="N429" s="151" t="s">
        <v>908</v>
      </c>
      <c r="O429" s="141"/>
      <c r="P429" s="141"/>
      <c r="Q429" s="141"/>
      <c r="R429" s="141"/>
    </row>
    <row r="430" spans="1:18" ht="12.75">
      <c r="A430" s="14"/>
      <c r="B430" s="9"/>
      <c r="C430" s="10" t="str">
        <f t="shared" ref="C430:C446" si="73">UPPER(I430)</f>
        <v/>
      </c>
      <c r="D430" s="9"/>
      <c r="E430" s="9" t="str">
        <f t="shared" ref="E430:E446" si="74">UPPER(K430)</f>
        <v/>
      </c>
      <c r="F430" s="9"/>
      <c r="G430" s="3"/>
      <c r="H430" s="73"/>
      <c r="I430" s="103"/>
      <c r="J430" s="105"/>
      <c r="K430" s="102"/>
      <c r="L430" s="73"/>
      <c r="M430" s="99"/>
      <c r="N430" s="3"/>
      <c r="O430" s="8"/>
      <c r="P430" s="3"/>
      <c r="Q430" s="3"/>
      <c r="R430" s="3"/>
    </row>
    <row r="431" spans="1:18" ht="12.75">
      <c r="A431" s="14"/>
      <c r="B431" s="9"/>
      <c r="C431" s="10" t="str">
        <f t="shared" si="73"/>
        <v>GUITAR</v>
      </c>
      <c r="D431" s="9"/>
      <c r="E431" s="9" t="str">
        <f t="shared" si="74"/>
        <v>DOLLY HWANG</v>
      </c>
      <c r="F431" s="9"/>
      <c r="G431" s="3"/>
      <c r="H431" s="73"/>
      <c r="I431" s="103" t="s">
        <v>460</v>
      </c>
      <c r="J431" s="105"/>
      <c r="K431" s="102" t="s">
        <v>453</v>
      </c>
      <c r="L431" s="73"/>
      <c r="M431" s="99"/>
      <c r="N431" s="3"/>
      <c r="O431" s="8" t="s">
        <v>909</v>
      </c>
      <c r="P431" s="3"/>
      <c r="Q431" s="20" t="s">
        <v>453</v>
      </c>
      <c r="R431" s="3"/>
    </row>
    <row r="432" spans="1:18" ht="12.75">
      <c r="A432" s="14"/>
      <c r="B432" s="9"/>
      <c r="C432" s="10" t="str">
        <f t="shared" si="73"/>
        <v/>
      </c>
      <c r="D432" s="9"/>
      <c r="E432" s="9" t="str">
        <f t="shared" si="74"/>
        <v>BUMPIZ</v>
      </c>
      <c r="F432" s="9"/>
      <c r="G432" s="3"/>
      <c r="H432" s="73"/>
      <c r="I432" s="103"/>
      <c r="J432" s="105"/>
      <c r="K432" s="102" t="s">
        <v>456</v>
      </c>
      <c r="L432" s="73"/>
      <c r="M432" s="99"/>
      <c r="N432" s="3"/>
      <c r="O432" s="8"/>
      <c r="P432" s="3"/>
      <c r="Q432" s="3" t="s">
        <v>456</v>
      </c>
      <c r="R432" s="3"/>
    </row>
    <row r="433" spans="1:18" ht="12.75">
      <c r="A433" s="14"/>
      <c r="B433" s="9"/>
      <c r="C433" s="10" t="str">
        <f t="shared" si="73"/>
        <v/>
      </c>
      <c r="D433" s="9"/>
      <c r="E433" s="9" t="str">
        <f t="shared" si="74"/>
        <v/>
      </c>
      <c r="F433" s="9"/>
      <c r="G433" s="3"/>
      <c r="H433" s="73"/>
      <c r="I433" s="103"/>
      <c r="J433" s="105"/>
      <c r="K433" s="102"/>
      <c r="L433" s="73"/>
      <c r="M433" s="99"/>
      <c r="N433" s="3"/>
      <c r="O433" s="8"/>
      <c r="P433" s="3"/>
      <c r="Q433" s="3"/>
      <c r="R433" s="3"/>
    </row>
    <row r="434" spans="1:18" ht="12.75">
      <c r="A434" s="14"/>
      <c r="B434" s="9"/>
      <c r="C434" s="10" t="str">
        <f t="shared" si="73"/>
        <v>BASS</v>
      </c>
      <c r="D434" s="9"/>
      <c r="E434" s="9" t="str">
        <f t="shared" si="74"/>
        <v>DOLLY HWANG</v>
      </c>
      <c r="F434" s="9"/>
      <c r="G434" s="3"/>
      <c r="H434" s="73"/>
      <c r="I434" s="103" t="s">
        <v>461</v>
      </c>
      <c r="J434" s="105"/>
      <c r="K434" s="102" t="s">
        <v>453</v>
      </c>
      <c r="L434" s="73"/>
      <c r="M434" s="99"/>
      <c r="N434" s="3"/>
      <c r="O434" s="8" t="s">
        <v>910</v>
      </c>
      <c r="P434" s="3"/>
      <c r="Q434" s="20" t="s">
        <v>453</v>
      </c>
      <c r="R434" s="3"/>
    </row>
    <row r="435" spans="1:18" ht="12.75">
      <c r="A435" s="14"/>
      <c r="B435" s="9"/>
      <c r="C435" s="10" t="str">
        <f t="shared" si="73"/>
        <v/>
      </c>
      <c r="D435" s="9"/>
      <c r="E435" s="9" t="str">
        <f t="shared" si="74"/>
        <v>BUMPIZ</v>
      </c>
      <c r="F435" s="9"/>
      <c r="G435" s="3"/>
      <c r="H435" s="73"/>
      <c r="I435" s="104"/>
      <c r="J435" s="105"/>
      <c r="K435" s="102" t="s">
        <v>456</v>
      </c>
      <c r="L435" s="73"/>
      <c r="M435" s="99"/>
      <c r="N435" s="3"/>
      <c r="O435" s="3"/>
      <c r="P435" s="3"/>
      <c r="Q435" s="3" t="s">
        <v>456</v>
      </c>
      <c r="R435" s="3"/>
    </row>
    <row r="436" spans="1:18" ht="12.75">
      <c r="A436" s="14"/>
      <c r="B436" s="9"/>
      <c r="C436" s="10" t="str">
        <f t="shared" si="73"/>
        <v/>
      </c>
      <c r="D436" s="9"/>
      <c r="E436" s="9" t="str">
        <f t="shared" si="74"/>
        <v/>
      </c>
      <c r="F436" s="9"/>
      <c r="G436" s="3"/>
      <c r="H436" s="73"/>
      <c r="I436" s="103"/>
      <c r="J436" s="105"/>
      <c r="K436" s="102"/>
      <c r="L436" s="73"/>
      <c r="M436" s="99"/>
      <c r="N436" s="3"/>
      <c r="O436" s="3"/>
      <c r="P436" s="3"/>
      <c r="Q436" s="3"/>
      <c r="R436" s="3"/>
    </row>
    <row r="437" spans="1:18" ht="12.75">
      <c r="A437" s="14"/>
      <c r="B437" s="9"/>
      <c r="C437" s="10" t="str">
        <f t="shared" si="73"/>
        <v>KEYBOARD</v>
      </c>
      <c r="D437" s="9"/>
      <c r="E437" s="9" t="str">
        <f t="shared" si="74"/>
        <v>YOONHO KIM</v>
      </c>
      <c r="F437" s="9"/>
      <c r="G437" s="3"/>
      <c r="H437" s="73"/>
      <c r="I437" s="103" t="s">
        <v>462</v>
      </c>
      <c r="J437" s="105"/>
      <c r="K437" s="102" t="s">
        <v>448</v>
      </c>
      <c r="L437" s="73"/>
      <c r="M437" s="99"/>
      <c r="N437" s="3"/>
      <c r="O437" s="8" t="s">
        <v>911</v>
      </c>
      <c r="P437" s="3"/>
      <c r="Q437" s="3" t="s">
        <v>899</v>
      </c>
      <c r="R437" s="3"/>
    </row>
    <row r="438" spans="1:18" ht="12.75">
      <c r="A438" s="14"/>
      <c r="B438" s="9"/>
      <c r="C438" s="10" t="str">
        <f t="shared" si="73"/>
        <v/>
      </c>
      <c r="D438" s="9"/>
      <c r="E438" s="9" t="str">
        <f t="shared" si="74"/>
        <v>SIEUN KIM</v>
      </c>
      <c r="F438" s="9"/>
      <c r="G438" s="3"/>
      <c r="H438" s="73"/>
      <c r="I438" s="107"/>
      <c r="J438" s="105"/>
      <c r="K438" s="102" t="s">
        <v>463</v>
      </c>
      <c r="L438" s="73"/>
      <c r="M438" s="99"/>
      <c r="N438" s="3"/>
      <c r="O438" s="3"/>
      <c r="P438" s="3"/>
      <c r="Q438" s="3" t="s">
        <v>901</v>
      </c>
      <c r="R438" s="3"/>
    </row>
    <row r="439" spans="1:18" ht="12.75">
      <c r="A439" s="14"/>
      <c r="B439" s="9"/>
      <c r="C439" s="10" t="str">
        <f t="shared" si="73"/>
        <v/>
      </c>
      <c r="D439" s="9"/>
      <c r="E439" s="9" t="str">
        <f t="shared" si="74"/>
        <v>DOLLY HWANG</v>
      </c>
      <c r="F439" s="9"/>
      <c r="G439" s="3"/>
      <c r="H439" s="73"/>
      <c r="I439" s="107"/>
      <c r="J439" s="105"/>
      <c r="K439" s="102" t="s">
        <v>453</v>
      </c>
      <c r="L439" s="73"/>
      <c r="M439" s="99"/>
      <c r="N439" s="3"/>
      <c r="O439" s="3"/>
      <c r="P439" s="3"/>
      <c r="Q439" s="20" t="s">
        <v>453</v>
      </c>
      <c r="R439" s="3"/>
    </row>
    <row r="440" spans="1:18" ht="12.75">
      <c r="A440" s="14"/>
      <c r="B440" s="9"/>
      <c r="C440" s="10" t="str">
        <f t="shared" si="73"/>
        <v/>
      </c>
      <c r="D440" s="9"/>
      <c r="E440" s="9" t="str">
        <f t="shared" si="74"/>
        <v>HAEHOON LEE</v>
      </c>
      <c r="F440" s="9"/>
      <c r="G440" s="3"/>
      <c r="H440" s="73"/>
      <c r="I440" s="107"/>
      <c r="J440" s="105"/>
      <c r="K440" s="102" t="s">
        <v>454</v>
      </c>
      <c r="L440" s="73"/>
      <c r="M440" s="99"/>
      <c r="N440" s="3"/>
      <c r="O440" s="3"/>
      <c r="P440" s="3"/>
      <c r="Q440" s="3" t="s">
        <v>904</v>
      </c>
      <c r="R440" s="3"/>
    </row>
    <row r="441" spans="1:18" ht="12.75">
      <c r="A441" s="14"/>
      <c r="B441" s="9"/>
      <c r="C441" s="10" t="str">
        <f t="shared" si="73"/>
        <v/>
      </c>
      <c r="D441" s="9"/>
      <c r="E441" s="9" t="str">
        <f t="shared" si="74"/>
        <v>NAYEON LEE</v>
      </c>
      <c r="F441" s="9"/>
      <c r="G441" s="3"/>
      <c r="H441" s="73"/>
      <c r="I441" s="107"/>
      <c r="J441" s="105"/>
      <c r="K441" s="102" t="s">
        <v>452</v>
      </c>
      <c r="L441" s="73"/>
      <c r="M441" s="99"/>
      <c r="N441" s="3"/>
      <c r="O441" s="3"/>
      <c r="P441" s="3"/>
      <c r="Q441" s="3" t="s">
        <v>903</v>
      </c>
      <c r="R441" s="3"/>
    </row>
    <row r="442" spans="1:18" ht="12.75">
      <c r="A442" s="14"/>
      <c r="B442" s="9"/>
      <c r="C442" s="10" t="str">
        <f t="shared" si="73"/>
        <v/>
      </c>
      <c r="D442" s="9"/>
      <c r="E442" s="9" t="str">
        <f t="shared" si="74"/>
        <v>BUMPIZ</v>
      </c>
      <c r="F442" s="9"/>
      <c r="G442" s="3"/>
      <c r="H442" s="73"/>
      <c r="I442" s="107"/>
      <c r="J442" s="105"/>
      <c r="K442" s="102" t="s">
        <v>456</v>
      </c>
      <c r="L442" s="73"/>
      <c r="M442" s="99"/>
      <c r="N442" s="3"/>
      <c r="O442" s="3"/>
      <c r="P442" s="3"/>
      <c r="Q442" s="3" t="s">
        <v>456</v>
      </c>
      <c r="R442" s="3"/>
    </row>
    <row r="443" spans="1:18" ht="12.75">
      <c r="A443" s="14"/>
      <c r="B443" s="9"/>
      <c r="C443" s="10" t="str">
        <f t="shared" si="73"/>
        <v/>
      </c>
      <c r="D443" s="9"/>
      <c r="E443" s="9" t="str">
        <f t="shared" si="74"/>
        <v>YEONGHUN YUN</v>
      </c>
      <c r="F443" s="9"/>
      <c r="G443" s="3"/>
      <c r="H443" s="73"/>
      <c r="I443" s="107"/>
      <c r="J443" s="105"/>
      <c r="K443" s="102" t="s">
        <v>457</v>
      </c>
      <c r="L443" s="73"/>
      <c r="M443" s="99"/>
      <c r="N443" s="3"/>
      <c r="O443" s="3"/>
      <c r="P443" s="3"/>
      <c r="Q443" s="3" t="s">
        <v>906</v>
      </c>
      <c r="R443" s="3"/>
    </row>
    <row r="444" spans="1:18" ht="12.75">
      <c r="A444" s="14"/>
      <c r="B444" s="9"/>
      <c r="C444" s="10" t="str">
        <f t="shared" si="73"/>
        <v/>
      </c>
      <c r="D444" s="9"/>
      <c r="E444" s="9" t="str">
        <f t="shared" si="74"/>
        <v>JIAE YU</v>
      </c>
      <c r="F444" s="9"/>
      <c r="G444" s="3"/>
      <c r="H444" s="73"/>
      <c r="I444" s="107"/>
      <c r="J444" s="105"/>
      <c r="K444" s="102" t="s">
        <v>458</v>
      </c>
      <c r="L444" s="73"/>
      <c r="M444" s="99"/>
      <c r="N444" s="3"/>
      <c r="O444" s="3"/>
      <c r="P444" s="3"/>
      <c r="Q444" s="3" t="s">
        <v>907</v>
      </c>
      <c r="R444" s="3"/>
    </row>
    <row r="445" spans="1:18" ht="12.75">
      <c r="A445" s="14"/>
      <c r="B445" s="9"/>
      <c r="C445" s="9" t="str">
        <f t="shared" si="73"/>
        <v/>
      </c>
      <c r="D445" s="9"/>
      <c r="E445" s="9" t="str">
        <f t="shared" si="74"/>
        <v/>
      </c>
      <c r="F445" s="9"/>
      <c r="G445" s="3"/>
      <c r="H445" s="73"/>
      <c r="I445" s="107"/>
      <c r="J445" s="105"/>
      <c r="K445" s="105"/>
      <c r="L445" s="73"/>
      <c r="M445" s="99"/>
      <c r="N445" s="99"/>
      <c r="O445" s="99"/>
      <c r="P445" s="73"/>
      <c r="Q445" s="73"/>
      <c r="R445" s="73"/>
    </row>
    <row r="446" spans="1:18" ht="12.75">
      <c r="A446" s="14"/>
      <c r="B446" s="11"/>
      <c r="C446" s="11" t="str">
        <f t="shared" si="73"/>
        <v/>
      </c>
      <c r="D446" s="11"/>
      <c r="E446" s="11" t="str">
        <f t="shared" si="74"/>
        <v/>
      </c>
      <c r="F446" s="11"/>
      <c r="G446" s="3"/>
      <c r="H446" s="73"/>
      <c r="I446" s="99"/>
      <c r="J446" s="73"/>
      <c r="K446" s="73"/>
      <c r="L446" s="73"/>
      <c r="M446" s="99"/>
      <c r="N446" s="99"/>
      <c r="O446" s="99"/>
      <c r="P446" s="73"/>
      <c r="Q446" s="73"/>
      <c r="R446" s="73"/>
    </row>
    <row r="447" spans="1:18" ht="15">
      <c r="A447" s="14"/>
      <c r="B447" s="6"/>
      <c r="C447" s="6"/>
      <c r="D447" s="6"/>
      <c r="E447" s="6"/>
      <c r="F447" s="6"/>
      <c r="G447" s="3"/>
      <c r="H447" s="122"/>
      <c r="I447" s="96"/>
      <c r="J447" s="96"/>
      <c r="K447" s="96"/>
      <c r="L447" s="122"/>
      <c r="M447" s="99"/>
      <c r="N447" s="99"/>
      <c r="O447" s="99"/>
      <c r="P447" s="73"/>
      <c r="Q447" s="73"/>
      <c r="R447" s="73"/>
    </row>
    <row r="448" spans="1:18" ht="18">
      <c r="A448" s="14"/>
      <c r="B448" s="150" t="str">
        <f t="shared" ref="B448:B449" si="75">UPPER(H448)</f>
        <v>POST PRODUCTION / ORIGINAL SCORES &amp; SONGS</v>
      </c>
      <c r="C448" s="141"/>
      <c r="D448" s="141"/>
      <c r="E448" s="141"/>
      <c r="F448" s="141"/>
      <c r="G448" s="28"/>
      <c r="H448" s="173" t="s">
        <v>435</v>
      </c>
      <c r="I448" s="141"/>
      <c r="J448" s="141"/>
      <c r="K448" s="141"/>
      <c r="L448" s="141"/>
      <c r="M448" s="99"/>
      <c r="N448" s="149" t="s">
        <v>888</v>
      </c>
      <c r="O448" s="141"/>
      <c r="P448" s="141"/>
      <c r="Q448" s="141"/>
      <c r="R448" s="141"/>
    </row>
    <row r="449" spans="1:18" ht="15">
      <c r="A449" s="14"/>
      <c r="B449" s="146" t="str">
        <f t="shared" si="75"/>
        <v>RECORDING SESSION</v>
      </c>
      <c r="C449" s="141"/>
      <c r="D449" s="141"/>
      <c r="E449" s="141"/>
      <c r="F449" s="141"/>
      <c r="G449" s="3"/>
      <c r="H449" s="178" t="s">
        <v>459</v>
      </c>
      <c r="I449" s="141"/>
      <c r="J449" s="141"/>
      <c r="K449" s="141"/>
      <c r="L449" s="141"/>
      <c r="M449" s="99"/>
      <c r="N449" s="151" t="s">
        <v>912</v>
      </c>
      <c r="O449" s="141"/>
      <c r="P449" s="141"/>
      <c r="Q449" s="141"/>
      <c r="R449" s="141"/>
    </row>
    <row r="450" spans="1:18" ht="12.75">
      <c r="A450" s="14"/>
      <c r="B450" s="9"/>
      <c r="C450" s="10" t="str">
        <f t="shared" ref="C450:C464" si="76">UPPER(I450)</f>
        <v/>
      </c>
      <c r="D450" s="9"/>
      <c r="E450" s="9" t="str">
        <f t="shared" ref="E450:E464" si="77">UPPER(K450)</f>
        <v/>
      </c>
      <c r="F450" s="9"/>
      <c r="G450" s="3"/>
      <c r="H450" s="73"/>
      <c r="I450" s="103"/>
      <c r="J450" s="105"/>
      <c r="K450" s="102"/>
      <c r="L450" s="73"/>
      <c r="M450" s="99"/>
      <c r="N450" s="8"/>
      <c r="O450" s="21"/>
      <c r="P450" s="3"/>
      <c r="Q450" s="3"/>
      <c r="R450" s="3"/>
    </row>
    <row r="451" spans="1:18" ht="12.75">
      <c r="A451" s="14"/>
      <c r="B451" s="9"/>
      <c r="C451" s="10" t="str">
        <f t="shared" si="76"/>
        <v>MUSIC PROGRAMING</v>
      </c>
      <c r="D451" s="9"/>
      <c r="E451" s="9" t="str">
        <f t="shared" si="77"/>
        <v>YOONHO KIM</v>
      </c>
      <c r="F451" s="9"/>
      <c r="G451" s="3"/>
      <c r="H451" s="73"/>
      <c r="I451" s="103" t="s">
        <v>464</v>
      </c>
      <c r="J451" s="105"/>
      <c r="K451" s="102" t="s">
        <v>448</v>
      </c>
      <c r="L451" s="73"/>
      <c r="M451" s="99"/>
      <c r="N451" s="8"/>
      <c r="O451" s="36" t="s">
        <v>913</v>
      </c>
      <c r="P451" s="2"/>
      <c r="Q451" s="2" t="s">
        <v>899</v>
      </c>
      <c r="R451" s="3"/>
    </row>
    <row r="452" spans="1:18" ht="12.75">
      <c r="A452" s="14"/>
      <c r="B452" s="9"/>
      <c r="C452" s="10" t="str">
        <f t="shared" si="76"/>
        <v/>
      </c>
      <c r="D452" s="9"/>
      <c r="E452" s="9" t="str">
        <f t="shared" si="77"/>
        <v>SIEUN KIM</v>
      </c>
      <c r="F452" s="9"/>
      <c r="G452" s="3"/>
      <c r="H452" s="73"/>
      <c r="I452" s="107"/>
      <c r="J452" s="105"/>
      <c r="K452" s="102" t="s">
        <v>463</v>
      </c>
      <c r="L452" s="73"/>
      <c r="M452" s="99"/>
      <c r="N452" s="8"/>
      <c r="O452" s="2"/>
      <c r="P452" s="2"/>
      <c r="Q452" s="3" t="s">
        <v>901</v>
      </c>
      <c r="R452" s="3"/>
    </row>
    <row r="453" spans="1:18" ht="12.75">
      <c r="A453" s="14"/>
      <c r="B453" s="9"/>
      <c r="C453" s="10" t="str">
        <f t="shared" si="76"/>
        <v/>
      </c>
      <c r="D453" s="9"/>
      <c r="E453" s="9" t="str">
        <f t="shared" si="77"/>
        <v>HAEHOON LEE</v>
      </c>
      <c r="F453" s="9"/>
      <c r="G453" s="3"/>
      <c r="H453" s="73"/>
      <c r="I453" s="107"/>
      <c r="J453" s="105"/>
      <c r="K453" s="102" t="s">
        <v>454</v>
      </c>
      <c r="L453" s="73"/>
      <c r="M453" s="99"/>
      <c r="N453" s="8"/>
      <c r="O453" s="2"/>
      <c r="P453" s="2"/>
      <c r="Q453" s="3" t="s">
        <v>904</v>
      </c>
      <c r="R453" s="3"/>
    </row>
    <row r="454" spans="1:18" ht="12.75">
      <c r="A454" s="14"/>
      <c r="B454" s="9"/>
      <c r="C454" s="10" t="str">
        <f t="shared" si="76"/>
        <v/>
      </c>
      <c r="D454" s="9"/>
      <c r="E454" s="9" t="str">
        <f t="shared" si="77"/>
        <v>DOLLY HWANG</v>
      </c>
      <c r="F454" s="9"/>
      <c r="G454" s="3"/>
      <c r="H454" s="73"/>
      <c r="I454" s="107"/>
      <c r="J454" s="105"/>
      <c r="K454" s="102" t="s">
        <v>453</v>
      </c>
      <c r="L454" s="73"/>
      <c r="M454" s="99"/>
      <c r="N454" s="8"/>
      <c r="O454" s="2"/>
      <c r="P454" s="2"/>
      <c r="Q454" s="20" t="s">
        <v>453</v>
      </c>
      <c r="R454" s="3"/>
    </row>
    <row r="455" spans="1:18" ht="12.75">
      <c r="A455" s="14"/>
      <c r="B455" s="9"/>
      <c r="C455" s="10" t="str">
        <f t="shared" si="76"/>
        <v/>
      </c>
      <c r="D455" s="9"/>
      <c r="E455" s="9" t="str">
        <f t="shared" si="77"/>
        <v>NAYEON LEE</v>
      </c>
      <c r="F455" s="9"/>
      <c r="G455" s="3"/>
      <c r="H455" s="73"/>
      <c r="I455" s="107"/>
      <c r="J455" s="105"/>
      <c r="K455" s="102" t="s">
        <v>452</v>
      </c>
      <c r="L455" s="73"/>
      <c r="M455" s="99"/>
      <c r="N455" s="8"/>
      <c r="O455" s="2"/>
      <c r="P455" s="2"/>
      <c r="Q455" s="3" t="s">
        <v>903</v>
      </c>
      <c r="R455" s="3"/>
    </row>
    <row r="456" spans="1:18" ht="12.75">
      <c r="A456" s="14"/>
      <c r="B456" s="9"/>
      <c r="C456" s="10" t="str">
        <f t="shared" si="76"/>
        <v/>
      </c>
      <c r="D456" s="9"/>
      <c r="E456" s="9" t="str">
        <f t="shared" si="77"/>
        <v>BUMPIZ</v>
      </c>
      <c r="F456" s="9"/>
      <c r="G456" s="3"/>
      <c r="H456" s="73"/>
      <c r="I456" s="107"/>
      <c r="J456" s="105"/>
      <c r="K456" s="102" t="s">
        <v>456</v>
      </c>
      <c r="L456" s="73"/>
      <c r="M456" s="99"/>
      <c r="N456" s="8"/>
      <c r="O456" s="2"/>
      <c r="P456" s="2"/>
      <c r="Q456" s="3" t="s">
        <v>456</v>
      </c>
      <c r="R456" s="3"/>
    </row>
    <row r="457" spans="1:18" ht="12.75">
      <c r="A457" s="14"/>
      <c r="B457" s="9"/>
      <c r="C457" s="10" t="str">
        <f t="shared" si="76"/>
        <v/>
      </c>
      <c r="D457" s="9"/>
      <c r="E457" s="9" t="str">
        <f t="shared" si="77"/>
        <v>SOYOUNG KWON</v>
      </c>
      <c r="F457" s="9"/>
      <c r="G457" s="3"/>
      <c r="H457" s="73"/>
      <c r="I457" s="107"/>
      <c r="J457" s="105"/>
      <c r="K457" s="102" t="s">
        <v>455</v>
      </c>
      <c r="L457" s="73"/>
      <c r="M457" s="99"/>
      <c r="N457" s="8"/>
      <c r="O457" s="36"/>
      <c r="P457" s="2"/>
      <c r="Q457" s="2" t="s">
        <v>905</v>
      </c>
      <c r="R457" s="3"/>
    </row>
    <row r="458" spans="1:18" ht="12.75">
      <c r="A458" s="14"/>
      <c r="B458" s="9"/>
      <c r="C458" s="10" t="str">
        <f t="shared" si="76"/>
        <v/>
      </c>
      <c r="D458" s="9"/>
      <c r="E458" s="9" t="str">
        <f t="shared" si="77"/>
        <v/>
      </c>
      <c r="F458" s="9"/>
      <c r="G458" s="3"/>
      <c r="H458" s="73"/>
      <c r="I458" s="107"/>
      <c r="J458" s="105"/>
      <c r="K458" s="102"/>
      <c r="L458" s="73"/>
      <c r="M458" s="99"/>
      <c r="N458" s="8"/>
      <c r="O458" s="36"/>
      <c r="P458" s="2"/>
      <c r="Q458" s="2"/>
      <c r="R458" s="3"/>
    </row>
    <row r="459" spans="1:18" ht="12.75">
      <c r="A459" s="14"/>
      <c r="B459" s="9"/>
      <c r="C459" s="10" t="str">
        <f t="shared" si="76"/>
        <v>RECORDING STUDIO</v>
      </c>
      <c r="D459" s="9"/>
      <c r="E459" s="9" t="str">
        <f t="shared" si="77"/>
        <v>DOONG SOUND</v>
      </c>
      <c r="F459" s="9"/>
      <c r="G459" s="3"/>
      <c r="H459" s="73"/>
      <c r="I459" s="103" t="s">
        <v>465</v>
      </c>
      <c r="J459" s="105"/>
      <c r="K459" s="102" t="s">
        <v>437</v>
      </c>
      <c r="L459" s="73"/>
      <c r="M459" s="99"/>
      <c r="N459" s="8"/>
      <c r="O459" s="36" t="s">
        <v>882</v>
      </c>
      <c r="P459" s="2"/>
      <c r="Q459" s="2" t="s">
        <v>883</v>
      </c>
      <c r="R459" s="3"/>
    </row>
    <row r="460" spans="1:18" ht="12.75">
      <c r="A460" s="14"/>
      <c r="B460" s="9"/>
      <c r="C460" s="10" t="str">
        <f t="shared" si="76"/>
        <v/>
      </c>
      <c r="D460" s="9"/>
      <c r="E460" s="9" t="str">
        <f t="shared" si="77"/>
        <v/>
      </c>
      <c r="F460" s="9"/>
      <c r="G460" s="3"/>
      <c r="H460" s="73"/>
      <c r="I460" s="103"/>
      <c r="J460" s="105"/>
      <c r="K460" s="102"/>
      <c r="L460" s="73"/>
      <c r="M460" s="99"/>
      <c r="N460" s="8"/>
      <c r="O460" s="36"/>
      <c r="P460" s="2"/>
      <c r="Q460" s="2"/>
      <c r="R460" s="3"/>
    </row>
    <row r="461" spans="1:18" ht="12.75">
      <c r="A461" s="14"/>
      <c r="B461" s="9"/>
      <c r="C461" s="10" t="str">
        <f t="shared" si="76"/>
        <v>RECORDING ENGINEER</v>
      </c>
      <c r="D461" s="9"/>
      <c r="E461" s="9" t="str">
        <f t="shared" si="77"/>
        <v>HYEJEONG HWANG</v>
      </c>
      <c r="F461" s="9"/>
      <c r="G461" s="3"/>
      <c r="H461" s="73"/>
      <c r="I461" s="103" t="s">
        <v>427</v>
      </c>
      <c r="J461" s="105"/>
      <c r="K461" s="102" t="s">
        <v>441</v>
      </c>
      <c r="L461" s="73"/>
      <c r="M461" s="99"/>
      <c r="N461" s="8"/>
      <c r="O461" s="36" t="s">
        <v>886</v>
      </c>
      <c r="P461" s="2"/>
      <c r="Q461" s="2" t="s">
        <v>885</v>
      </c>
      <c r="R461" s="3"/>
    </row>
    <row r="462" spans="1:18" ht="12.75">
      <c r="A462" s="14"/>
      <c r="B462" s="9"/>
      <c r="C462" s="10" t="str">
        <f t="shared" si="76"/>
        <v/>
      </c>
      <c r="D462" s="9"/>
      <c r="E462" s="9" t="str">
        <f t="shared" si="77"/>
        <v>Q6</v>
      </c>
      <c r="F462" s="9"/>
      <c r="G462" s="3"/>
      <c r="H462" s="73"/>
      <c r="I462" s="107"/>
      <c r="J462" s="105"/>
      <c r="K462" s="102" t="s">
        <v>466</v>
      </c>
      <c r="L462" s="73"/>
      <c r="M462" s="99"/>
      <c r="N462" s="8"/>
      <c r="O462" s="2"/>
      <c r="P462" s="2"/>
      <c r="Q462" s="2" t="s">
        <v>466</v>
      </c>
      <c r="R462" s="3"/>
    </row>
    <row r="463" spans="1:18" ht="12.75">
      <c r="A463" s="14"/>
      <c r="B463" s="9"/>
      <c r="C463" s="10" t="str">
        <f t="shared" si="76"/>
        <v/>
      </c>
      <c r="D463" s="9"/>
      <c r="E463" s="9" t="str">
        <f t="shared" si="77"/>
        <v>BUMPIZ</v>
      </c>
      <c r="F463" s="9"/>
      <c r="G463" s="3"/>
      <c r="H463" s="73"/>
      <c r="I463" s="107"/>
      <c r="J463" s="105"/>
      <c r="K463" s="102" t="s">
        <v>456</v>
      </c>
      <c r="L463" s="73"/>
      <c r="M463" s="99"/>
      <c r="N463" s="8"/>
      <c r="O463" s="2"/>
      <c r="P463" s="2"/>
      <c r="Q463" s="2" t="s">
        <v>456</v>
      </c>
      <c r="R463" s="3"/>
    </row>
    <row r="464" spans="1:18" ht="12.75">
      <c r="A464" s="14"/>
      <c r="B464" s="9"/>
      <c r="C464" s="9" t="str">
        <f t="shared" si="76"/>
        <v/>
      </c>
      <c r="D464" s="9"/>
      <c r="E464" s="9" t="str">
        <f t="shared" si="77"/>
        <v/>
      </c>
      <c r="F464" s="9"/>
      <c r="G464" s="3"/>
      <c r="H464" s="73"/>
      <c r="I464" s="99"/>
      <c r="J464" s="73"/>
      <c r="K464" s="73"/>
      <c r="L464" s="73"/>
      <c r="M464" s="99"/>
      <c r="N464" s="99"/>
      <c r="O464" s="99"/>
      <c r="P464" s="73"/>
      <c r="Q464" s="73"/>
      <c r="R464" s="73"/>
    </row>
    <row r="465" spans="1:18" ht="12.75">
      <c r="A465" s="14"/>
      <c r="B465" s="11"/>
      <c r="C465" s="11"/>
      <c r="D465" s="11"/>
      <c r="E465" s="11"/>
      <c r="F465" s="11"/>
      <c r="G465" s="3"/>
      <c r="H465" s="73"/>
      <c r="I465" s="99"/>
      <c r="J465" s="73"/>
      <c r="K465" s="73"/>
      <c r="L465" s="73"/>
      <c r="M465" s="99"/>
      <c r="N465" s="99"/>
      <c r="O465" s="99"/>
      <c r="P465" s="73"/>
      <c r="Q465" s="73"/>
      <c r="R465" s="73"/>
    </row>
    <row r="466" spans="1:18" ht="15">
      <c r="A466" s="14"/>
      <c r="B466" s="6"/>
      <c r="C466" s="6"/>
      <c r="D466" s="6"/>
      <c r="E466" s="6"/>
      <c r="F466" s="6"/>
      <c r="G466" s="3"/>
      <c r="H466" s="122"/>
      <c r="I466" s="96"/>
      <c r="J466" s="96"/>
      <c r="K466" s="96"/>
      <c r="L466" s="122"/>
      <c r="M466" s="99"/>
      <c r="N466" s="99"/>
      <c r="O466" s="99"/>
      <c r="P466" s="73"/>
      <c r="Q466" s="73"/>
      <c r="R466" s="73"/>
    </row>
    <row r="467" spans="1:18" ht="18">
      <c r="A467" s="14"/>
      <c r="B467" s="150" t="str">
        <f t="shared" ref="B467:B469" si="78">UPPER(H467)</f>
        <v>POST PRODUCTION / ORIGINAL SCORES &amp; SONGS</v>
      </c>
      <c r="C467" s="141"/>
      <c r="D467" s="141"/>
      <c r="E467" s="141"/>
      <c r="F467" s="141"/>
      <c r="G467" s="28"/>
      <c r="H467" s="173" t="s">
        <v>435</v>
      </c>
      <c r="I467" s="141"/>
      <c r="J467" s="141"/>
      <c r="K467" s="141"/>
      <c r="L467" s="141"/>
      <c r="M467" s="112"/>
      <c r="N467" s="161" t="s">
        <v>888</v>
      </c>
      <c r="O467" s="141"/>
      <c r="P467" s="141"/>
      <c r="Q467" s="141"/>
      <c r="R467" s="141"/>
    </row>
    <row r="468" spans="1:18" ht="15">
      <c r="A468" s="14"/>
      <c r="B468" s="146" t="str">
        <f t="shared" si="78"/>
        <v>WE R THE HEROES</v>
      </c>
      <c r="C468" s="141"/>
      <c r="D468" s="141"/>
      <c r="E468" s="141"/>
      <c r="F468" s="141"/>
      <c r="G468" s="3"/>
      <c r="H468" s="178" t="s">
        <v>467</v>
      </c>
      <c r="I468" s="141"/>
      <c r="J468" s="141"/>
      <c r="K468" s="141"/>
      <c r="L468" s="141"/>
      <c r="M468" s="99"/>
      <c r="N468" s="159" t="s">
        <v>467</v>
      </c>
      <c r="O468" s="141"/>
      <c r="P468" s="141"/>
      <c r="Q468" s="141"/>
      <c r="R468" s="141"/>
    </row>
    <row r="469" spans="1:18" ht="12.75">
      <c r="A469" s="14"/>
      <c r="B469" s="158" t="str">
        <f t="shared" si="78"/>
        <v>OPENING SONG</v>
      </c>
      <c r="C469" s="141"/>
      <c r="D469" s="141"/>
      <c r="E469" s="141"/>
      <c r="F469" s="141"/>
      <c r="G469" s="3"/>
      <c r="H469" s="179" t="s">
        <v>468</v>
      </c>
      <c r="I469" s="141"/>
      <c r="J469" s="141"/>
      <c r="K469" s="141"/>
      <c r="L469" s="141"/>
      <c r="M469" s="99"/>
      <c r="N469" s="160" t="s">
        <v>914</v>
      </c>
      <c r="O469" s="141"/>
      <c r="P469" s="141"/>
      <c r="Q469" s="141"/>
      <c r="R469" s="141"/>
    </row>
    <row r="470" spans="1:18" ht="12.75">
      <c r="A470" s="14"/>
      <c r="B470" s="9"/>
      <c r="C470" s="10" t="str">
        <f t="shared" ref="C470:C478" si="79">UPPER(I470)</f>
        <v>COMPOSER &amp; ARRANGER</v>
      </c>
      <c r="D470" s="9"/>
      <c r="E470" s="9" t="str">
        <f t="shared" ref="E470:E478" si="80">UPPER(K470)</f>
        <v>DOLLY HWANG</v>
      </c>
      <c r="F470" s="9"/>
      <c r="G470" s="3"/>
      <c r="H470" s="99"/>
      <c r="I470" s="99" t="s">
        <v>469</v>
      </c>
      <c r="J470" s="73"/>
      <c r="K470" s="73" t="s">
        <v>453</v>
      </c>
      <c r="L470" s="73"/>
      <c r="M470" s="99"/>
      <c r="N470" s="2"/>
      <c r="O470" s="36" t="s">
        <v>915</v>
      </c>
      <c r="P470" s="2"/>
      <c r="Q470" s="2" t="s">
        <v>453</v>
      </c>
      <c r="R470" s="2"/>
    </row>
    <row r="471" spans="1:18" ht="12.75">
      <c r="A471" s="14"/>
      <c r="B471" s="9"/>
      <c r="C471" s="10" t="str">
        <f t="shared" si="79"/>
        <v>LYRICS</v>
      </c>
      <c r="D471" s="9"/>
      <c r="E471" s="9" t="str">
        <f t="shared" si="80"/>
        <v>DOLLY HWANG</v>
      </c>
      <c r="F471" s="9"/>
      <c r="G471" s="3"/>
      <c r="H471" s="99"/>
      <c r="I471" s="99" t="s">
        <v>470</v>
      </c>
      <c r="J471" s="73"/>
      <c r="K471" s="73" t="s">
        <v>453</v>
      </c>
      <c r="L471" s="73"/>
      <c r="M471" s="99"/>
      <c r="N471" s="2"/>
      <c r="O471" s="36" t="s">
        <v>916</v>
      </c>
      <c r="P471" s="2"/>
      <c r="Q471" s="2" t="s">
        <v>453</v>
      </c>
      <c r="R471" s="2"/>
    </row>
    <row r="472" spans="1:18" ht="12.75">
      <c r="A472" s="14"/>
      <c r="B472" s="9"/>
      <c r="C472" s="10" t="str">
        <f t="shared" si="79"/>
        <v/>
      </c>
      <c r="D472" s="9"/>
      <c r="E472" s="9" t="str">
        <f t="shared" si="80"/>
        <v/>
      </c>
      <c r="F472" s="9"/>
      <c r="G472" s="3"/>
      <c r="H472" s="180"/>
      <c r="I472" s="141"/>
      <c r="J472" s="141"/>
      <c r="K472" s="141"/>
      <c r="L472" s="141"/>
      <c r="M472" s="99"/>
      <c r="N472" s="2"/>
      <c r="O472" s="2"/>
      <c r="P472" s="2"/>
      <c r="Q472" s="2"/>
      <c r="R472" s="2"/>
    </row>
    <row r="473" spans="1:18" ht="12.75">
      <c r="A473" s="14"/>
      <c r="B473" s="9"/>
      <c r="C473" s="10" t="str">
        <f t="shared" si="79"/>
        <v>VOCAL</v>
      </c>
      <c r="D473" s="9"/>
      <c r="E473" s="9" t="str">
        <f t="shared" si="80"/>
        <v>DOLLY HWANG</v>
      </c>
      <c r="F473" s="9"/>
      <c r="G473" s="3"/>
      <c r="H473" s="99"/>
      <c r="I473" s="99" t="s">
        <v>471</v>
      </c>
      <c r="J473" s="73"/>
      <c r="K473" s="73" t="s">
        <v>453</v>
      </c>
      <c r="L473" s="73"/>
      <c r="M473" s="99"/>
      <c r="N473" s="2"/>
      <c r="O473" s="36" t="s">
        <v>917</v>
      </c>
      <c r="P473" s="2"/>
      <c r="Q473" s="2" t="s">
        <v>453</v>
      </c>
      <c r="R473" s="2"/>
    </row>
    <row r="474" spans="1:18" ht="12.75">
      <c r="A474" s="14"/>
      <c r="B474" s="9"/>
      <c r="C474" s="10" t="str">
        <f t="shared" si="79"/>
        <v>GUITAR</v>
      </c>
      <c r="D474" s="9"/>
      <c r="E474" s="9" t="str">
        <f t="shared" si="80"/>
        <v>DOLLY HWANG</v>
      </c>
      <c r="F474" s="9"/>
      <c r="G474" s="3"/>
      <c r="H474" s="99"/>
      <c r="I474" s="99" t="s">
        <v>460</v>
      </c>
      <c r="J474" s="73"/>
      <c r="K474" s="73" t="s">
        <v>453</v>
      </c>
      <c r="L474" s="73"/>
      <c r="M474" s="99"/>
      <c r="N474" s="2"/>
      <c r="O474" s="36" t="s">
        <v>909</v>
      </c>
      <c r="P474" s="2"/>
      <c r="Q474" s="2" t="s">
        <v>453</v>
      </c>
      <c r="R474" s="2"/>
    </row>
    <row r="475" spans="1:18" ht="12.75">
      <c r="A475" s="14"/>
      <c r="B475" s="9"/>
      <c r="C475" s="10" t="str">
        <f t="shared" si="79"/>
        <v>BASS</v>
      </c>
      <c r="D475" s="9"/>
      <c r="E475" s="9" t="str">
        <f t="shared" si="80"/>
        <v>DOLLY HWANG</v>
      </c>
      <c r="F475" s="9"/>
      <c r="G475" s="3"/>
      <c r="H475" s="99"/>
      <c r="I475" s="99" t="s">
        <v>461</v>
      </c>
      <c r="J475" s="73"/>
      <c r="K475" s="73" t="s">
        <v>453</v>
      </c>
      <c r="L475" s="73"/>
      <c r="M475" s="99"/>
      <c r="N475" s="2"/>
      <c r="O475" s="36" t="s">
        <v>910</v>
      </c>
      <c r="P475" s="2"/>
      <c r="Q475" s="2" t="s">
        <v>453</v>
      </c>
      <c r="R475" s="2"/>
    </row>
    <row r="476" spans="1:18" ht="12.75">
      <c r="A476" s="14"/>
      <c r="B476" s="9"/>
      <c r="C476" s="10" t="str">
        <f t="shared" si="79"/>
        <v>RECORDING STUDIO</v>
      </c>
      <c r="D476" s="9"/>
      <c r="E476" s="9" t="str">
        <f t="shared" si="80"/>
        <v>PURPLE MOON</v>
      </c>
      <c r="F476" s="9"/>
      <c r="G476" s="3"/>
      <c r="H476" s="99"/>
      <c r="I476" s="99" t="s">
        <v>465</v>
      </c>
      <c r="J476" s="73"/>
      <c r="K476" s="73" t="s">
        <v>472</v>
      </c>
      <c r="L476" s="73"/>
      <c r="M476" s="99"/>
      <c r="N476" s="2"/>
      <c r="O476" s="36" t="s">
        <v>882</v>
      </c>
      <c r="P476" s="2"/>
      <c r="Q476" s="2" t="s">
        <v>472</v>
      </c>
      <c r="R476" s="2"/>
    </row>
    <row r="477" spans="1:18" ht="12.75">
      <c r="A477" s="14"/>
      <c r="B477" s="9"/>
      <c r="C477" s="10" t="str">
        <f t="shared" si="79"/>
        <v>RECORDING ENGINEER</v>
      </c>
      <c r="D477" s="9"/>
      <c r="E477" s="9" t="str">
        <f t="shared" si="80"/>
        <v>DOLLY HWANG</v>
      </c>
      <c r="F477" s="9"/>
      <c r="G477" s="3"/>
      <c r="H477" s="99"/>
      <c r="I477" s="99" t="s">
        <v>427</v>
      </c>
      <c r="J477" s="73"/>
      <c r="K477" s="73" t="s">
        <v>453</v>
      </c>
      <c r="L477" s="73"/>
      <c r="M477" s="99"/>
      <c r="N477" s="2"/>
      <c r="O477" s="36" t="s">
        <v>886</v>
      </c>
      <c r="P477" s="2"/>
      <c r="Q477" s="2" t="s">
        <v>453</v>
      </c>
      <c r="R477" s="2"/>
    </row>
    <row r="478" spans="1:18" ht="12.75">
      <c r="A478" s="14"/>
      <c r="B478" s="9"/>
      <c r="C478" s="9" t="str">
        <f t="shared" si="79"/>
        <v/>
      </c>
      <c r="D478" s="9"/>
      <c r="E478" s="9" t="str">
        <f t="shared" si="80"/>
        <v/>
      </c>
      <c r="F478" s="9"/>
      <c r="G478" s="3"/>
      <c r="H478" s="99"/>
      <c r="I478" s="99"/>
      <c r="J478" s="73"/>
      <c r="K478" s="73"/>
      <c r="L478" s="73"/>
      <c r="M478" s="99"/>
      <c r="N478" s="2"/>
      <c r="O478" s="2"/>
      <c r="P478" s="2"/>
      <c r="Q478" s="2"/>
      <c r="R478" s="2"/>
    </row>
    <row r="479" spans="1:18" ht="15">
      <c r="A479" s="14"/>
      <c r="B479" s="146" t="str">
        <f t="shared" ref="B479:B480" si="81">UPPER(H479)</f>
        <v>TEENAGE DREAMING</v>
      </c>
      <c r="C479" s="141"/>
      <c r="D479" s="141"/>
      <c r="E479" s="141"/>
      <c r="F479" s="141"/>
      <c r="G479" s="3"/>
      <c r="H479" s="181" t="s">
        <v>473</v>
      </c>
      <c r="I479" s="141"/>
      <c r="J479" s="141"/>
      <c r="K479" s="141"/>
      <c r="L479" s="141"/>
      <c r="M479" s="99"/>
      <c r="N479" s="161" t="s">
        <v>473</v>
      </c>
      <c r="O479" s="141"/>
      <c r="P479" s="141"/>
      <c r="Q479" s="141"/>
      <c r="R479" s="141"/>
    </row>
    <row r="480" spans="1:18" ht="12.75">
      <c r="A480" s="14"/>
      <c r="B480" s="158" t="str">
        <f t="shared" si="81"/>
        <v>ENDING SONG</v>
      </c>
      <c r="C480" s="141"/>
      <c r="D480" s="141"/>
      <c r="E480" s="141"/>
      <c r="F480" s="141"/>
      <c r="G480" s="3"/>
      <c r="H480" s="182" t="s">
        <v>474</v>
      </c>
      <c r="I480" s="141"/>
      <c r="J480" s="141"/>
      <c r="K480" s="141"/>
      <c r="L480" s="141"/>
      <c r="M480" s="99"/>
      <c r="N480" s="162" t="s">
        <v>918</v>
      </c>
      <c r="O480" s="141"/>
      <c r="P480" s="141"/>
      <c r="Q480" s="141"/>
      <c r="R480" s="141"/>
    </row>
    <row r="481" spans="1:18" ht="12.75">
      <c r="A481" s="14"/>
      <c r="B481" s="9"/>
      <c r="C481" s="10" t="str">
        <f t="shared" ref="C481:C488" si="82">UPPER(I481)</f>
        <v>COMPOSER &amp; ARRANGER</v>
      </c>
      <c r="D481" s="9"/>
      <c r="E481" s="9" t="str">
        <f t="shared" ref="E481:E488" si="83">UPPER(K481)</f>
        <v>DOLLY HWANG</v>
      </c>
      <c r="F481" s="9"/>
      <c r="G481" s="3"/>
      <c r="H481" s="123"/>
      <c r="I481" s="101" t="s">
        <v>469</v>
      </c>
      <c r="J481" s="123"/>
      <c r="K481" s="100" t="s">
        <v>453</v>
      </c>
      <c r="L481" s="123"/>
      <c r="M481" s="99"/>
      <c r="N481" s="2"/>
      <c r="O481" s="36" t="s">
        <v>915</v>
      </c>
      <c r="P481" s="2"/>
      <c r="Q481" s="2" t="s">
        <v>453</v>
      </c>
      <c r="R481" s="2"/>
    </row>
    <row r="482" spans="1:18" ht="12.75">
      <c r="A482" s="14"/>
      <c r="B482" s="9"/>
      <c r="C482" s="10" t="str">
        <f t="shared" si="82"/>
        <v>LYRICS</v>
      </c>
      <c r="D482" s="9"/>
      <c r="E482" s="9" t="str">
        <f t="shared" si="83"/>
        <v>PAUL Y. KIM</v>
      </c>
      <c r="F482" s="9"/>
      <c r="G482" s="3"/>
      <c r="H482" s="123"/>
      <c r="I482" s="101" t="s">
        <v>470</v>
      </c>
      <c r="J482" s="123"/>
      <c r="K482" s="100" t="s">
        <v>475</v>
      </c>
      <c r="L482" s="123"/>
      <c r="M482" s="99"/>
      <c r="N482" s="2"/>
      <c r="O482" s="36" t="s">
        <v>916</v>
      </c>
      <c r="P482" s="2"/>
      <c r="Q482" s="2" t="s">
        <v>475</v>
      </c>
      <c r="R482" s="2"/>
    </row>
    <row r="483" spans="1:18" ht="12.75">
      <c r="A483" s="14"/>
      <c r="B483" s="9"/>
      <c r="C483" s="10" t="str">
        <f t="shared" si="82"/>
        <v/>
      </c>
      <c r="D483" s="9"/>
      <c r="E483" s="9" t="str">
        <f t="shared" si="83"/>
        <v/>
      </c>
      <c r="F483" s="9"/>
      <c r="G483" s="3"/>
      <c r="H483" s="180"/>
      <c r="I483" s="141"/>
      <c r="J483" s="141"/>
      <c r="K483" s="141"/>
      <c r="L483" s="141"/>
      <c r="M483" s="99"/>
      <c r="N483" s="2"/>
      <c r="O483" s="2"/>
      <c r="P483" s="2"/>
      <c r="Q483" s="2"/>
      <c r="R483" s="2"/>
    </row>
    <row r="484" spans="1:18" ht="12.75">
      <c r="A484" s="14"/>
      <c r="B484" s="9"/>
      <c r="C484" s="10" t="str">
        <f t="shared" si="82"/>
        <v>VOCAL</v>
      </c>
      <c r="D484" s="9"/>
      <c r="E484" s="9" t="str">
        <f t="shared" si="83"/>
        <v>DOLLY HWANG</v>
      </c>
      <c r="F484" s="9"/>
      <c r="G484" s="3"/>
      <c r="H484" s="123"/>
      <c r="I484" s="101" t="s">
        <v>471</v>
      </c>
      <c r="J484" s="123"/>
      <c r="K484" s="100" t="s">
        <v>453</v>
      </c>
      <c r="L484" s="123"/>
      <c r="M484" s="99"/>
      <c r="N484" s="2"/>
      <c r="O484" s="36" t="s">
        <v>917</v>
      </c>
      <c r="P484" s="2"/>
      <c r="Q484" s="2" t="s">
        <v>453</v>
      </c>
      <c r="R484" s="2"/>
    </row>
    <row r="485" spans="1:18" ht="12.75">
      <c r="A485" s="14"/>
      <c r="B485" s="9"/>
      <c r="C485" s="10" t="str">
        <f t="shared" si="82"/>
        <v>GUITAR</v>
      </c>
      <c r="D485" s="9"/>
      <c r="E485" s="9" t="str">
        <f t="shared" si="83"/>
        <v>DOLLY HWANG</v>
      </c>
      <c r="F485" s="9"/>
      <c r="G485" s="3"/>
      <c r="H485" s="123"/>
      <c r="I485" s="101" t="s">
        <v>460</v>
      </c>
      <c r="J485" s="123"/>
      <c r="K485" s="100" t="s">
        <v>453</v>
      </c>
      <c r="L485" s="123"/>
      <c r="M485" s="99"/>
      <c r="N485" s="2"/>
      <c r="O485" s="36" t="s">
        <v>909</v>
      </c>
      <c r="P485" s="2"/>
      <c r="Q485" s="2" t="s">
        <v>453</v>
      </c>
      <c r="R485" s="2"/>
    </row>
    <row r="486" spans="1:18" ht="12.75">
      <c r="A486" s="14"/>
      <c r="B486" s="9"/>
      <c r="C486" s="10" t="str">
        <f t="shared" si="82"/>
        <v>BASS</v>
      </c>
      <c r="D486" s="9"/>
      <c r="E486" s="9" t="str">
        <f t="shared" si="83"/>
        <v>DOLLY HWANG</v>
      </c>
      <c r="F486" s="9"/>
      <c r="G486" s="3"/>
      <c r="H486" s="123"/>
      <c r="I486" s="101" t="s">
        <v>461</v>
      </c>
      <c r="J486" s="123"/>
      <c r="K486" s="100" t="s">
        <v>453</v>
      </c>
      <c r="L486" s="123"/>
      <c r="M486" s="99"/>
      <c r="N486" s="2"/>
      <c r="O486" s="36" t="s">
        <v>910</v>
      </c>
      <c r="P486" s="2"/>
      <c r="Q486" s="2" t="s">
        <v>453</v>
      </c>
      <c r="R486" s="2"/>
    </row>
    <row r="487" spans="1:18" ht="12.75">
      <c r="A487" s="14"/>
      <c r="B487" s="9"/>
      <c r="C487" s="10" t="str">
        <f t="shared" si="82"/>
        <v>RECORDING STUDIO</v>
      </c>
      <c r="D487" s="9"/>
      <c r="E487" s="9" t="str">
        <f t="shared" si="83"/>
        <v>PURPLE MOON</v>
      </c>
      <c r="F487" s="9"/>
      <c r="G487" s="3"/>
      <c r="H487" s="123"/>
      <c r="I487" s="101" t="s">
        <v>465</v>
      </c>
      <c r="J487" s="123"/>
      <c r="K487" s="100" t="s">
        <v>472</v>
      </c>
      <c r="L487" s="123"/>
      <c r="M487" s="99"/>
      <c r="N487" s="2"/>
      <c r="O487" s="36" t="s">
        <v>882</v>
      </c>
      <c r="P487" s="2"/>
      <c r="Q487" s="2" t="s">
        <v>472</v>
      </c>
      <c r="R487" s="2"/>
    </row>
    <row r="488" spans="1:18" ht="12.75">
      <c r="A488" s="14"/>
      <c r="B488" s="9"/>
      <c r="C488" s="10" t="str">
        <f t="shared" si="82"/>
        <v>RECORDING ENGINEER</v>
      </c>
      <c r="D488" s="9"/>
      <c r="E488" s="9" t="str">
        <f t="shared" si="83"/>
        <v>DOLLY HWANG</v>
      </c>
      <c r="F488" s="9"/>
      <c r="G488" s="3"/>
      <c r="H488" s="123"/>
      <c r="I488" s="101" t="s">
        <v>427</v>
      </c>
      <c r="J488" s="123"/>
      <c r="K488" s="100" t="s">
        <v>453</v>
      </c>
      <c r="L488" s="123"/>
      <c r="M488" s="99"/>
      <c r="N488" s="2"/>
      <c r="O488" s="36" t="s">
        <v>886</v>
      </c>
      <c r="P488" s="2"/>
      <c r="Q488" s="2" t="s">
        <v>453</v>
      </c>
      <c r="R488" s="2"/>
    </row>
    <row r="489" spans="1:18" ht="12.75">
      <c r="A489" s="14"/>
      <c r="B489" s="9"/>
      <c r="C489" s="10"/>
      <c r="D489" s="9"/>
      <c r="E489" s="9"/>
      <c r="F489" s="9"/>
      <c r="G489" s="3"/>
      <c r="H489" s="123"/>
      <c r="I489" s="101"/>
      <c r="J489" s="123"/>
      <c r="K489" s="100"/>
      <c r="L489" s="123"/>
      <c r="M489" s="99"/>
      <c r="N489" s="99"/>
      <c r="O489" s="99"/>
      <c r="P489" s="73"/>
      <c r="Q489" s="73"/>
      <c r="R489" s="73"/>
    </row>
    <row r="490" spans="1:18" ht="12.75">
      <c r="A490" s="14"/>
      <c r="B490" s="9"/>
      <c r="C490" s="10"/>
      <c r="D490" s="9"/>
      <c r="E490" s="9"/>
      <c r="F490" s="9"/>
      <c r="G490" s="3"/>
      <c r="H490" s="123"/>
      <c r="I490" s="101"/>
      <c r="J490" s="123"/>
      <c r="K490" s="100"/>
      <c r="L490" s="123"/>
      <c r="M490" s="99"/>
      <c r="N490" s="99"/>
      <c r="O490" s="99"/>
      <c r="P490" s="73"/>
      <c r="Q490" s="73"/>
      <c r="R490" s="73"/>
    </row>
    <row r="491" spans="1:18" ht="12.75">
      <c r="A491" s="14"/>
      <c r="B491" s="9"/>
      <c r="C491" s="10"/>
      <c r="D491" s="9"/>
      <c r="E491" s="9"/>
      <c r="F491" s="9"/>
      <c r="G491" s="3"/>
      <c r="H491" s="123"/>
      <c r="I491" s="101"/>
      <c r="J491" s="123"/>
      <c r="K491" s="100"/>
      <c r="L491" s="123"/>
      <c r="M491" s="99"/>
      <c r="N491" s="99"/>
      <c r="O491" s="99"/>
      <c r="P491" s="73"/>
      <c r="Q491" s="73"/>
      <c r="R491" s="73"/>
    </row>
    <row r="492" spans="1:18" ht="12.75">
      <c r="A492" s="14"/>
      <c r="B492" s="9"/>
      <c r="C492" s="9" t="str">
        <f>UPPER(I492)</f>
        <v/>
      </c>
      <c r="D492" s="9"/>
      <c r="E492" s="9" t="str">
        <f>UPPER(K492)</f>
        <v/>
      </c>
      <c r="F492" s="9"/>
      <c r="G492" s="3"/>
      <c r="H492" s="73"/>
      <c r="I492" s="99"/>
      <c r="J492" s="73"/>
      <c r="K492" s="73"/>
      <c r="L492" s="73"/>
      <c r="M492" s="99"/>
      <c r="N492" s="99"/>
      <c r="O492" s="99"/>
      <c r="P492" s="73"/>
      <c r="Q492" s="73"/>
      <c r="R492" s="73"/>
    </row>
    <row r="493" spans="1:18" ht="12.75">
      <c r="A493" s="14"/>
      <c r="B493" s="11"/>
      <c r="C493" s="11"/>
      <c r="D493" s="11"/>
      <c r="E493" s="11"/>
      <c r="F493" s="11"/>
      <c r="G493" s="3"/>
      <c r="H493" s="73"/>
      <c r="I493" s="99"/>
      <c r="J493" s="73"/>
      <c r="K493" s="73"/>
      <c r="L493" s="73"/>
      <c r="M493" s="99"/>
      <c r="N493" s="99"/>
      <c r="O493" s="99"/>
      <c r="P493" s="73"/>
      <c r="Q493" s="73"/>
      <c r="R493" s="73"/>
    </row>
    <row r="494" spans="1:18" ht="15">
      <c r="A494" s="14"/>
      <c r="B494" s="6"/>
      <c r="C494" s="6"/>
      <c r="D494" s="6"/>
      <c r="E494" s="6"/>
      <c r="F494" s="6"/>
      <c r="G494" s="3"/>
      <c r="H494" s="96"/>
      <c r="I494" s="96"/>
      <c r="J494" s="96"/>
      <c r="K494" s="96"/>
      <c r="L494" s="96"/>
      <c r="M494" s="99"/>
      <c r="N494" s="99"/>
      <c r="O494" s="99"/>
      <c r="P494" s="73"/>
      <c r="Q494" s="73"/>
      <c r="R494" s="73"/>
    </row>
    <row r="495" spans="1:18" ht="18">
      <c r="A495" s="14"/>
      <c r="B495" s="150" t="str">
        <f t="shared" ref="B495:B496" si="84">UPPER(H495)</f>
        <v>POST PRODUCTION / ORIGINAL SCORES &amp; SONGS</v>
      </c>
      <c r="C495" s="141"/>
      <c r="D495" s="141"/>
      <c r="E495" s="141"/>
      <c r="F495" s="141"/>
      <c r="G495" s="28"/>
      <c r="H495" s="173" t="s">
        <v>435</v>
      </c>
      <c r="I495" s="141"/>
      <c r="J495" s="141"/>
      <c r="K495" s="141"/>
      <c r="L495" s="141"/>
      <c r="M495" s="112"/>
      <c r="N495" s="149" t="s">
        <v>888</v>
      </c>
      <c r="O495" s="141"/>
      <c r="P495" s="141"/>
      <c r="Q495" s="141"/>
      <c r="R495" s="141"/>
    </row>
    <row r="496" spans="1:18" ht="15">
      <c r="A496" s="14"/>
      <c r="B496" s="146" t="str">
        <f t="shared" si="84"/>
        <v>MUSIC BY EPISODE</v>
      </c>
      <c r="C496" s="141"/>
      <c r="D496" s="141"/>
      <c r="E496" s="141"/>
      <c r="F496" s="141"/>
      <c r="G496" s="3"/>
      <c r="H496" s="176" t="s">
        <v>476</v>
      </c>
      <c r="I496" s="141"/>
      <c r="J496" s="141"/>
      <c r="K496" s="141"/>
      <c r="L496" s="141"/>
      <c r="M496" s="99"/>
      <c r="N496" s="149" t="s">
        <v>919</v>
      </c>
      <c r="O496" s="141"/>
      <c r="P496" s="141"/>
      <c r="Q496" s="141"/>
      <c r="R496" s="141"/>
    </row>
    <row r="497" spans="1:18" ht="15">
      <c r="A497" s="14"/>
      <c r="B497" s="6"/>
      <c r="C497" s="10" t="str">
        <f t="shared" ref="C497:C509" si="85">UPPER(I497)</f>
        <v/>
      </c>
      <c r="D497" s="42"/>
      <c r="E497" s="57" t="str">
        <f t="shared" ref="E497:E509" si="86">UPPER(K497)</f>
        <v/>
      </c>
      <c r="F497" s="6"/>
      <c r="G497" s="3"/>
      <c r="H497" s="96"/>
      <c r="I497" s="124"/>
      <c r="J497" s="125"/>
      <c r="K497" s="126"/>
      <c r="L497" s="96"/>
      <c r="M497" s="99"/>
      <c r="N497" s="149"/>
      <c r="O497" s="141"/>
      <c r="P497" s="141"/>
      <c r="Q497" s="141"/>
      <c r="R497" s="141"/>
    </row>
    <row r="498" spans="1:18" ht="15">
      <c r="A498" s="14"/>
      <c r="B498" s="6"/>
      <c r="C498" s="10" t="str">
        <f t="shared" si="85"/>
        <v>MUSIC SUPERVISOR</v>
      </c>
      <c r="D498" s="42"/>
      <c r="E498" s="57" t="str">
        <f t="shared" si="86"/>
        <v>YOONHO KIM</v>
      </c>
      <c r="F498" s="6"/>
      <c r="G498" s="3"/>
      <c r="H498" s="73"/>
      <c r="I498" s="103" t="s">
        <v>447</v>
      </c>
      <c r="J498" s="104"/>
      <c r="K498" s="102" t="s">
        <v>448</v>
      </c>
      <c r="L498" s="73"/>
      <c r="M498" s="99"/>
      <c r="N498" s="3"/>
      <c r="O498" s="8" t="s">
        <v>898</v>
      </c>
      <c r="P498" s="3"/>
      <c r="Q498" s="3" t="s">
        <v>899</v>
      </c>
      <c r="R498" s="3"/>
    </row>
    <row r="499" spans="1:18" ht="15">
      <c r="A499" s="14"/>
      <c r="B499" s="6"/>
      <c r="C499" s="10" t="str">
        <f t="shared" si="85"/>
        <v/>
      </c>
      <c r="D499" s="42"/>
      <c r="E499" s="57" t="str">
        <f t="shared" si="86"/>
        <v/>
      </c>
      <c r="F499" s="6"/>
      <c r="G499" s="3"/>
      <c r="H499" s="73"/>
      <c r="I499" s="107"/>
      <c r="J499" s="105"/>
      <c r="K499" s="105"/>
      <c r="L499" s="73"/>
      <c r="M499" s="99"/>
      <c r="N499" s="3"/>
      <c r="O499" s="8"/>
      <c r="P499" s="3"/>
      <c r="Q499" s="3"/>
      <c r="R499" s="3"/>
    </row>
    <row r="500" spans="1:18" ht="15">
      <c r="A500" s="14"/>
      <c r="B500" s="6"/>
      <c r="C500" s="10" t="str">
        <f t="shared" si="85"/>
        <v>LEAD COMPOSER</v>
      </c>
      <c r="D500" s="42"/>
      <c r="E500" s="57" t="str">
        <f t="shared" si="86"/>
        <v>SIEUN KIM</v>
      </c>
      <c r="F500" s="6"/>
      <c r="G500" s="3"/>
      <c r="H500" s="96"/>
      <c r="I500" s="103" t="s">
        <v>449</v>
      </c>
      <c r="J500" s="104"/>
      <c r="K500" s="102" t="s">
        <v>463</v>
      </c>
      <c r="L500" s="96"/>
      <c r="M500" s="99"/>
      <c r="N500" s="3"/>
      <c r="O500" s="8" t="s">
        <v>900</v>
      </c>
      <c r="P500" s="3"/>
      <c r="Q500" s="3" t="s">
        <v>901</v>
      </c>
      <c r="R500" s="3"/>
    </row>
    <row r="501" spans="1:18" ht="15">
      <c r="A501" s="14"/>
      <c r="B501" s="6"/>
      <c r="C501" s="10" t="str">
        <f t="shared" si="85"/>
        <v/>
      </c>
      <c r="D501" s="42"/>
      <c r="E501" s="57" t="str">
        <f t="shared" si="86"/>
        <v/>
      </c>
      <c r="F501" s="6"/>
      <c r="G501" s="3"/>
      <c r="H501" s="73"/>
      <c r="I501" s="121"/>
      <c r="J501" s="121"/>
      <c r="K501" s="121"/>
      <c r="L501" s="73"/>
      <c r="M501" s="99"/>
      <c r="N501" s="3"/>
      <c r="O501" s="8"/>
      <c r="P501" s="3"/>
      <c r="Q501" s="3"/>
      <c r="R501" s="3"/>
    </row>
    <row r="502" spans="1:18" ht="15">
      <c r="A502" s="14"/>
      <c r="B502" s="6"/>
      <c r="C502" s="10" t="str">
        <f t="shared" si="85"/>
        <v>ADDITIONAL COMPOSER</v>
      </c>
      <c r="D502" s="42"/>
      <c r="E502" s="57" t="str">
        <f t="shared" si="86"/>
        <v>DOLLY HWANG</v>
      </c>
      <c r="F502" s="6"/>
      <c r="G502" s="3"/>
      <c r="H502" s="73"/>
      <c r="I502" s="103" t="s">
        <v>451</v>
      </c>
      <c r="J502" s="104"/>
      <c r="K502" s="102" t="s">
        <v>453</v>
      </c>
      <c r="L502" s="73"/>
      <c r="M502" s="99"/>
      <c r="N502" s="3"/>
      <c r="O502" s="8" t="s">
        <v>902</v>
      </c>
      <c r="P502" s="3"/>
      <c r="Q502" s="2" t="s">
        <v>453</v>
      </c>
      <c r="R502" s="3"/>
    </row>
    <row r="503" spans="1:18" ht="15">
      <c r="A503" s="14"/>
      <c r="B503" s="6"/>
      <c r="C503" s="10" t="str">
        <f t="shared" si="85"/>
        <v/>
      </c>
      <c r="D503" s="42"/>
      <c r="E503" s="57" t="str">
        <f t="shared" si="86"/>
        <v>HAEHOON LEE</v>
      </c>
      <c r="F503" s="6"/>
      <c r="G503" s="3"/>
      <c r="H503" s="73"/>
      <c r="I503" s="103"/>
      <c r="J503" s="104"/>
      <c r="K503" s="102" t="s">
        <v>454</v>
      </c>
      <c r="L503" s="73"/>
      <c r="M503" s="99"/>
      <c r="N503" s="3"/>
      <c r="O503" s="8"/>
      <c r="P503" s="3"/>
      <c r="Q503" s="3" t="s">
        <v>904</v>
      </c>
      <c r="R503" s="3"/>
    </row>
    <row r="504" spans="1:18" ht="15">
      <c r="A504" s="14"/>
      <c r="B504" s="6"/>
      <c r="C504" s="10" t="str">
        <f t="shared" si="85"/>
        <v/>
      </c>
      <c r="D504" s="42"/>
      <c r="E504" s="57" t="str">
        <f t="shared" si="86"/>
        <v>SOYOUNG KWON</v>
      </c>
      <c r="F504" s="6"/>
      <c r="G504" s="3"/>
      <c r="H504" s="73"/>
      <c r="I504" s="107"/>
      <c r="J504" s="105"/>
      <c r="K504" s="102" t="s">
        <v>455</v>
      </c>
      <c r="L504" s="73"/>
      <c r="M504" s="99"/>
      <c r="N504" s="3"/>
      <c r="O504" s="8"/>
      <c r="P504" s="3"/>
      <c r="Q504" s="3" t="s">
        <v>905</v>
      </c>
      <c r="R504" s="3"/>
    </row>
    <row r="505" spans="1:18" ht="15">
      <c r="A505" s="14"/>
      <c r="B505" s="6"/>
      <c r="C505" s="10" t="str">
        <f t="shared" si="85"/>
        <v/>
      </c>
      <c r="D505" s="42"/>
      <c r="E505" s="57" t="str">
        <f t="shared" si="86"/>
        <v/>
      </c>
      <c r="F505" s="6"/>
      <c r="G505" s="3"/>
      <c r="H505" s="73"/>
      <c r="I505" s="103"/>
      <c r="J505" s="104"/>
      <c r="K505" s="102"/>
      <c r="L505" s="73"/>
      <c r="M505" s="99"/>
      <c r="N505" s="3"/>
      <c r="O505" s="8"/>
      <c r="P505" s="3"/>
      <c r="Q505" s="3"/>
      <c r="R505" s="3"/>
    </row>
    <row r="506" spans="1:18" ht="15">
      <c r="A506" s="14"/>
      <c r="B506" s="6"/>
      <c r="C506" s="10" t="str">
        <f t="shared" si="85"/>
        <v>LEAD SOUND DESIGNER</v>
      </c>
      <c r="D506" s="42"/>
      <c r="E506" s="57" t="str">
        <f t="shared" si="86"/>
        <v>HYEJEONG HWANG</v>
      </c>
      <c r="F506" s="6"/>
      <c r="G506" s="3"/>
      <c r="H506" s="96"/>
      <c r="I506" s="103" t="s">
        <v>478</v>
      </c>
      <c r="J506" s="104"/>
      <c r="K506" s="102" t="s">
        <v>441</v>
      </c>
      <c r="L506" s="96"/>
      <c r="M506" s="99"/>
      <c r="N506" s="3"/>
      <c r="O506" s="8" t="s">
        <v>920</v>
      </c>
      <c r="P506" s="3"/>
      <c r="Q506" s="3" t="s">
        <v>885</v>
      </c>
      <c r="R506" s="3"/>
    </row>
    <row r="507" spans="1:18" ht="15">
      <c r="A507" s="14"/>
      <c r="B507" s="6"/>
      <c r="C507" s="10" t="str">
        <f t="shared" si="85"/>
        <v/>
      </c>
      <c r="D507" s="42"/>
      <c r="E507" s="57" t="str">
        <f t="shared" si="86"/>
        <v/>
      </c>
      <c r="F507" s="6"/>
      <c r="G507" s="3"/>
      <c r="H507" s="73"/>
      <c r="I507" s="107"/>
      <c r="J507" s="105"/>
      <c r="K507" s="105"/>
      <c r="L507" s="73"/>
      <c r="M507" s="99"/>
      <c r="N507" s="3"/>
      <c r="O507" s="8"/>
      <c r="P507" s="3"/>
      <c r="Q507" s="3"/>
      <c r="R507" s="3"/>
    </row>
    <row r="508" spans="1:18" ht="15">
      <c r="A508" s="14"/>
      <c r="B508" s="6"/>
      <c r="C508" s="10" t="str">
        <f t="shared" si="85"/>
        <v>FOLEY DESIGNER</v>
      </c>
      <c r="D508" s="42"/>
      <c r="E508" s="57" t="str">
        <f t="shared" si="86"/>
        <v>HYEJEONG HWANG</v>
      </c>
      <c r="F508" s="6"/>
      <c r="G508" s="3"/>
      <c r="H508" s="73"/>
      <c r="I508" s="103" t="s">
        <v>479</v>
      </c>
      <c r="J508" s="104"/>
      <c r="K508" s="102" t="s">
        <v>441</v>
      </c>
      <c r="L508" s="73"/>
      <c r="M508" s="99"/>
      <c r="N508" s="99"/>
      <c r="O508" s="8" t="s">
        <v>921</v>
      </c>
      <c r="P508" s="3"/>
      <c r="Q508" s="3" t="s">
        <v>885</v>
      </c>
      <c r="R508" s="73"/>
    </row>
    <row r="509" spans="1:18" ht="15">
      <c r="A509" s="14"/>
      <c r="B509" s="6"/>
      <c r="C509" s="10" t="str">
        <f t="shared" si="85"/>
        <v/>
      </c>
      <c r="D509" s="42"/>
      <c r="E509" s="57" t="str">
        <f t="shared" si="86"/>
        <v/>
      </c>
      <c r="F509" s="6"/>
      <c r="G509" s="3"/>
      <c r="H509" s="73"/>
      <c r="I509" s="97"/>
      <c r="J509" s="97"/>
      <c r="K509" s="97"/>
      <c r="L509" s="73"/>
      <c r="M509" s="99"/>
      <c r="N509" s="99"/>
      <c r="O509" s="8"/>
      <c r="P509" s="3"/>
      <c r="Q509" s="3"/>
      <c r="R509" s="73"/>
    </row>
    <row r="510" spans="1:18" ht="12.75">
      <c r="A510" s="14"/>
      <c r="B510" s="3"/>
      <c r="C510" s="3"/>
      <c r="D510" s="3"/>
      <c r="E510" s="80"/>
      <c r="F510" s="3"/>
      <c r="G510" s="3"/>
      <c r="H510" s="73"/>
      <c r="I510" s="99"/>
      <c r="J510" s="73"/>
      <c r="K510" s="73"/>
      <c r="L510" s="73"/>
      <c r="M510" s="99"/>
      <c r="N510" s="99"/>
      <c r="O510" s="99"/>
      <c r="P510" s="73"/>
      <c r="Q510" s="73"/>
      <c r="R510" s="73"/>
    </row>
    <row r="511" spans="1:18" ht="15">
      <c r="A511" s="14"/>
      <c r="B511" s="58"/>
      <c r="C511" s="58"/>
      <c r="D511" s="58"/>
      <c r="E511" s="58"/>
      <c r="F511" s="58"/>
      <c r="G511" s="3"/>
      <c r="H511" s="96"/>
      <c r="I511" s="96"/>
      <c r="J511" s="96"/>
      <c r="K511" s="96"/>
      <c r="L511" s="96"/>
      <c r="M511" s="99"/>
      <c r="N511" s="99"/>
      <c r="O511" s="99"/>
      <c r="P511" s="73"/>
      <c r="Q511" s="73"/>
      <c r="R511" s="73"/>
    </row>
    <row r="512" spans="1:18" ht="18">
      <c r="A512" s="14"/>
      <c r="B512" s="153" t="str">
        <f>UPPER(H512)</f>
        <v>MASTERING</v>
      </c>
      <c r="C512" s="141"/>
      <c r="D512" s="141"/>
      <c r="E512" s="141"/>
      <c r="F512" s="141"/>
      <c r="G512" s="28"/>
      <c r="H512" s="173" t="s">
        <v>481</v>
      </c>
      <c r="I512" s="141"/>
      <c r="J512" s="141"/>
      <c r="K512" s="141"/>
      <c r="L512" s="141"/>
      <c r="M512" s="112"/>
      <c r="N512" s="149" t="s">
        <v>923</v>
      </c>
      <c r="O512" s="141"/>
      <c r="P512" s="141"/>
      <c r="Q512" s="141"/>
      <c r="R512" s="141"/>
    </row>
    <row r="513" spans="1:18" ht="12.75">
      <c r="A513" s="14"/>
      <c r="B513" s="42"/>
      <c r="C513" s="10"/>
      <c r="D513" s="42"/>
      <c r="E513" s="57"/>
      <c r="F513" s="59"/>
      <c r="G513" s="3"/>
      <c r="H513" s="73"/>
      <c r="I513" s="99"/>
      <c r="J513" s="73"/>
      <c r="K513" s="73"/>
      <c r="L513" s="73"/>
      <c r="M513" s="99"/>
      <c r="N513" s="3"/>
      <c r="O513" s="8"/>
      <c r="P513" s="3"/>
      <c r="Q513" s="3"/>
      <c r="R513" s="3"/>
    </row>
    <row r="514" spans="1:18" ht="12.75">
      <c r="A514" s="14"/>
      <c r="B514" s="42" t="str">
        <f t="shared" ref="B514:C514" si="87">UPPER(H514)</f>
        <v/>
      </c>
      <c r="C514" s="10" t="str">
        <f t="shared" si="87"/>
        <v>STUDIO</v>
      </c>
      <c r="D514" s="42"/>
      <c r="E514" s="57" t="str">
        <f>UPPER(K514)</f>
        <v>SBA</v>
      </c>
      <c r="F514" s="59"/>
      <c r="G514" s="3"/>
      <c r="H514" s="73"/>
      <c r="I514" s="99" t="s">
        <v>482</v>
      </c>
      <c r="J514" s="73"/>
      <c r="K514" s="73" t="s">
        <v>483</v>
      </c>
      <c r="L514" s="73"/>
      <c r="M514" s="99"/>
      <c r="N514" s="3"/>
      <c r="O514" s="8" t="s">
        <v>924</v>
      </c>
      <c r="P514" s="3"/>
      <c r="Q514" s="3" t="s">
        <v>483</v>
      </c>
      <c r="R514" s="3"/>
    </row>
    <row r="515" spans="1:18" ht="12.75">
      <c r="A515" s="14"/>
      <c r="B515" s="42"/>
      <c r="C515" s="10"/>
      <c r="D515" s="42"/>
      <c r="E515" s="57"/>
      <c r="F515" s="59"/>
      <c r="G515" s="3"/>
      <c r="H515" s="73"/>
      <c r="I515" s="99"/>
      <c r="J515" s="73"/>
      <c r="K515" s="73"/>
      <c r="L515" s="73"/>
      <c r="M515" s="99"/>
      <c r="N515" s="3"/>
      <c r="O515" s="3"/>
      <c r="P515" s="3"/>
      <c r="Q515" s="3"/>
      <c r="R515" s="3"/>
    </row>
    <row r="516" spans="1:18" ht="12.75">
      <c r="A516" s="14"/>
      <c r="B516" s="42"/>
      <c r="C516" s="10" t="str">
        <f>UPPER(I516)</f>
        <v>STUDIO DEPT. DIRECTOR</v>
      </c>
      <c r="D516" s="42"/>
      <c r="E516" s="57" t="str">
        <f>UPPER(K516)</f>
        <v>JONGMIN HAHM</v>
      </c>
      <c r="F516" s="59"/>
      <c r="G516" s="3"/>
      <c r="H516" s="73"/>
      <c r="I516" s="99" t="s">
        <v>484</v>
      </c>
      <c r="J516" s="73"/>
      <c r="K516" s="73" t="s">
        <v>485</v>
      </c>
      <c r="L516" s="73"/>
      <c r="M516" s="99"/>
      <c r="N516" s="3"/>
      <c r="O516" s="8" t="s">
        <v>925</v>
      </c>
      <c r="P516" s="3"/>
      <c r="Q516" s="3" t="s">
        <v>926</v>
      </c>
      <c r="R516" s="3"/>
    </row>
    <row r="517" spans="1:18" ht="12.75">
      <c r="A517" s="14"/>
      <c r="B517" s="42"/>
      <c r="C517" s="10"/>
      <c r="D517" s="42"/>
      <c r="E517" s="57"/>
      <c r="F517" s="59"/>
      <c r="G517" s="3"/>
      <c r="H517" s="73"/>
      <c r="I517" s="99"/>
      <c r="J517" s="73"/>
      <c r="K517" s="73"/>
      <c r="L517" s="73"/>
      <c r="M517" s="99"/>
      <c r="N517" s="3"/>
      <c r="O517" s="3"/>
      <c r="P517" s="3"/>
      <c r="Q517" s="3"/>
      <c r="R517" s="3"/>
    </row>
    <row r="518" spans="1:18" ht="12.75">
      <c r="A518" s="14"/>
      <c r="B518" s="42" t="str">
        <f t="shared" ref="B518:C518" si="88">UPPER(H518)</f>
        <v/>
      </c>
      <c r="C518" s="10" t="str">
        <f t="shared" si="88"/>
        <v>STUDIO MANAGER</v>
      </c>
      <c r="D518" s="42"/>
      <c r="E518" s="57" t="str">
        <f t="shared" ref="E518:E519" si="89">UPPER(K518)</f>
        <v>MYUNGHOON LEE</v>
      </c>
      <c r="F518" s="59"/>
      <c r="G518" s="3"/>
      <c r="H518" s="73"/>
      <c r="I518" s="99" t="s">
        <v>486</v>
      </c>
      <c r="J518" s="73"/>
      <c r="K518" s="73" t="s">
        <v>487</v>
      </c>
      <c r="L518" s="73"/>
      <c r="M518" s="99"/>
      <c r="N518" s="3"/>
      <c r="O518" s="8" t="s">
        <v>927</v>
      </c>
      <c r="P518" s="3"/>
      <c r="Q518" s="3" t="s">
        <v>928</v>
      </c>
      <c r="R518" s="3"/>
    </row>
    <row r="519" spans="1:18" ht="12.75">
      <c r="A519" s="14"/>
      <c r="B519" s="42" t="str">
        <f t="shared" ref="B519:C519" si="90">UPPER(H519)</f>
        <v/>
      </c>
      <c r="C519" s="10" t="str">
        <f t="shared" si="90"/>
        <v/>
      </c>
      <c r="D519" s="42"/>
      <c r="E519" s="57" t="str">
        <f t="shared" si="89"/>
        <v>HAESU JEON</v>
      </c>
      <c r="F519" s="59"/>
      <c r="G519" s="3"/>
      <c r="H519" s="73"/>
      <c r="I519" s="99"/>
      <c r="J519" s="73"/>
      <c r="K519" s="73" t="s">
        <v>488</v>
      </c>
      <c r="L519" s="73"/>
      <c r="M519" s="99"/>
      <c r="N519" s="8"/>
      <c r="O519" s="3"/>
      <c r="P519" s="3"/>
      <c r="Q519" s="3" t="s">
        <v>929</v>
      </c>
      <c r="R519" s="3"/>
    </row>
    <row r="520" spans="1:18" ht="12.75">
      <c r="A520" s="14"/>
      <c r="B520" s="42"/>
      <c r="C520" s="10"/>
      <c r="D520" s="42"/>
      <c r="E520" s="57"/>
      <c r="F520" s="59"/>
      <c r="G520" s="3"/>
      <c r="H520" s="73"/>
      <c r="I520" s="99"/>
      <c r="J520" s="73"/>
      <c r="K520" s="73"/>
      <c r="L520" s="73"/>
      <c r="M520" s="99"/>
      <c r="N520" s="99"/>
      <c r="O520" s="99"/>
      <c r="P520" s="73"/>
      <c r="Q520" s="73"/>
      <c r="R520" s="73"/>
    </row>
    <row r="521" spans="1:18" ht="12.75">
      <c r="A521" s="14"/>
      <c r="B521" s="11"/>
      <c r="C521" s="12" t="str">
        <f>UPPER(I521)</f>
        <v/>
      </c>
      <c r="D521" s="11"/>
      <c r="E521" s="11" t="str">
        <f>UPPER(K521)</f>
        <v/>
      </c>
      <c r="F521" s="11"/>
      <c r="G521" s="3"/>
      <c r="H521" s="73"/>
      <c r="I521" s="99"/>
      <c r="J521" s="73"/>
      <c r="K521" s="109"/>
      <c r="L521" s="73"/>
      <c r="M521" s="99"/>
      <c r="N521" s="99"/>
      <c r="O521" s="99"/>
      <c r="P521" s="73"/>
      <c r="Q521" s="73"/>
      <c r="R521" s="73"/>
    </row>
    <row r="522" spans="1:18" ht="15">
      <c r="A522" s="14"/>
      <c r="B522" s="58"/>
      <c r="C522" s="58"/>
      <c r="D522" s="58"/>
      <c r="E522" s="58"/>
      <c r="F522" s="58"/>
      <c r="G522" s="3"/>
      <c r="H522" s="96"/>
      <c r="I522" s="96"/>
      <c r="J522" s="96"/>
      <c r="K522" s="96"/>
      <c r="L522" s="96"/>
      <c r="M522" s="99"/>
      <c r="N522" s="99"/>
      <c r="O522" s="99"/>
      <c r="P522" s="73"/>
      <c r="Q522" s="73"/>
      <c r="R522" s="73"/>
    </row>
    <row r="523" spans="1:18" ht="18">
      <c r="A523" s="14"/>
      <c r="B523" s="153" t="str">
        <f t="shared" ref="B523:B525" si="91">UPPER(H523)</f>
        <v>MASTERING</v>
      </c>
      <c r="C523" s="141"/>
      <c r="D523" s="141"/>
      <c r="E523" s="141"/>
      <c r="F523" s="141"/>
      <c r="G523" s="28"/>
      <c r="H523" s="173" t="s">
        <v>481</v>
      </c>
      <c r="I523" s="141"/>
      <c r="J523" s="141"/>
      <c r="K523" s="141"/>
      <c r="L523" s="141"/>
      <c r="M523" s="99"/>
      <c r="N523" s="149" t="s">
        <v>923</v>
      </c>
      <c r="O523" s="141"/>
      <c r="P523" s="141"/>
      <c r="Q523" s="141"/>
      <c r="R523" s="141"/>
    </row>
    <row r="524" spans="1:18" ht="15">
      <c r="A524" s="14"/>
      <c r="B524" s="146" t="str">
        <f t="shared" si="91"/>
        <v>IYUNO</v>
      </c>
      <c r="C524" s="141"/>
      <c r="D524" s="141"/>
      <c r="E524" s="141"/>
      <c r="F524" s="141"/>
      <c r="G524" s="3"/>
      <c r="H524" s="175" t="s">
        <v>489</v>
      </c>
      <c r="I524" s="141"/>
      <c r="J524" s="141"/>
      <c r="K524" s="141"/>
      <c r="L524" s="141"/>
      <c r="M524" s="99"/>
      <c r="N524" s="155" t="s">
        <v>489</v>
      </c>
      <c r="O524" s="141"/>
      <c r="P524" s="141"/>
      <c r="Q524" s="141"/>
      <c r="R524" s="141"/>
    </row>
    <row r="525" spans="1:18" ht="12.75">
      <c r="A525" s="14"/>
      <c r="B525" s="42" t="str">
        <f t="shared" si="91"/>
        <v/>
      </c>
      <c r="C525" s="10" t="str">
        <f t="shared" ref="C525:C528" si="92">UPPER(I525)</f>
        <v/>
      </c>
      <c r="D525" s="42"/>
      <c r="E525" s="57" t="str">
        <f t="shared" ref="E525:E534" si="93">UPPER(K525)</f>
        <v/>
      </c>
      <c r="F525" s="59"/>
      <c r="G525" s="3"/>
      <c r="H525" s="73"/>
      <c r="I525" s="99"/>
      <c r="J525" s="73"/>
      <c r="K525" s="73"/>
      <c r="L525" s="73"/>
      <c r="M525" s="99"/>
      <c r="N525" s="8"/>
      <c r="O525" s="21"/>
      <c r="P525" s="3"/>
      <c r="Q525" s="3"/>
      <c r="R525" s="3"/>
    </row>
    <row r="526" spans="1:18" ht="12.75">
      <c r="A526" s="14"/>
      <c r="B526" s="42"/>
      <c r="C526" s="10" t="str">
        <f t="shared" si="92"/>
        <v>MEDIA OPERATIONS SUPERVISOR</v>
      </c>
      <c r="D526" s="42"/>
      <c r="E526" s="57" t="str">
        <f t="shared" si="93"/>
        <v>JINWOO YANG</v>
      </c>
      <c r="F526" s="59"/>
      <c r="G526" s="3"/>
      <c r="H526" s="73"/>
      <c r="I526" s="99" t="s">
        <v>490</v>
      </c>
      <c r="J526" s="73"/>
      <c r="K526" s="73" t="s">
        <v>491</v>
      </c>
      <c r="L526" s="73"/>
      <c r="M526" s="99"/>
      <c r="N526" s="8"/>
      <c r="O526" s="21" t="s">
        <v>930</v>
      </c>
      <c r="P526" s="3"/>
      <c r="Q526" s="3" t="s">
        <v>931</v>
      </c>
      <c r="R526" s="3"/>
    </row>
    <row r="527" spans="1:18" ht="12.75">
      <c r="A527" s="14"/>
      <c r="B527" s="42"/>
      <c r="C527" s="10" t="str">
        <f t="shared" si="92"/>
        <v/>
      </c>
      <c r="D527" s="42"/>
      <c r="E527" s="57" t="str">
        <f t="shared" si="93"/>
        <v/>
      </c>
      <c r="F527" s="59"/>
      <c r="G527" s="3"/>
      <c r="H527" s="73"/>
      <c r="I527" s="99"/>
      <c r="J527" s="73"/>
      <c r="K527" s="73"/>
      <c r="L527" s="73"/>
      <c r="M527" s="99"/>
      <c r="N527" s="8"/>
      <c r="O527" s="21"/>
      <c r="P527" s="3"/>
      <c r="Q527" s="3"/>
      <c r="R527" s="3"/>
    </row>
    <row r="528" spans="1:18" ht="12.75">
      <c r="A528" s="14"/>
      <c r="B528" s="42"/>
      <c r="C528" s="10" t="str">
        <f t="shared" si="92"/>
        <v>PROJECT MANAGER</v>
      </c>
      <c r="D528" s="42"/>
      <c r="E528" s="57" t="str">
        <f t="shared" si="93"/>
        <v>WONJEONG SONG</v>
      </c>
      <c r="F528" s="59"/>
      <c r="G528" s="3"/>
      <c r="H528" s="73"/>
      <c r="I528" s="99" t="s">
        <v>492</v>
      </c>
      <c r="J528" s="73"/>
      <c r="K528" s="73" t="s">
        <v>493</v>
      </c>
      <c r="L528" s="73"/>
      <c r="M528" s="99"/>
      <c r="N528" s="8"/>
      <c r="O528" s="21" t="s">
        <v>932</v>
      </c>
      <c r="P528" s="3"/>
      <c r="Q528" s="3" t="s">
        <v>933</v>
      </c>
      <c r="R528" s="3"/>
    </row>
    <row r="529" spans="1:18" ht="12.75">
      <c r="A529" s="14"/>
      <c r="B529" s="42" t="str">
        <f t="shared" ref="B529:C529" si="94">UPPER(H529)</f>
        <v/>
      </c>
      <c r="C529" s="10" t="str">
        <f t="shared" si="94"/>
        <v/>
      </c>
      <c r="D529" s="42"/>
      <c r="E529" s="57" t="str">
        <f t="shared" si="93"/>
        <v/>
      </c>
      <c r="F529" s="59"/>
      <c r="G529" s="3"/>
      <c r="H529" s="73"/>
      <c r="I529" s="99"/>
      <c r="J529" s="73"/>
      <c r="K529" s="73"/>
      <c r="L529" s="73"/>
      <c r="M529" s="99"/>
      <c r="N529" s="8"/>
      <c r="O529" s="21"/>
      <c r="P529" s="3"/>
      <c r="Q529" s="3"/>
      <c r="R529" s="3"/>
    </row>
    <row r="530" spans="1:18" ht="12.75">
      <c r="A530" s="14"/>
      <c r="B530" s="42" t="str">
        <f t="shared" ref="B530:C530" si="95">UPPER(H530)</f>
        <v/>
      </c>
      <c r="C530" s="10" t="str">
        <f t="shared" si="95"/>
        <v>VIDEO EDITOR</v>
      </c>
      <c r="D530" s="42"/>
      <c r="E530" s="57" t="str">
        <f t="shared" si="93"/>
        <v>SANGYOUNG CHO</v>
      </c>
      <c r="F530" s="59"/>
      <c r="G530" s="3"/>
      <c r="H530" s="73"/>
      <c r="I530" s="99" t="s">
        <v>494</v>
      </c>
      <c r="J530" s="73"/>
      <c r="K530" s="73" t="s">
        <v>495</v>
      </c>
      <c r="L530" s="73"/>
      <c r="M530" s="99"/>
      <c r="N530" s="8"/>
      <c r="O530" s="21" t="s">
        <v>934</v>
      </c>
      <c r="P530" s="3"/>
      <c r="Q530" s="3" t="s">
        <v>935</v>
      </c>
      <c r="R530" s="3"/>
    </row>
    <row r="531" spans="1:18" ht="12.75">
      <c r="A531" s="14"/>
      <c r="B531" s="42"/>
      <c r="C531" s="10" t="str">
        <f t="shared" ref="C531:C534" si="96">UPPER(I531)</f>
        <v/>
      </c>
      <c r="D531" s="42"/>
      <c r="E531" s="57" t="str">
        <f t="shared" si="93"/>
        <v>JINAH JEONG</v>
      </c>
      <c r="F531" s="59"/>
      <c r="G531" s="3"/>
      <c r="H531" s="73"/>
      <c r="I531" s="99"/>
      <c r="J531" s="73"/>
      <c r="K531" s="73" t="s">
        <v>496</v>
      </c>
      <c r="L531" s="73"/>
      <c r="M531" s="99"/>
      <c r="N531" s="8"/>
      <c r="O531" s="21"/>
      <c r="P531" s="3"/>
      <c r="Q531" s="3" t="s">
        <v>936</v>
      </c>
      <c r="R531" s="3"/>
    </row>
    <row r="532" spans="1:18" ht="12.75">
      <c r="A532" s="14"/>
      <c r="B532" s="42"/>
      <c r="C532" s="10" t="str">
        <f t="shared" si="96"/>
        <v/>
      </c>
      <c r="D532" s="42"/>
      <c r="E532" s="57" t="str">
        <f t="shared" si="93"/>
        <v>SONGI YOON</v>
      </c>
      <c r="F532" s="59"/>
      <c r="G532" s="3"/>
      <c r="H532" s="73"/>
      <c r="I532" s="99"/>
      <c r="J532" s="73"/>
      <c r="K532" s="73" t="s">
        <v>497</v>
      </c>
      <c r="L532" s="73"/>
      <c r="M532" s="99"/>
      <c r="N532" s="8"/>
      <c r="O532" s="21"/>
      <c r="P532" s="3"/>
      <c r="Q532" s="3" t="s">
        <v>937</v>
      </c>
      <c r="R532" s="3"/>
    </row>
    <row r="533" spans="1:18" ht="12.75">
      <c r="A533" s="14"/>
      <c r="B533" s="42"/>
      <c r="C533" s="10" t="str">
        <f t="shared" si="96"/>
        <v/>
      </c>
      <c r="D533" s="42"/>
      <c r="E533" s="57" t="str">
        <f t="shared" si="93"/>
        <v/>
      </c>
      <c r="F533" s="59"/>
      <c r="G533" s="3"/>
      <c r="H533" s="73"/>
      <c r="I533" s="99"/>
      <c r="J533" s="73"/>
      <c r="K533" s="73"/>
      <c r="L533" s="73"/>
      <c r="M533" s="99"/>
      <c r="N533" s="8"/>
      <c r="O533" s="21"/>
      <c r="P533" s="3"/>
      <c r="Q533" s="3"/>
      <c r="R533" s="3"/>
    </row>
    <row r="534" spans="1:18" ht="12.75">
      <c r="A534" s="14"/>
      <c r="B534" s="42"/>
      <c r="C534" s="10" t="str">
        <f t="shared" si="96"/>
        <v>ASSET MANAGER</v>
      </c>
      <c r="D534" s="42"/>
      <c r="E534" s="57" t="str">
        <f t="shared" si="93"/>
        <v>SANGMIN PARK</v>
      </c>
      <c r="F534" s="59"/>
      <c r="G534" s="3"/>
      <c r="H534" s="73"/>
      <c r="I534" s="99" t="s">
        <v>498</v>
      </c>
      <c r="J534" s="73"/>
      <c r="K534" s="73" t="s">
        <v>499</v>
      </c>
      <c r="L534" s="73"/>
      <c r="M534" s="99"/>
      <c r="N534" s="8"/>
      <c r="O534" s="21" t="s">
        <v>938</v>
      </c>
      <c r="P534" s="3"/>
      <c r="Q534" s="3" t="s">
        <v>939</v>
      </c>
      <c r="R534" s="3"/>
    </row>
    <row r="535" spans="1:18" ht="12.75">
      <c r="A535" s="14"/>
      <c r="B535" s="42"/>
      <c r="C535" s="10"/>
      <c r="D535" s="42"/>
      <c r="E535" s="57"/>
      <c r="F535" s="59"/>
      <c r="G535" s="3"/>
      <c r="H535" s="73"/>
      <c r="I535" s="99"/>
      <c r="J535" s="73"/>
      <c r="K535" s="73"/>
      <c r="L535" s="73"/>
      <c r="M535" s="99"/>
      <c r="N535" s="99"/>
      <c r="O535" s="99"/>
      <c r="P535" s="73"/>
      <c r="Q535" s="73"/>
      <c r="R535" s="73"/>
    </row>
    <row r="536" spans="1:18" ht="12.75">
      <c r="A536" s="14"/>
      <c r="B536" s="11"/>
      <c r="C536" s="12"/>
      <c r="D536" s="11"/>
      <c r="E536" s="11"/>
      <c r="F536" s="11"/>
      <c r="G536" s="3"/>
      <c r="H536" s="73"/>
      <c r="I536" s="99"/>
      <c r="J536" s="73"/>
      <c r="K536" s="109"/>
      <c r="L536" s="73"/>
      <c r="M536" s="99"/>
      <c r="N536" s="99"/>
      <c r="O536" s="99"/>
      <c r="P536" s="73"/>
      <c r="Q536" s="73"/>
      <c r="R536" s="73"/>
    </row>
    <row r="537" spans="1:18" ht="15">
      <c r="A537" s="14"/>
      <c r="B537" s="6"/>
      <c r="C537" s="6"/>
      <c r="D537" s="6"/>
      <c r="E537" s="6"/>
      <c r="F537" s="6"/>
      <c r="G537" s="3"/>
      <c r="H537" s="96"/>
      <c r="I537" s="96"/>
      <c r="J537" s="96"/>
      <c r="K537" s="96"/>
      <c r="L537" s="96"/>
      <c r="M537" s="99"/>
      <c r="N537" s="99"/>
      <c r="O537" s="99"/>
      <c r="P537" s="73"/>
      <c r="Q537" s="73"/>
      <c r="R537" s="73"/>
    </row>
    <row r="538" spans="1:18" ht="18">
      <c r="A538" s="14"/>
      <c r="B538" s="150" t="str">
        <f>UPPER(H538)</f>
        <v>TENCENT VIDEO</v>
      </c>
      <c r="C538" s="141"/>
      <c r="D538" s="141"/>
      <c r="E538" s="141"/>
      <c r="F538" s="141"/>
      <c r="G538" s="28"/>
      <c r="H538" s="173" t="s">
        <v>500</v>
      </c>
      <c r="I538" s="141"/>
      <c r="J538" s="141"/>
      <c r="K538" s="141"/>
      <c r="L538" s="141"/>
      <c r="M538" s="112"/>
      <c r="N538" s="149" t="s">
        <v>500</v>
      </c>
      <c r="O538" s="141"/>
      <c r="P538" s="141"/>
      <c r="Q538" s="141"/>
      <c r="R538" s="141"/>
    </row>
    <row r="539" spans="1:18" ht="12.75">
      <c r="A539" s="14"/>
      <c r="B539" s="9"/>
      <c r="C539" s="10" t="str">
        <f t="shared" ref="C539:C559" si="97">UPPER(I539)</f>
        <v>BUSINESS DIRECTOR</v>
      </c>
      <c r="D539" s="9"/>
      <c r="E539" s="9" t="str">
        <f t="shared" ref="E539:E561" si="98">UPPER(K539)</f>
        <v>VERN WANG</v>
      </c>
      <c r="F539" s="9"/>
      <c r="G539" s="3"/>
      <c r="H539" s="73"/>
      <c r="I539" s="99" t="s">
        <v>501</v>
      </c>
      <c r="J539" s="73"/>
      <c r="K539" s="100" t="s">
        <v>502</v>
      </c>
      <c r="L539" s="73"/>
      <c r="M539" s="99"/>
      <c r="N539" s="99"/>
      <c r="O539" s="8" t="s">
        <v>501</v>
      </c>
      <c r="P539" s="3"/>
      <c r="Q539" s="2" t="s">
        <v>502</v>
      </c>
      <c r="R539" s="73"/>
    </row>
    <row r="540" spans="1:18" ht="12.75">
      <c r="A540" s="14"/>
      <c r="B540" s="9"/>
      <c r="C540" s="10" t="str">
        <f t="shared" si="97"/>
        <v/>
      </c>
      <c r="D540" s="9"/>
      <c r="E540" s="9" t="str">
        <f t="shared" si="98"/>
        <v>ANN WANG</v>
      </c>
      <c r="F540" s="9"/>
      <c r="G540" s="3"/>
      <c r="H540" s="73"/>
      <c r="I540" s="99"/>
      <c r="J540" s="73"/>
      <c r="K540" s="100" t="s">
        <v>503</v>
      </c>
      <c r="L540" s="110"/>
      <c r="M540" s="110"/>
      <c r="N540" s="110"/>
      <c r="O540" s="8"/>
      <c r="P540" s="3"/>
      <c r="Q540" s="2" t="s">
        <v>503</v>
      </c>
      <c r="R540" s="73"/>
    </row>
    <row r="541" spans="1:18" ht="12.75">
      <c r="A541" s="14"/>
      <c r="B541" s="9"/>
      <c r="C541" s="10" t="str">
        <f t="shared" si="97"/>
        <v>PRODUCER</v>
      </c>
      <c r="D541" s="9"/>
      <c r="E541" s="9" t="str">
        <f t="shared" si="98"/>
        <v>LEEGER LIU</v>
      </c>
      <c r="F541" s="9"/>
      <c r="G541" s="3"/>
      <c r="H541" s="73"/>
      <c r="I541" s="101" t="s">
        <v>504</v>
      </c>
      <c r="J541" s="73"/>
      <c r="K541" s="100" t="s">
        <v>505</v>
      </c>
      <c r="L541" s="110"/>
      <c r="M541" s="110"/>
      <c r="N541" s="110"/>
      <c r="O541" s="36" t="s">
        <v>504</v>
      </c>
      <c r="P541" s="3"/>
      <c r="Q541" s="2" t="s">
        <v>505</v>
      </c>
      <c r="R541" s="73"/>
    </row>
    <row r="542" spans="1:18" ht="12.75">
      <c r="A542" s="14"/>
      <c r="B542" s="9"/>
      <c r="C542" s="10" t="str">
        <f t="shared" si="97"/>
        <v/>
      </c>
      <c r="D542" s="9"/>
      <c r="E542" s="9" t="str">
        <f t="shared" si="98"/>
        <v>ANGEL GENG</v>
      </c>
      <c r="F542" s="9"/>
      <c r="G542" s="3"/>
      <c r="H542" s="73"/>
      <c r="I542" s="99"/>
      <c r="J542" s="73"/>
      <c r="K542" s="100" t="s">
        <v>506</v>
      </c>
      <c r="L542" s="110"/>
      <c r="M542" s="110"/>
      <c r="N542" s="110"/>
      <c r="O542" s="8"/>
      <c r="P542" s="3"/>
      <c r="Q542" s="2" t="s">
        <v>506</v>
      </c>
      <c r="R542" s="73"/>
    </row>
    <row r="543" spans="1:18" ht="12.75">
      <c r="A543" s="14"/>
      <c r="B543" s="9"/>
      <c r="C543" s="10" t="str">
        <f t="shared" si="97"/>
        <v/>
      </c>
      <c r="D543" s="9"/>
      <c r="E543" s="9" t="str">
        <f t="shared" si="98"/>
        <v>LILLIANS LI</v>
      </c>
      <c r="F543" s="9"/>
      <c r="G543" s="3"/>
      <c r="H543" s="73"/>
      <c r="I543" s="99"/>
      <c r="J543" s="73"/>
      <c r="K543" s="100" t="s">
        <v>507</v>
      </c>
      <c r="L543" s="120"/>
      <c r="M543" s="120"/>
      <c r="N543" s="120"/>
      <c r="O543" s="8"/>
      <c r="P543" s="3"/>
      <c r="Q543" s="2" t="s">
        <v>507</v>
      </c>
      <c r="R543" s="73"/>
    </row>
    <row r="544" spans="1:18" ht="12.75">
      <c r="A544" s="14"/>
      <c r="B544" s="9"/>
      <c r="C544" s="10" t="str">
        <f t="shared" si="97"/>
        <v>PROGRAMMING EDITOR</v>
      </c>
      <c r="D544" s="9"/>
      <c r="E544" s="9" t="str">
        <f t="shared" si="98"/>
        <v>XINCI CHANG</v>
      </c>
      <c r="F544" s="9"/>
      <c r="G544" s="3"/>
      <c r="H544" s="73"/>
      <c r="I544" s="101" t="s">
        <v>508</v>
      </c>
      <c r="J544" s="73"/>
      <c r="K544" s="100" t="s">
        <v>509</v>
      </c>
      <c r="L544" s="110"/>
      <c r="M544" s="110"/>
      <c r="N544" s="110"/>
      <c r="O544" s="36" t="s">
        <v>508</v>
      </c>
      <c r="P544" s="3"/>
      <c r="Q544" s="2" t="s">
        <v>509</v>
      </c>
      <c r="R544" s="73"/>
    </row>
    <row r="545" spans="1:18" ht="12.75">
      <c r="A545" s="14"/>
      <c r="B545" s="9"/>
      <c r="C545" s="10" t="str">
        <f t="shared" si="97"/>
        <v/>
      </c>
      <c r="D545" s="9"/>
      <c r="E545" s="9" t="str">
        <f t="shared" si="98"/>
        <v>NAIYUE HU</v>
      </c>
      <c r="F545" s="9"/>
      <c r="G545" s="3"/>
      <c r="H545" s="73"/>
      <c r="I545" s="99"/>
      <c r="J545" s="73"/>
      <c r="K545" s="100" t="s">
        <v>510</v>
      </c>
      <c r="L545" s="110"/>
      <c r="M545" s="110"/>
      <c r="N545" s="110"/>
      <c r="O545" s="8"/>
      <c r="P545" s="3"/>
      <c r="Q545" s="2" t="s">
        <v>510</v>
      </c>
      <c r="R545" s="73"/>
    </row>
    <row r="546" spans="1:18" ht="12.75">
      <c r="A546" s="14"/>
      <c r="B546" s="9"/>
      <c r="C546" s="10" t="str">
        <f t="shared" si="97"/>
        <v/>
      </c>
      <c r="D546" s="9"/>
      <c r="E546" s="9" t="str">
        <f t="shared" si="98"/>
        <v>JING LIN</v>
      </c>
      <c r="F546" s="9"/>
      <c r="G546" s="3"/>
      <c r="H546" s="73"/>
      <c r="I546" s="99"/>
      <c r="J546" s="73"/>
      <c r="K546" s="100" t="s">
        <v>511</v>
      </c>
      <c r="L546" s="110"/>
      <c r="M546" s="110"/>
      <c r="N546" s="110"/>
      <c r="O546" s="8"/>
      <c r="P546" s="3"/>
      <c r="Q546" s="2" t="s">
        <v>511</v>
      </c>
      <c r="R546" s="73"/>
    </row>
    <row r="547" spans="1:18" ht="12.75">
      <c r="A547" s="14"/>
      <c r="B547" s="9"/>
      <c r="C547" s="10" t="str">
        <f t="shared" si="97"/>
        <v/>
      </c>
      <c r="D547" s="9"/>
      <c r="E547" s="9" t="str">
        <f t="shared" si="98"/>
        <v>YOYO GAO</v>
      </c>
      <c r="F547" s="9"/>
      <c r="G547" s="3"/>
      <c r="H547" s="73"/>
      <c r="I547" s="99"/>
      <c r="J547" s="73"/>
      <c r="K547" s="100" t="s">
        <v>512</v>
      </c>
      <c r="L547" s="110"/>
      <c r="M547" s="110"/>
      <c r="N547" s="110"/>
      <c r="O547" s="8"/>
      <c r="P547" s="3"/>
      <c r="Q547" s="2" t="s">
        <v>512</v>
      </c>
      <c r="R547" s="73"/>
    </row>
    <row r="548" spans="1:18" ht="12.75">
      <c r="A548" s="14"/>
      <c r="B548" s="9"/>
      <c r="C548" s="10" t="str">
        <f t="shared" si="97"/>
        <v/>
      </c>
      <c r="D548" s="9"/>
      <c r="E548" s="9" t="str">
        <f t="shared" si="98"/>
        <v>KRYSTAL YANG</v>
      </c>
      <c r="F548" s="9"/>
      <c r="G548" s="3"/>
      <c r="H548" s="73"/>
      <c r="I548" s="99"/>
      <c r="J548" s="73"/>
      <c r="K548" s="100" t="s">
        <v>513</v>
      </c>
      <c r="L548" s="110"/>
      <c r="M548" s="110"/>
      <c r="N548" s="110"/>
      <c r="O548" s="8"/>
      <c r="P548" s="3"/>
      <c r="Q548" s="2" t="s">
        <v>513</v>
      </c>
      <c r="R548" s="73"/>
    </row>
    <row r="549" spans="1:18" ht="12.75">
      <c r="A549" s="14"/>
      <c r="B549" s="9"/>
      <c r="C549" s="10" t="str">
        <f t="shared" si="97"/>
        <v/>
      </c>
      <c r="D549" s="9"/>
      <c r="E549" s="9" t="str">
        <f t="shared" si="98"/>
        <v>BETTY MEI</v>
      </c>
      <c r="F549" s="9"/>
      <c r="G549" s="3"/>
      <c r="H549" s="73"/>
      <c r="I549" s="99"/>
      <c r="J549" s="73"/>
      <c r="K549" s="100" t="s">
        <v>514</v>
      </c>
      <c r="L549" s="110"/>
      <c r="M549" s="110"/>
      <c r="N549" s="110"/>
      <c r="O549" s="8"/>
      <c r="P549" s="3"/>
      <c r="Q549" s="2" t="s">
        <v>514</v>
      </c>
      <c r="R549" s="73"/>
    </row>
    <row r="550" spans="1:18" ht="12.75">
      <c r="A550" s="14"/>
      <c r="B550" s="9"/>
      <c r="C550" s="10" t="str">
        <f t="shared" si="97"/>
        <v/>
      </c>
      <c r="D550" s="9"/>
      <c r="E550" s="9" t="str">
        <f t="shared" si="98"/>
        <v>RHEA LIU</v>
      </c>
      <c r="F550" s="9"/>
      <c r="G550" s="3"/>
      <c r="H550" s="73"/>
      <c r="I550" s="99"/>
      <c r="J550" s="73"/>
      <c r="K550" s="100" t="s">
        <v>515</v>
      </c>
      <c r="L550" s="110"/>
      <c r="M550" s="110"/>
      <c r="N550" s="110"/>
      <c r="O550" s="8"/>
      <c r="P550" s="3"/>
      <c r="Q550" s="2" t="s">
        <v>515</v>
      </c>
      <c r="R550" s="73"/>
    </row>
    <row r="551" spans="1:18" ht="12.75">
      <c r="A551" s="14"/>
      <c r="B551" s="9"/>
      <c r="C551" s="10" t="str">
        <f t="shared" si="97"/>
        <v/>
      </c>
      <c r="D551" s="9"/>
      <c r="E551" s="9" t="str">
        <f t="shared" si="98"/>
        <v>ZHENGDAO CHEN</v>
      </c>
      <c r="F551" s="9"/>
      <c r="G551" s="3"/>
      <c r="H551" s="73"/>
      <c r="I551" s="99"/>
      <c r="J551" s="73"/>
      <c r="K551" s="100" t="s">
        <v>516</v>
      </c>
      <c r="L551" s="73"/>
      <c r="M551" s="99"/>
      <c r="N551" s="99"/>
      <c r="O551" s="8"/>
      <c r="P551" s="3"/>
      <c r="Q551" s="2" t="s">
        <v>516</v>
      </c>
      <c r="R551" s="73"/>
    </row>
    <row r="552" spans="1:18" ht="12.75">
      <c r="A552" s="14"/>
      <c r="B552" s="9"/>
      <c r="C552" s="10" t="str">
        <f t="shared" si="97"/>
        <v>BUSINESS EDITOR</v>
      </c>
      <c r="D552" s="9"/>
      <c r="E552" s="9" t="str">
        <f t="shared" si="98"/>
        <v>LAINEY LIU</v>
      </c>
      <c r="F552" s="9"/>
      <c r="G552" s="3"/>
      <c r="H552" s="73"/>
      <c r="I552" s="101" t="s">
        <v>517</v>
      </c>
      <c r="J552" s="73"/>
      <c r="K552" s="100" t="s">
        <v>518</v>
      </c>
      <c r="L552" s="73"/>
      <c r="M552" s="99"/>
      <c r="N552" s="99"/>
      <c r="O552" s="36" t="s">
        <v>517</v>
      </c>
      <c r="P552" s="3"/>
      <c r="Q552" s="2" t="s">
        <v>518</v>
      </c>
      <c r="R552" s="73"/>
    </row>
    <row r="553" spans="1:18" ht="12.75">
      <c r="A553" s="14"/>
      <c r="B553" s="9"/>
      <c r="C553" s="10" t="str">
        <f t="shared" si="97"/>
        <v/>
      </c>
      <c r="D553" s="9"/>
      <c r="E553" s="9" t="str">
        <f t="shared" si="98"/>
        <v>DEE ZHANG</v>
      </c>
      <c r="F553" s="9"/>
      <c r="G553" s="3"/>
      <c r="H553" s="73"/>
      <c r="I553" s="99"/>
      <c r="J553" s="73"/>
      <c r="K553" s="100" t="s">
        <v>519</v>
      </c>
      <c r="L553" s="73"/>
      <c r="M553" s="99"/>
      <c r="N553" s="99"/>
      <c r="O553" s="8"/>
      <c r="P553" s="3"/>
      <c r="Q553" s="2" t="s">
        <v>519</v>
      </c>
      <c r="R553" s="73"/>
    </row>
    <row r="554" spans="1:18" ht="12.75">
      <c r="A554" s="14"/>
      <c r="B554" s="9"/>
      <c r="C554" s="10" t="str">
        <f t="shared" si="97"/>
        <v>LEGAL</v>
      </c>
      <c r="D554" s="9"/>
      <c r="E554" s="9" t="str">
        <f t="shared" si="98"/>
        <v>KAN ZHANG</v>
      </c>
      <c r="F554" s="9"/>
      <c r="G554" s="3"/>
      <c r="H554" s="73"/>
      <c r="I554" s="101" t="s">
        <v>520</v>
      </c>
      <c r="J554" s="73"/>
      <c r="K554" s="100" t="s">
        <v>521</v>
      </c>
      <c r="L554" s="73"/>
      <c r="M554" s="99"/>
      <c r="N554" s="99"/>
      <c r="O554" s="36" t="s">
        <v>520</v>
      </c>
      <c r="P554" s="3"/>
      <c r="Q554" s="2" t="s">
        <v>521</v>
      </c>
      <c r="R554" s="73"/>
    </row>
    <row r="555" spans="1:18" ht="12.75">
      <c r="A555" s="14"/>
      <c r="B555" s="9"/>
      <c r="C555" s="10" t="str">
        <f t="shared" si="97"/>
        <v>FINANCE &amp; TAX</v>
      </c>
      <c r="D555" s="9"/>
      <c r="E555" s="9" t="str">
        <f t="shared" si="98"/>
        <v xml:space="preserve">XIAOCHEN ZHANG </v>
      </c>
      <c r="F555" s="9"/>
      <c r="G555" s="3"/>
      <c r="H555" s="73"/>
      <c r="I555" s="101" t="s">
        <v>522</v>
      </c>
      <c r="J555" s="73"/>
      <c r="K555" s="100" t="s">
        <v>523</v>
      </c>
      <c r="L555" s="73"/>
      <c r="M555" s="99"/>
      <c r="N555" s="99"/>
      <c r="O555" s="36" t="s">
        <v>522</v>
      </c>
      <c r="P555" s="3"/>
      <c r="Q555" s="2" t="s">
        <v>523</v>
      </c>
      <c r="R555" s="73"/>
    </row>
    <row r="556" spans="1:18" ht="12.75">
      <c r="A556" s="14"/>
      <c r="B556" s="9"/>
      <c r="C556" s="10" t="str">
        <f t="shared" si="97"/>
        <v/>
      </c>
      <c r="D556" s="9"/>
      <c r="E556" s="9" t="str">
        <f t="shared" si="98"/>
        <v>YING CHEN</v>
      </c>
      <c r="F556" s="9"/>
      <c r="G556" s="3"/>
      <c r="H556" s="73"/>
      <c r="I556" s="100"/>
      <c r="J556" s="73"/>
      <c r="K556" s="100" t="s">
        <v>524</v>
      </c>
      <c r="L556" s="73"/>
      <c r="M556" s="99"/>
      <c r="N556" s="99"/>
      <c r="O556" s="2"/>
      <c r="P556" s="3"/>
      <c r="Q556" s="2" t="s">
        <v>524</v>
      </c>
      <c r="R556" s="73"/>
    </row>
    <row r="557" spans="1:18" ht="12.75">
      <c r="A557" s="14"/>
      <c r="B557" s="9"/>
      <c r="C557" s="10" t="str">
        <f t="shared" si="97"/>
        <v>MARKETING</v>
      </c>
      <c r="D557" s="9"/>
      <c r="E557" s="9" t="str">
        <f t="shared" si="98"/>
        <v>TRACY CUI</v>
      </c>
      <c r="F557" s="9"/>
      <c r="G557" s="3"/>
      <c r="H557" s="73"/>
      <c r="I557" s="101" t="s">
        <v>525</v>
      </c>
      <c r="J557" s="73"/>
      <c r="K557" s="100" t="s">
        <v>526</v>
      </c>
      <c r="L557" s="73"/>
      <c r="M557" s="99"/>
      <c r="N557" s="99"/>
      <c r="O557" s="36" t="s">
        <v>525</v>
      </c>
      <c r="P557" s="3"/>
      <c r="Q557" s="2" t="s">
        <v>526</v>
      </c>
      <c r="R557" s="73"/>
    </row>
    <row r="558" spans="1:18" ht="12.75">
      <c r="A558" s="14"/>
      <c r="B558" s="9"/>
      <c r="C558" s="10" t="str">
        <f t="shared" si="97"/>
        <v/>
      </c>
      <c r="D558" s="9"/>
      <c r="E558" s="9" t="str">
        <f t="shared" si="98"/>
        <v>MENGJIE HE</v>
      </c>
      <c r="F558" s="9"/>
      <c r="G558" s="3"/>
      <c r="H558" s="73"/>
      <c r="I558" s="99"/>
      <c r="J558" s="73"/>
      <c r="K558" s="100" t="s">
        <v>527</v>
      </c>
      <c r="L558" s="73"/>
      <c r="M558" s="99"/>
      <c r="N558" s="99"/>
      <c r="O558" s="8"/>
      <c r="P558" s="3"/>
      <c r="Q558" s="2" t="s">
        <v>527</v>
      </c>
      <c r="R558" s="73"/>
    </row>
    <row r="559" spans="1:18" ht="12.75">
      <c r="A559" s="14"/>
      <c r="B559" s="9"/>
      <c r="C559" s="10" t="str">
        <f t="shared" si="97"/>
        <v/>
      </c>
      <c r="D559" s="9"/>
      <c r="E559" s="9" t="str">
        <f t="shared" si="98"/>
        <v>IRIS ZHANG</v>
      </c>
      <c r="F559" s="9"/>
      <c r="G559" s="3"/>
      <c r="H559" s="73"/>
      <c r="I559" s="99"/>
      <c r="J559" s="73"/>
      <c r="K559" s="100" t="s">
        <v>528</v>
      </c>
      <c r="L559" s="73"/>
      <c r="M559" s="99"/>
      <c r="N559" s="99"/>
      <c r="O559" s="8"/>
      <c r="P559" s="3"/>
      <c r="Q559" s="2" t="s">
        <v>528</v>
      </c>
      <c r="R559" s="73"/>
    </row>
    <row r="560" spans="1:18" ht="12.75">
      <c r="A560" s="14"/>
      <c r="B560" s="9"/>
      <c r="C560" s="10"/>
      <c r="D560" s="9"/>
      <c r="E560" s="9" t="str">
        <f t="shared" si="98"/>
        <v>AARON YU</v>
      </c>
      <c r="F560" s="9"/>
      <c r="G560" s="3"/>
      <c r="H560" s="73"/>
      <c r="I560" s="99"/>
      <c r="J560" s="73"/>
      <c r="K560" s="100" t="s">
        <v>529</v>
      </c>
      <c r="L560" s="73"/>
      <c r="M560" s="99"/>
      <c r="N560" s="99"/>
      <c r="O560" s="8"/>
      <c r="P560" s="3"/>
      <c r="Q560" s="2" t="s">
        <v>529</v>
      </c>
      <c r="R560" s="73"/>
    </row>
    <row r="561" spans="1:18" ht="12.75">
      <c r="A561" s="14"/>
      <c r="B561" s="9"/>
      <c r="C561" s="10"/>
      <c r="D561" s="9"/>
      <c r="E561" s="9" t="str">
        <f t="shared" si="98"/>
        <v/>
      </c>
      <c r="F561" s="9"/>
      <c r="G561" s="3"/>
      <c r="H561" s="73"/>
      <c r="I561" s="99"/>
      <c r="J561" s="73"/>
      <c r="K561" s="100"/>
      <c r="L561" s="73"/>
      <c r="M561" s="99"/>
      <c r="N561" s="99"/>
      <c r="O561" s="99"/>
      <c r="P561" s="73"/>
      <c r="Q561" s="73"/>
      <c r="R561" s="73"/>
    </row>
    <row r="562" spans="1:18" ht="12.75">
      <c r="A562" s="14"/>
      <c r="B562" s="11"/>
      <c r="C562" s="12"/>
      <c r="D562" s="11"/>
      <c r="E562" s="11"/>
      <c r="F562" s="11"/>
      <c r="G562" s="3"/>
      <c r="H562" s="73"/>
      <c r="I562" s="99"/>
      <c r="J562" s="73"/>
      <c r="K562" s="109"/>
      <c r="L562" s="73"/>
      <c r="M562" s="99"/>
      <c r="N562" s="99"/>
      <c r="O562" s="99"/>
      <c r="P562" s="73"/>
      <c r="Q562" s="73"/>
      <c r="R562" s="73"/>
    </row>
    <row r="563" spans="1:18" ht="12.75">
      <c r="A563" s="14"/>
      <c r="B563" s="61"/>
      <c r="C563" s="61"/>
      <c r="D563" s="61"/>
      <c r="E563" s="61"/>
      <c r="F563" s="61"/>
      <c r="G563" s="3"/>
      <c r="H563" s="110"/>
      <c r="I563" s="110"/>
      <c r="J563" s="110"/>
      <c r="K563" s="110"/>
      <c r="L563" s="110"/>
      <c r="M563" s="99"/>
      <c r="N563" s="99"/>
      <c r="O563" s="99"/>
      <c r="P563" s="73"/>
      <c r="Q563" s="73"/>
      <c r="R563" s="73"/>
    </row>
    <row r="564" spans="1:18" ht="12.75">
      <c r="A564" s="14"/>
      <c r="B564" s="143" t="str">
        <f t="shared" ref="B564:B567" si="99">UPPER(H564)</f>
        <v>PRODUCTION SERVICES PROVIDED BY</v>
      </c>
      <c r="C564" s="141"/>
      <c r="D564" s="141"/>
      <c r="E564" s="141"/>
      <c r="F564" s="141"/>
      <c r="G564" s="3"/>
      <c r="H564" s="177" t="s">
        <v>530</v>
      </c>
      <c r="I564" s="141"/>
      <c r="J564" s="141"/>
      <c r="K564" s="141"/>
      <c r="L564" s="141"/>
      <c r="M564" s="99"/>
      <c r="N564" s="145" t="s">
        <v>940</v>
      </c>
      <c r="O564" s="141"/>
      <c r="P564" s="141"/>
      <c r="Q564" s="141"/>
      <c r="R564" s="141"/>
    </row>
    <row r="565" spans="1:18" ht="15">
      <c r="A565" s="14"/>
      <c r="B565" s="146" t="str">
        <f t="shared" si="99"/>
        <v>THE MONK STUDIOS</v>
      </c>
      <c r="C565" s="141"/>
      <c r="D565" s="141"/>
      <c r="E565" s="141"/>
      <c r="F565" s="141"/>
      <c r="G565" s="8"/>
      <c r="H565" s="176" t="s">
        <v>202</v>
      </c>
      <c r="I565" s="141"/>
      <c r="J565" s="141"/>
      <c r="K565" s="141"/>
      <c r="L565" s="141"/>
      <c r="M565" s="99"/>
      <c r="N565" s="176" t="s">
        <v>202</v>
      </c>
      <c r="O565" s="141"/>
      <c r="P565" s="141"/>
      <c r="Q565" s="141"/>
      <c r="R565" s="141"/>
    </row>
    <row r="566" spans="1:18" ht="12.75">
      <c r="A566" s="14"/>
      <c r="B566" s="9" t="str">
        <f t="shared" si="99"/>
        <v/>
      </c>
      <c r="C566" s="10" t="str">
        <f>UPPER(I566)</f>
        <v/>
      </c>
      <c r="D566" s="9"/>
      <c r="E566" s="9" t="str">
        <f>UPPER(K566)</f>
        <v/>
      </c>
      <c r="F566" s="9"/>
      <c r="G566" s="3"/>
      <c r="H566" s="127"/>
      <c r="I566" s="99"/>
      <c r="J566" s="73"/>
      <c r="K566" s="109"/>
      <c r="L566" s="73"/>
      <c r="M566" s="99"/>
      <c r="N566" s="127"/>
      <c r="O566" s="99"/>
      <c r="P566" s="73"/>
      <c r="Q566" s="109"/>
      <c r="R566" s="73"/>
    </row>
    <row r="567" spans="1:18" ht="15">
      <c r="A567" s="14"/>
      <c r="B567" s="146" t="str">
        <f t="shared" si="99"/>
        <v>MANAGEMENT</v>
      </c>
      <c r="C567" s="141"/>
      <c r="D567" s="141"/>
      <c r="E567" s="141"/>
      <c r="F567" s="141"/>
      <c r="G567" s="3"/>
      <c r="H567" s="178" t="s">
        <v>392</v>
      </c>
      <c r="I567" s="141"/>
      <c r="J567" s="141"/>
      <c r="K567" s="141"/>
      <c r="L567" s="141"/>
      <c r="M567" s="99"/>
      <c r="N567" s="178" t="s">
        <v>392</v>
      </c>
      <c r="O567" s="141"/>
      <c r="P567" s="141"/>
      <c r="Q567" s="141"/>
      <c r="R567" s="141"/>
    </row>
    <row r="568" spans="1:18" ht="12.75">
      <c r="A568" s="14"/>
      <c r="B568" s="9"/>
      <c r="C568" s="10" t="str">
        <f t="shared" ref="C568:C591" si="100">UPPER(I568)</f>
        <v>PRODUCTION EXECUTIVE</v>
      </c>
      <c r="D568" s="9"/>
      <c r="E568" s="9" t="str">
        <f t="shared" ref="E568:E591" si="101">UPPER(K568)</f>
        <v>JUCK SOMSAMAN</v>
      </c>
      <c r="F568" s="9"/>
      <c r="G568" s="3"/>
      <c r="H568" s="109"/>
      <c r="I568" s="101" t="s">
        <v>531</v>
      </c>
      <c r="J568" s="73"/>
      <c r="K568" s="113" t="s">
        <v>532</v>
      </c>
      <c r="L568" s="73"/>
      <c r="M568" s="128"/>
      <c r="N568" s="109"/>
      <c r="O568" s="101" t="s">
        <v>531</v>
      </c>
      <c r="P568" s="73"/>
      <c r="Q568" s="113" t="s">
        <v>532</v>
      </c>
      <c r="R568" s="73"/>
    </row>
    <row r="569" spans="1:18" ht="12.75">
      <c r="A569" s="14"/>
      <c r="B569" s="9"/>
      <c r="C569" s="10" t="str">
        <f t="shared" si="100"/>
        <v/>
      </c>
      <c r="D569" s="9"/>
      <c r="E569" s="9" t="str">
        <f t="shared" si="101"/>
        <v/>
      </c>
      <c r="F569" s="9"/>
      <c r="G569" s="3"/>
      <c r="H569" s="109"/>
      <c r="I569" s="101"/>
      <c r="J569" s="73"/>
      <c r="K569" s="113"/>
      <c r="L569" s="73"/>
      <c r="M569" s="99"/>
      <c r="N569" s="109"/>
      <c r="O569" s="101"/>
      <c r="P569" s="73"/>
      <c r="Q569" s="113"/>
      <c r="R569" s="73"/>
    </row>
    <row r="570" spans="1:18" ht="12.75">
      <c r="A570" s="14"/>
      <c r="B570" s="9"/>
      <c r="C570" s="10" t="str">
        <f t="shared" si="100"/>
        <v>PRODUCTION MANAGER</v>
      </c>
      <c r="D570" s="9"/>
      <c r="E570" s="9" t="str">
        <f t="shared" si="101"/>
        <v>NAPASSARA CHAISUKDAMRONG</v>
      </c>
      <c r="F570" s="9"/>
      <c r="G570" s="3"/>
      <c r="H570" s="109"/>
      <c r="I570" s="101" t="s">
        <v>152</v>
      </c>
      <c r="J570" s="73"/>
      <c r="K570" s="113" t="s">
        <v>533</v>
      </c>
      <c r="L570" s="73"/>
      <c r="M570" s="99"/>
      <c r="N570" s="109"/>
      <c r="O570" s="101" t="s">
        <v>152</v>
      </c>
      <c r="P570" s="73"/>
      <c r="Q570" s="113" t="s">
        <v>533</v>
      </c>
      <c r="R570" s="73"/>
    </row>
    <row r="571" spans="1:18" ht="12.75">
      <c r="A571" s="14"/>
      <c r="B571" s="9"/>
      <c r="C571" s="10" t="str">
        <f t="shared" si="100"/>
        <v/>
      </c>
      <c r="D571" s="9"/>
      <c r="E571" s="9" t="str">
        <f t="shared" si="101"/>
        <v>RUJIRA POKSOMBOONKIJ</v>
      </c>
      <c r="F571" s="9"/>
      <c r="G571" s="3"/>
      <c r="H571" s="109"/>
      <c r="I571" s="101"/>
      <c r="J571" s="73"/>
      <c r="K571" s="113" t="s">
        <v>534</v>
      </c>
      <c r="L571" s="73"/>
      <c r="M571" s="99"/>
      <c r="N571" s="109"/>
      <c r="O571" s="101"/>
      <c r="P571" s="73"/>
      <c r="Q571" s="113" t="s">
        <v>534</v>
      </c>
      <c r="R571" s="73"/>
    </row>
    <row r="572" spans="1:18" ht="12.75">
      <c r="A572" s="14"/>
      <c r="B572" s="9"/>
      <c r="C572" s="10" t="str">
        <f t="shared" si="100"/>
        <v/>
      </c>
      <c r="D572" s="9"/>
      <c r="E572" s="9" t="str">
        <f t="shared" si="101"/>
        <v/>
      </c>
      <c r="F572" s="9"/>
      <c r="G572" s="3"/>
      <c r="H572" s="109"/>
      <c r="I572" s="101"/>
      <c r="J572" s="73"/>
      <c r="K572" s="129"/>
      <c r="L572" s="73"/>
      <c r="M572" s="99"/>
      <c r="N572" s="109"/>
      <c r="O572" s="101"/>
      <c r="P572" s="73"/>
      <c r="Q572" s="113"/>
      <c r="R572" s="73"/>
    </row>
    <row r="573" spans="1:18" ht="12.75">
      <c r="A573" s="14"/>
      <c r="B573" s="9"/>
      <c r="C573" s="10" t="str">
        <f t="shared" si="100"/>
        <v>CG SUPEVISOR</v>
      </c>
      <c r="D573" s="9"/>
      <c r="E573" s="9" t="str">
        <f t="shared" si="101"/>
        <v>KATHA NA BADALUNG</v>
      </c>
      <c r="F573" s="9"/>
      <c r="G573" s="3"/>
      <c r="H573" s="109"/>
      <c r="I573" s="101" t="s">
        <v>535</v>
      </c>
      <c r="J573" s="73"/>
      <c r="K573" s="129" t="s">
        <v>536</v>
      </c>
      <c r="L573" s="73"/>
      <c r="M573" s="99"/>
      <c r="N573" s="109"/>
      <c r="O573" s="101" t="s">
        <v>535</v>
      </c>
      <c r="P573" s="73"/>
      <c r="Q573" s="113" t="s">
        <v>536</v>
      </c>
      <c r="R573" s="73"/>
    </row>
    <row r="574" spans="1:18" ht="12.75">
      <c r="A574" s="14"/>
      <c r="B574" s="9"/>
      <c r="C574" s="10" t="str">
        <f t="shared" si="100"/>
        <v/>
      </c>
      <c r="D574" s="9"/>
      <c r="E574" s="9" t="str">
        <f t="shared" si="101"/>
        <v/>
      </c>
      <c r="F574" s="9"/>
      <c r="G574" s="3"/>
      <c r="H574" s="109"/>
      <c r="I574" s="101"/>
      <c r="J574" s="73"/>
      <c r="K574" s="113"/>
      <c r="L574" s="73"/>
      <c r="M574" s="99"/>
      <c r="N574" s="109"/>
      <c r="O574" s="101"/>
      <c r="P574" s="73"/>
      <c r="Q574" s="113"/>
      <c r="R574" s="73"/>
    </row>
    <row r="575" spans="1:18" ht="12.75">
      <c r="A575" s="14"/>
      <c r="B575" s="9"/>
      <c r="C575" s="10" t="str">
        <f t="shared" si="100"/>
        <v>PRODUCER</v>
      </c>
      <c r="D575" s="9"/>
      <c r="E575" s="9" t="str">
        <f t="shared" si="101"/>
        <v>BUDSARIN PANOMMA</v>
      </c>
      <c r="F575" s="9"/>
      <c r="G575" s="3"/>
      <c r="H575" s="109"/>
      <c r="I575" s="101" t="s">
        <v>504</v>
      </c>
      <c r="J575" s="73"/>
      <c r="K575" s="113" t="s">
        <v>537</v>
      </c>
      <c r="L575" s="73"/>
      <c r="M575" s="99"/>
      <c r="N575" s="109"/>
      <c r="O575" s="101" t="s">
        <v>504</v>
      </c>
      <c r="P575" s="73"/>
      <c r="Q575" s="113" t="s">
        <v>537</v>
      </c>
      <c r="R575" s="73"/>
    </row>
    <row r="576" spans="1:18" ht="12.75">
      <c r="A576" s="14"/>
      <c r="B576" s="9"/>
      <c r="C576" s="10" t="str">
        <f t="shared" si="100"/>
        <v/>
      </c>
      <c r="D576" s="9"/>
      <c r="E576" s="9" t="str">
        <f t="shared" si="101"/>
        <v/>
      </c>
      <c r="F576" s="9"/>
      <c r="G576" s="3"/>
      <c r="H576" s="109"/>
      <c r="I576" s="101"/>
      <c r="J576" s="73"/>
      <c r="K576" s="129"/>
      <c r="L576" s="73"/>
      <c r="M576" s="128"/>
      <c r="N576" s="109"/>
      <c r="O576" s="101"/>
      <c r="P576" s="73"/>
      <c r="Q576" s="113"/>
      <c r="R576" s="73"/>
    </row>
    <row r="577" spans="1:18" ht="12.75">
      <c r="A577" s="14"/>
      <c r="B577" s="9"/>
      <c r="C577" s="10" t="str">
        <f t="shared" si="100"/>
        <v>ASSET MANAGER</v>
      </c>
      <c r="D577" s="9"/>
      <c r="E577" s="9" t="str">
        <f t="shared" si="101"/>
        <v>PALAPAS NIMAWAN</v>
      </c>
      <c r="F577" s="9"/>
      <c r="G577" s="3"/>
      <c r="H577" s="109"/>
      <c r="I577" s="101" t="s">
        <v>498</v>
      </c>
      <c r="J577" s="73"/>
      <c r="K577" s="129" t="s">
        <v>538</v>
      </c>
      <c r="L577" s="73"/>
      <c r="M577" s="128"/>
      <c r="N577" s="109"/>
      <c r="O577" s="101" t="s">
        <v>498</v>
      </c>
      <c r="P577" s="73"/>
      <c r="Q577" s="113" t="s">
        <v>538</v>
      </c>
      <c r="R577" s="73"/>
    </row>
    <row r="578" spans="1:18" ht="12.75">
      <c r="A578" s="14"/>
      <c r="B578" s="9"/>
      <c r="C578" s="10" t="str">
        <f t="shared" si="100"/>
        <v>ANIMATION MANAGER</v>
      </c>
      <c r="D578" s="9"/>
      <c r="E578" s="9" t="str">
        <f t="shared" si="101"/>
        <v>PARINYA PONGSANGIAM</v>
      </c>
      <c r="F578" s="9"/>
      <c r="G578" s="3"/>
      <c r="H578" s="109"/>
      <c r="I578" s="101" t="s">
        <v>539</v>
      </c>
      <c r="J578" s="73"/>
      <c r="K578" s="129" t="s">
        <v>540</v>
      </c>
      <c r="L578" s="73"/>
      <c r="M578" s="99"/>
      <c r="N578" s="109"/>
      <c r="O578" s="101" t="s">
        <v>539</v>
      </c>
      <c r="P578" s="73"/>
      <c r="Q578" s="113" t="s">
        <v>540</v>
      </c>
      <c r="R578" s="73"/>
    </row>
    <row r="579" spans="1:18" ht="12.75">
      <c r="A579" s="14"/>
      <c r="B579" s="9"/>
      <c r="C579" s="10" t="str">
        <f t="shared" si="100"/>
        <v>CG MANAGER</v>
      </c>
      <c r="D579" s="9"/>
      <c r="E579" s="9" t="str">
        <f t="shared" si="101"/>
        <v>SASIPORN PANOMMA</v>
      </c>
      <c r="F579" s="9"/>
      <c r="G579" s="3"/>
      <c r="H579" s="109"/>
      <c r="I579" s="101" t="s">
        <v>541</v>
      </c>
      <c r="J579" s="73"/>
      <c r="K579" s="113" t="s">
        <v>542</v>
      </c>
      <c r="L579" s="73"/>
      <c r="M579" s="128"/>
      <c r="N579" s="109"/>
      <c r="O579" s="101" t="s">
        <v>541</v>
      </c>
      <c r="P579" s="73"/>
      <c r="Q579" s="113" t="s">
        <v>542</v>
      </c>
      <c r="R579" s="73"/>
    </row>
    <row r="580" spans="1:18" ht="12.75">
      <c r="A580" s="14"/>
      <c r="B580" s="9"/>
      <c r="C580" s="10" t="str">
        <f t="shared" si="100"/>
        <v/>
      </c>
      <c r="D580" s="9"/>
      <c r="E580" s="9" t="str">
        <f t="shared" si="101"/>
        <v/>
      </c>
      <c r="F580" s="9"/>
      <c r="G580" s="3"/>
      <c r="H580" s="109"/>
      <c r="I580" s="101"/>
      <c r="J580" s="73"/>
      <c r="K580" s="113"/>
      <c r="L580" s="73"/>
      <c r="M580" s="99"/>
      <c r="N580" s="109"/>
      <c r="O580" s="101"/>
      <c r="P580" s="73"/>
      <c r="Q580" s="113"/>
      <c r="R580" s="73"/>
    </row>
    <row r="581" spans="1:18" ht="12.75">
      <c r="A581" s="14"/>
      <c r="B581" s="9"/>
      <c r="C581" s="10" t="str">
        <f t="shared" si="100"/>
        <v>ASSET COORDINATOR</v>
      </c>
      <c r="D581" s="9"/>
      <c r="E581" s="9" t="str">
        <f t="shared" si="101"/>
        <v>CHUTCHAPHOL KHANTASOPHON</v>
      </c>
      <c r="F581" s="9"/>
      <c r="G581" s="3"/>
      <c r="H581" s="109"/>
      <c r="I581" s="101" t="s">
        <v>543</v>
      </c>
      <c r="J581" s="73"/>
      <c r="K581" s="113" t="s">
        <v>544</v>
      </c>
      <c r="L581" s="73"/>
      <c r="M581" s="99"/>
      <c r="N581" s="109"/>
      <c r="O581" s="101" t="s">
        <v>543</v>
      </c>
      <c r="P581" s="73"/>
      <c r="Q581" s="113" t="s">
        <v>544</v>
      </c>
      <c r="R581" s="73"/>
    </row>
    <row r="582" spans="1:18" ht="12.75">
      <c r="A582" s="14"/>
      <c r="B582" s="9"/>
      <c r="C582" s="10" t="str">
        <f t="shared" si="100"/>
        <v/>
      </c>
      <c r="D582" s="9"/>
      <c r="E582" s="9" t="str">
        <f t="shared" si="101"/>
        <v>WARISSARA PETSAKUL</v>
      </c>
      <c r="F582" s="9"/>
      <c r="G582" s="3"/>
      <c r="H582" s="109"/>
      <c r="I582" s="101"/>
      <c r="J582" s="73"/>
      <c r="K582" s="113" t="s">
        <v>545</v>
      </c>
      <c r="L582" s="73"/>
      <c r="M582" s="128"/>
      <c r="N582" s="109"/>
      <c r="O582" s="101"/>
      <c r="P582" s="73"/>
      <c r="Q582" s="113" t="s">
        <v>545</v>
      </c>
      <c r="R582" s="73"/>
    </row>
    <row r="583" spans="1:18" ht="12.75">
      <c r="A583" s="14"/>
      <c r="B583" s="9"/>
      <c r="C583" s="10" t="str">
        <f t="shared" si="100"/>
        <v>LAYOUT COORDINATOR</v>
      </c>
      <c r="D583" s="9"/>
      <c r="E583" s="9" t="str">
        <f t="shared" si="101"/>
        <v>PATSAWAN CHUASRITRAKUL</v>
      </c>
      <c r="F583" s="9"/>
      <c r="G583" s="3"/>
      <c r="H583" s="109"/>
      <c r="I583" s="101" t="s">
        <v>546</v>
      </c>
      <c r="J583" s="73"/>
      <c r="K583" s="113" t="s">
        <v>547</v>
      </c>
      <c r="L583" s="73"/>
      <c r="M583" s="99"/>
      <c r="N583" s="109"/>
      <c r="O583" s="101" t="s">
        <v>546</v>
      </c>
      <c r="P583" s="73"/>
      <c r="Q583" s="113" t="s">
        <v>547</v>
      </c>
      <c r="R583" s="73"/>
    </row>
    <row r="584" spans="1:18" ht="12.75">
      <c r="A584" s="14"/>
      <c r="B584" s="9"/>
      <c r="C584" s="10" t="str">
        <f t="shared" si="100"/>
        <v>ANIMATION COORDINATOR</v>
      </c>
      <c r="D584" s="9"/>
      <c r="E584" s="9" t="str">
        <f t="shared" si="101"/>
        <v>SAWITA STARPITCHAYANANT</v>
      </c>
      <c r="F584" s="9"/>
      <c r="G584" s="3"/>
      <c r="H584" s="109"/>
      <c r="I584" s="101" t="s">
        <v>548</v>
      </c>
      <c r="J584" s="73"/>
      <c r="K584" s="113" t="s">
        <v>549</v>
      </c>
      <c r="L584" s="73"/>
      <c r="M584" s="99"/>
      <c r="N584" s="109"/>
      <c r="O584" s="101" t="s">
        <v>548</v>
      </c>
      <c r="P584" s="73"/>
      <c r="Q584" s="113" t="s">
        <v>549</v>
      </c>
      <c r="R584" s="73"/>
    </row>
    <row r="585" spans="1:18" ht="12.75">
      <c r="A585" s="14"/>
      <c r="B585" s="9"/>
      <c r="C585" s="10" t="str">
        <f t="shared" si="100"/>
        <v/>
      </c>
      <c r="D585" s="9"/>
      <c r="E585" s="9" t="str">
        <f t="shared" si="101"/>
        <v>KUNLAPHAT JEERAMANEEMAI</v>
      </c>
      <c r="F585" s="9"/>
      <c r="G585" s="3"/>
      <c r="H585" s="109"/>
      <c r="I585" s="101"/>
      <c r="J585" s="73"/>
      <c r="K585" s="113" t="s">
        <v>550</v>
      </c>
      <c r="L585" s="73"/>
      <c r="M585" s="99"/>
      <c r="N585" s="109"/>
      <c r="O585" s="101"/>
      <c r="P585" s="73"/>
      <c r="Q585" s="113" t="s">
        <v>550</v>
      </c>
      <c r="R585" s="73"/>
    </row>
    <row r="586" spans="1:18" ht="12.75">
      <c r="A586" s="14"/>
      <c r="B586" s="9"/>
      <c r="C586" s="10" t="str">
        <f t="shared" si="100"/>
        <v/>
      </c>
      <c r="D586" s="9"/>
      <c r="E586" s="9" t="str">
        <f t="shared" si="101"/>
        <v>PUNYAWEE TUNGJAISUE</v>
      </c>
      <c r="F586" s="9"/>
      <c r="G586" s="3"/>
      <c r="H586" s="109"/>
      <c r="I586" s="101"/>
      <c r="J586" s="73"/>
      <c r="K586" s="113" t="s">
        <v>551</v>
      </c>
      <c r="L586" s="73"/>
      <c r="M586" s="99"/>
      <c r="N586" s="109"/>
      <c r="O586" s="101"/>
      <c r="P586" s="73"/>
      <c r="Q586" s="113" t="s">
        <v>551</v>
      </c>
      <c r="R586" s="73"/>
    </row>
    <row r="587" spans="1:18" ht="12.75">
      <c r="A587" s="14"/>
      <c r="B587" s="9"/>
      <c r="C587" s="10" t="str">
        <f t="shared" si="100"/>
        <v>ANIMATION PRODUCER</v>
      </c>
      <c r="D587" s="9"/>
      <c r="E587" s="9" t="str">
        <f t="shared" si="101"/>
        <v>WATCHARIN PHINGTHAVONGKUL</v>
      </c>
      <c r="F587" s="9"/>
      <c r="G587" s="3"/>
      <c r="H587" s="109"/>
      <c r="I587" s="101" t="s">
        <v>758</v>
      </c>
      <c r="J587" s="73"/>
      <c r="K587" s="113" t="s">
        <v>759</v>
      </c>
      <c r="L587" s="73"/>
      <c r="M587" s="99"/>
      <c r="N587" s="109"/>
      <c r="O587" s="101" t="s">
        <v>758</v>
      </c>
      <c r="P587" s="73"/>
      <c r="Q587" s="113" t="s">
        <v>759</v>
      </c>
      <c r="R587" s="73"/>
    </row>
    <row r="588" spans="1:18" ht="12.75">
      <c r="A588" s="14"/>
      <c r="B588" s="9"/>
      <c r="C588" s="10" t="str">
        <f t="shared" si="100"/>
        <v>ANIMATION COORDINATOR</v>
      </c>
      <c r="D588" s="9"/>
      <c r="E588" s="9" t="str">
        <f t="shared" si="101"/>
        <v>NANTIYA PHONGAM</v>
      </c>
      <c r="F588" s="9"/>
      <c r="G588" s="3"/>
      <c r="H588" s="109"/>
      <c r="I588" s="114" t="s">
        <v>548</v>
      </c>
      <c r="J588" s="73"/>
      <c r="K588" s="113" t="s">
        <v>760</v>
      </c>
      <c r="L588" s="73"/>
      <c r="M588" s="99"/>
      <c r="N588" s="109"/>
      <c r="O588" s="114" t="s">
        <v>548</v>
      </c>
      <c r="P588" s="73"/>
      <c r="Q588" s="113" t="s">
        <v>760</v>
      </c>
      <c r="R588" s="73"/>
    </row>
    <row r="589" spans="1:18" ht="12.75">
      <c r="A589" s="14"/>
      <c r="B589" s="9"/>
      <c r="C589" s="10" t="str">
        <f t="shared" si="100"/>
        <v>FX COORDINATOR</v>
      </c>
      <c r="D589" s="9"/>
      <c r="E589" s="9" t="str">
        <f t="shared" si="101"/>
        <v>NAVIPAS SUTTICHONSAKUL</v>
      </c>
      <c r="F589" s="9"/>
      <c r="G589" s="3"/>
      <c r="H589" s="109"/>
      <c r="I589" s="101" t="s">
        <v>552</v>
      </c>
      <c r="J589" s="73"/>
      <c r="K589" s="113" t="s">
        <v>553</v>
      </c>
      <c r="L589" s="73"/>
      <c r="M589" s="99"/>
      <c r="N589" s="109"/>
      <c r="O589" s="101" t="s">
        <v>552</v>
      </c>
      <c r="P589" s="73"/>
      <c r="Q589" s="113" t="s">
        <v>553</v>
      </c>
      <c r="R589" s="73"/>
    </row>
    <row r="590" spans="1:18" ht="12.75">
      <c r="A590" s="14"/>
      <c r="B590" s="9"/>
      <c r="C590" s="10" t="str">
        <f t="shared" si="100"/>
        <v>LRC COORDINATOR</v>
      </c>
      <c r="D590" s="9"/>
      <c r="E590" s="9" t="str">
        <f t="shared" si="101"/>
        <v>SUNIDA DANGTHONGKUM</v>
      </c>
      <c r="F590" s="9"/>
      <c r="G590" s="3"/>
      <c r="H590" s="109"/>
      <c r="I590" s="101" t="s">
        <v>554</v>
      </c>
      <c r="J590" s="73"/>
      <c r="K590" s="113" t="s">
        <v>555</v>
      </c>
      <c r="L590" s="73"/>
      <c r="M590" s="99"/>
      <c r="N590" s="109"/>
      <c r="O590" s="101" t="s">
        <v>554</v>
      </c>
      <c r="P590" s="73"/>
      <c r="Q590" s="113" t="s">
        <v>555</v>
      </c>
      <c r="R590" s="73"/>
    </row>
    <row r="591" spans="1:18" ht="12.75">
      <c r="A591" s="14"/>
      <c r="B591" s="9"/>
      <c r="C591" s="10" t="str">
        <f t="shared" si="100"/>
        <v>PIPELINE&amp;TD COORDINATOR</v>
      </c>
      <c r="D591" s="9"/>
      <c r="E591" s="9" t="str">
        <f t="shared" si="101"/>
        <v>DANUPHOL JONGARIYAKUL</v>
      </c>
      <c r="F591" s="9"/>
      <c r="G591" s="3"/>
      <c r="H591" s="109"/>
      <c r="I591" s="101" t="s">
        <v>556</v>
      </c>
      <c r="J591" s="73"/>
      <c r="K591" s="113" t="s">
        <v>557</v>
      </c>
      <c r="L591" s="73"/>
      <c r="M591" s="99"/>
      <c r="N591" s="109"/>
      <c r="O591" s="101" t="s">
        <v>556</v>
      </c>
      <c r="P591" s="73"/>
      <c r="Q591" s="113" t="s">
        <v>557</v>
      </c>
      <c r="R591" s="73"/>
    </row>
    <row r="592" spans="1:18" ht="12.75">
      <c r="A592" s="14"/>
      <c r="B592" s="9"/>
      <c r="C592" s="10"/>
      <c r="D592" s="9"/>
      <c r="E592" s="9"/>
      <c r="F592" s="9"/>
      <c r="G592" s="3"/>
      <c r="H592" s="109"/>
      <c r="I592" s="101"/>
      <c r="J592" s="73"/>
      <c r="K592" s="113"/>
      <c r="L592" s="73"/>
      <c r="M592" s="99"/>
      <c r="N592" s="109"/>
      <c r="O592" s="99"/>
      <c r="P592" s="73"/>
      <c r="Q592" s="109"/>
      <c r="R592" s="73"/>
    </row>
    <row r="593" spans="1:18" ht="12.75">
      <c r="A593" s="14"/>
      <c r="B593" s="11"/>
      <c r="C593" s="12" t="str">
        <f>UPPER(I593)</f>
        <v/>
      </c>
      <c r="D593" s="11"/>
      <c r="E593" s="11" t="str">
        <f>UPPER(K593)</f>
        <v/>
      </c>
      <c r="F593" s="11"/>
      <c r="G593" s="3"/>
      <c r="H593" s="109"/>
      <c r="I593" s="99"/>
      <c r="J593" s="73"/>
      <c r="K593" s="109"/>
      <c r="L593" s="73"/>
      <c r="M593" s="99"/>
      <c r="N593" s="99"/>
      <c r="O593" s="99"/>
      <c r="P593" s="73"/>
      <c r="Q593" s="73"/>
      <c r="R593" s="73"/>
    </row>
    <row r="594" spans="1:18" ht="15">
      <c r="A594" s="14"/>
      <c r="B594" s="6"/>
      <c r="C594" s="6"/>
      <c r="D594" s="6"/>
      <c r="E594" s="6"/>
      <c r="F594" s="6"/>
      <c r="G594" s="3"/>
      <c r="H594" s="122"/>
      <c r="I594" s="96"/>
      <c r="J594" s="96"/>
      <c r="K594" s="96"/>
      <c r="L594" s="122"/>
      <c r="M594" s="99"/>
      <c r="N594" s="99"/>
      <c r="O594" s="99"/>
      <c r="P594" s="73"/>
      <c r="Q594" s="73"/>
      <c r="R594" s="73"/>
    </row>
    <row r="595" spans="1:18" ht="12.75">
      <c r="A595" s="14"/>
      <c r="B595" s="143" t="str">
        <f t="shared" ref="B595:B596" si="102">UPPER(H595)</f>
        <v>PRODUCTION SERVICES PROVIDED BY</v>
      </c>
      <c r="C595" s="141"/>
      <c r="D595" s="141"/>
      <c r="E595" s="141"/>
      <c r="F595" s="141"/>
      <c r="G595" s="3"/>
      <c r="H595" s="177" t="s">
        <v>530</v>
      </c>
      <c r="I595" s="141"/>
      <c r="J595" s="141"/>
      <c r="K595" s="141"/>
      <c r="L595" s="141"/>
      <c r="M595" s="99"/>
      <c r="N595" s="145" t="s">
        <v>940</v>
      </c>
      <c r="O595" s="141"/>
      <c r="P595" s="141"/>
      <c r="Q595" s="141"/>
      <c r="R595" s="141"/>
    </row>
    <row r="596" spans="1:18" ht="15">
      <c r="A596" s="14"/>
      <c r="B596" s="146" t="str">
        <f t="shared" si="102"/>
        <v>THE MONK STUDIOS</v>
      </c>
      <c r="C596" s="141"/>
      <c r="D596" s="141"/>
      <c r="E596" s="141"/>
      <c r="F596" s="141"/>
      <c r="G596" s="8"/>
      <c r="H596" s="176" t="s">
        <v>202</v>
      </c>
      <c r="I596" s="141"/>
      <c r="J596" s="141"/>
      <c r="K596" s="141"/>
      <c r="L596" s="141"/>
      <c r="M596" s="99"/>
      <c r="N596" s="176" t="s">
        <v>202</v>
      </c>
      <c r="O596" s="141"/>
      <c r="P596" s="141"/>
      <c r="Q596" s="141"/>
      <c r="R596" s="141"/>
    </row>
    <row r="597" spans="1:18" ht="15">
      <c r="A597" s="14"/>
      <c r="B597" s="6"/>
      <c r="C597" s="6"/>
      <c r="D597" s="6"/>
      <c r="E597" s="6"/>
      <c r="F597" s="6"/>
      <c r="G597" s="3"/>
      <c r="H597" s="122"/>
      <c r="I597" s="96"/>
      <c r="J597" s="96"/>
      <c r="K597" s="96"/>
      <c r="L597" s="122"/>
      <c r="M597" s="99"/>
      <c r="N597" s="122"/>
      <c r="O597" s="96"/>
      <c r="P597" s="96"/>
      <c r="Q597" s="96"/>
      <c r="R597" s="122"/>
    </row>
    <row r="598" spans="1:18" ht="15">
      <c r="A598" s="14"/>
      <c r="B598" s="146" t="str">
        <f>UPPER(H598)</f>
        <v>PIPELINE &amp; TD</v>
      </c>
      <c r="C598" s="141"/>
      <c r="D598" s="141"/>
      <c r="E598" s="141"/>
      <c r="F598" s="141"/>
      <c r="G598" s="3"/>
      <c r="H598" s="178" t="s">
        <v>558</v>
      </c>
      <c r="I598" s="141"/>
      <c r="J598" s="141"/>
      <c r="K598" s="141"/>
      <c r="L598" s="141"/>
      <c r="M598" s="99"/>
      <c r="N598" s="178" t="s">
        <v>558</v>
      </c>
      <c r="O598" s="141"/>
      <c r="P598" s="141"/>
      <c r="Q598" s="141"/>
      <c r="R598" s="141"/>
    </row>
    <row r="599" spans="1:18" ht="12.75">
      <c r="A599" s="14"/>
      <c r="B599" s="9"/>
      <c r="C599" s="10" t="str">
        <f t="shared" ref="C599:C618" si="103">UPPER(I599)</f>
        <v>HEAD OF PIPELINE</v>
      </c>
      <c r="D599" s="9"/>
      <c r="E599" s="9" t="str">
        <f t="shared" ref="E599:E618" si="104">UPPER(K599)</f>
        <v>MICHAEL ISARASAK KHANTHAROD</v>
      </c>
      <c r="F599" s="9"/>
      <c r="G599" s="3"/>
      <c r="H599" s="109"/>
      <c r="I599" s="101" t="s">
        <v>561</v>
      </c>
      <c r="J599" s="73"/>
      <c r="K599" s="113" t="s">
        <v>562</v>
      </c>
      <c r="L599" s="73"/>
      <c r="M599" s="99"/>
      <c r="N599" s="109"/>
      <c r="O599" s="101" t="s">
        <v>561</v>
      </c>
      <c r="P599" s="73"/>
      <c r="Q599" s="113" t="s">
        <v>562</v>
      </c>
      <c r="R599" s="73"/>
    </row>
    <row r="600" spans="1:18" ht="12.75">
      <c r="A600" s="14"/>
      <c r="B600" s="9"/>
      <c r="C600" s="10" t="str">
        <f t="shared" si="103"/>
        <v/>
      </c>
      <c r="D600" s="9"/>
      <c r="E600" s="9" t="str">
        <f t="shared" si="104"/>
        <v/>
      </c>
      <c r="F600" s="9"/>
      <c r="G600" s="3"/>
      <c r="H600" s="109"/>
      <c r="I600" s="101"/>
      <c r="J600" s="73"/>
      <c r="K600" s="113"/>
      <c r="L600" s="73"/>
      <c r="M600" s="99"/>
      <c r="N600" s="109"/>
      <c r="O600" s="101"/>
      <c r="P600" s="73"/>
      <c r="Q600" s="113"/>
      <c r="R600" s="73"/>
    </row>
    <row r="601" spans="1:18" ht="12.75">
      <c r="A601" s="14"/>
      <c r="B601" s="9"/>
      <c r="C601" s="10" t="str">
        <f t="shared" si="103"/>
        <v>LEAD PIPELINE</v>
      </c>
      <c r="D601" s="9"/>
      <c r="E601" s="9" t="str">
        <f t="shared" si="104"/>
        <v>SARINPORN PINTUSOPON</v>
      </c>
      <c r="F601" s="9"/>
      <c r="G601" s="3"/>
      <c r="H601" s="109"/>
      <c r="I601" s="101" t="s">
        <v>563</v>
      </c>
      <c r="J601" s="73"/>
      <c r="K601" s="113" t="s">
        <v>564</v>
      </c>
      <c r="L601" s="73"/>
      <c r="M601" s="99"/>
      <c r="N601" s="109"/>
      <c r="O601" s="101" t="s">
        <v>563</v>
      </c>
      <c r="P601" s="73"/>
      <c r="Q601" s="113" t="s">
        <v>564</v>
      </c>
      <c r="R601" s="73"/>
    </row>
    <row r="602" spans="1:18" ht="12.75">
      <c r="A602" s="14"/>
      <c r="B602" s="9"/>
      <c r="C602" s="10" t="str">
        <f t="shared" si="103"/>
        <v/>
      </c>
      <c r="D602" s="9"/>
      <c r="E602" s="9" t="str">
        <f t="shared" si="104"/>
        <v/>
      </c>
      <c r="F602" s="9"/>
      <c r="G602" s="3"/>
      <c r="H602" s="109"/>
      <c r="I602" s="101"/>
      <c r="J602" s="73"/>
      <c r="K602" s="113"/>
      <c r="L602" s="73"/>
      <c r="M602" s="99"/>
      <c r="N602" s="109"/>
      <c r="O602" s="101"/>
      <c r="P602" s="73"/>
      <c r="Q602" s="113"/>
      <c r="R602" s="73"/>
    </row>
    <row r="603" spans="1:18" ht="12.75">
      <c r="A603" s="14"/>
      <c r="B603" s="9"/>
      <c r="C603" s="10" t="str">
        <f t="shared" si="103"/>
        <v>PIPELINE DEVELOPER</v>
      </c>
      <c r="D603" s="9"/>
      <c r="E603" s="9" t="str">
        <f t="shared" si="104"/>
        <v>TANARAT LUANG-ON</v>
      </c>
      <c r="F603" s="9"/>
      <c r="G603" s="3"/>
      <c r="H603" s="109"/>
      <c r="I603" s="101" t="s">
        <v>565</v>
      </c>
      <c r="J603" s="73"/>
      <c r="K603" s="113" t="s">
        <v>566</v>
      </c>
      <c r="L603" s="73"/>
      <c r="M603" s="99"/>
      <c r="N603" s="109"/>
      <c r="O603" s="101" t="s">
        <v>565</v>
      </c>
      <c r="P603" s="73"/>
      <c r="Q603" s="113" t="s">
        <v>566</v>
      </c>
      <c r="R603" s="73"/>
    </row>
    <row r="604" spans="1:18" ht="12.75">
      <c r="A604" s="14"/>
      <c r="B604" s="9"/>
      <c r="C604" s="10" t="str">
        <f t="shared" si="103"/>
        <v/>
      </c>
      <c r="D604" s="9"/>
      <c r="E604" s="9" t="str">
        <f t="shared" si="104"/>
        <v>THANYATHON TAYANGKHANON</v>
      </c>
      <c r="F604" s="9"/>
      <c r="G604" s="3"/>
      <c r="H604" s="109"/>
      <c r="I604" s="101"/>
      <c r="J604" s="73"/>
      <c r="K604" s="113" t="s">
        <v>567</v>
      </c>
      <c r="L604" s="73"/>
      <c r="M604" s="99"/>
      <c r="N604" s="109"/>
      <c r="O604" s="101"/>
      <c r="P604" s="73"/>
      <c r="Q604" s="113" t="s">
        <v>567</v>
      </c>
      <c r="R604" s="73"/>
    </row>
    <row r="605" spans="1:18" ht="12.75">
      <c r="A605" s="14"/>
      <c r="B605" s="9"/>
      <c r="C605" s="10" t="str">
        <f t="shared" si="103"/>
        <v/>
      </c>
      <c r="D605" s="9"/>
      <c r="E605" s="9" t="str">
        <f t="shared" si="104"/>
        <v>NUTTAPON VANAKITTISTIEN</v>
      </c>
      <c r="F605" s="9"/>
      <c r="G605" s="3"/>
      <c r="H605" s="109"/>
      <c r="I605" s="101"/>
      <c r="J605" s="73"/>
      <c r="K605" s="113" t="s">
        <v>568</v>
      </c>
      <c r="L605" s="73"/>
      <c r="M605" s="128"/>
      <c r="N605" s="109"/>
      <c r="O605" s="101"/>
      <c r="P605" s="73"/>
      <c r="Q605" s="113" t="s">
        <v>568</v>
      </c>
      <c r="R605" s="73"/>
    </row>
    <row r="606" spans="1:18" ht="12.75">
      <c r="A606" s="14"/>
      <c r="B606" s="9"/>
      <c r="C606" s="10" t="str">
        <f t="shared" si="103"/>
        <v/>
      </c>
      <c r="D606" s="9"/>
      <c r="E606" s="9" t="str">
        <f t="shared" si="104"/>
        <v>APISIT SENLUANG</v>
      </c>
      <c r="F606" s="9"/>
      <c r="G606" s="3"/>
      <c r="H606" s="109"/>
      <c r="I606" s="101"/>
      <c r="J606" s="73"/>
      <c r="K606" s="113" t="s">
        <v>569</v>
      </c>
      <c r="L606" s="73"/>
      <c r="M606" s="99"/>
      <c r="N606" s="109"/>
      <c r="O606" s="101"/>
      <c r="P606" s="73"/>
      <c r="Q606" s="113" t="s">
        <v>569</v>
      </c>
      <c r="R606" s="73"/>
    </row>
    <row r="607" spans="1:18" ht="12.75">
      <c r="A607" s="14"/>
      <c r="B607" s="9"/>
      <c r="C607" s="10" t="str">
        <f t="shared" si="103"/>
        <v/>
      </c>
      <c r="D607" s="9"/>
      <c r="E607" s="9" t="str">
        <f t="shared" si="104"/>
        <v>KACHORNPAT GULLAPATPORNCHAI</v>
      </c>
      <c r="F607" s="9"/>
      <c r="G607" s="3"/>
      <c r="H607" s="109"/>
      <c r="I607" s="101"/>
      <c r="J607" s="73"/>
      <c r="K607" s="102" t="s">
        <v>761</v>
      </c>
      <c r="L607" s="73"/>
      <c r="M607" s="99"/>
      <c r="N607" s="109"/>
      <c r="O607" s="101"/>
      <c r="P607" s="73"/>
      <c r="Q607" s="102" t="s">
        <v>761</v>
      </c>
      <c r="R607" s="73"/>
    </row>
    <row r="608" spans="1:18" ht="12.75">
      <c r="A608" s="14"/>
      <c r="B608" s="9"/>
      <c r="C608" s="10" t="str">
        <f t="shared" si="103"/>
        <v/>
      </c>
      <c r="D608" s="9"/>
      <c r="E608" s="9" t="str">
        <f t="shared" si="104"/>
        <v/>
      </c>
      <c r="F608" s="9"/>
      <c r="G608" s="3"/>
      <c r="H608" s="109"/>
      <c r="I608" s="101"/>
      <c r="J608" s="73"/>
      <c r="K608" s="113"/>
      <c r="L608" s="73"/>
      <c r="M608" s="99"/>
      <c r="N608" s="109"/>
      <c r="O608" s="101"/>
      <c r="P608" s="73"/>
      <c r="Q608" s="113"/>
      <c r="R608" s="73"/>
    </row>
    <row r="609" spans="1:18" ht="12.75">
      <c r="A609" s="14"/>
      <c r="B609" s="9"/>
      <c r="C609" s="10" t="str">
        <f t="shared" si="103"/>
        <v>LEAD TECHNICAL DIRECTOR</v>
      </c>
      <c r="D609" s="9"/>
      <c r="E609" s="9" t="str">
        <f t="shared" si="104"/>
        <v>THANAPAT TUMMATI</v>
      </c>
      <c r="F609" s="9"/>
      <c r="G609" s="3"/>
      <c r="H609" s="109"/>
      <c r="I609" s="101" t="s">
        <v>570</v>
      </c>
      <c r="J609" s="73"/>
      <c r="K609" s="113" t="s">
        <v>571</v>
      </c>
      <c r="L609" s="73"/>
      <c r="M609" s="99"/>
      <c r="N609" s="109"/>
      <c r="O609" s="101" t="s">
        <v>570</v>
      </c>
      <c r="P609" s="73"/>
      <c r="Q609" s="113" t="s">
        <v>571</v>
      </c>
      <c r="R609" s="73"/>
    </row>
    <row r="610" spans="1:18" ht="12.75">
      <c r="A610" s="14"/>
      <c r="B610" s="9"/>
      <c r="C610" s="10" t="str">
        <f t="shared" si="103"/>
        <v/>
      </c>
      <c r="D610" s="9"/>
      <c r="E610" s="9" t="str">
        <f t="shared" si="104"/>
        <v/>
      </c>
      <c r="F610" s="9"/>
      <c r="G610" s="3"/>
      <c r="H610" s="109"/>
      <c r="I610" s="101"/>
      <c r="J610" s="73"/>
      <c r="K610" s="113"/>
      <c r="L610" s="73"/>
      <c r="M610" s="99"/>
      <c r="N610" s="109"/>
      <c r="O610" s="101"/>
      <c r="P610" s="73"/>
      <c r="Q610" s="113"/>
      <c r="R610" s="73"/>
    </row>
    <row r="611" spans="1:18" ht="12.75">
      <c r="A611" s="14"/>
      <c r="B611" s="9"/>
      <c r="C611" s="10" t="str">
        <f t="shared" si="103"/>
        <v>TECHNICAL DIRECTOR</v>
      </c>
      <c r="D611" s="9"/>
      <c r="E611" s="9" t="str">
        <f t="shared" si="104"/>
        <v>TANAWOOT SINGTHONGPRASERT</v>
      </c>
      <c r="F611" s="9"/>
      <c r="G611" s="3"/>
      <c r="H611" s="109"/>
      <c r="I611" s="101" t="s">
        <v>572</v>
      </c>
      <c r="J611" s="73"/>
      <c r="K611" s="113" t="s">
        <v>573</v>
      </c>
      <c r="L611" s="73"/>
      <c r="M611" s="99"/>
      <c r="N611" s="109"/>
      <c r="O611" s="101" t="s">
        <v>572</v>
      </c>
      <c r="P611" s="73"/>
      <c r="Q611" s="113" t="s">
        <v>573</v>
      </c>
      <c r="R611" s="73"/>
    </row>
    <row r="612" spans="1:18" ht="12.75">
      <c r="A612" s="14"/>
      <c r="B612" s="9"/>
      <c r="C612" s="10" t="str">
        <f t="shared" si="103"/>
        <v/>
      </c>
      <c r="D612" s="9"/>
      <c r="E612" s="9" t="str">
        <f t="shared" si="104"/>
        <v>PEERAPAT SRIPENG</v>
      </c>
      <c r="F612" s="9"/>
      <c r="G612" s="3"/>
      <c r="H612" s="109"/>
      <c r="I612" s="101"/>
      <c r="J612" s="73"/>
      <c r="K612" s="113" t="s">
        <v>574</v>
      </c>
      <c r="L612" s="73"/>
      <c r="M612" s="99"/>
      <c r="N612" s="109"/>
      <c r="O612" s="101"/>
      <c r="P612" s="73"/>
      <c r="Q612" s="113" t="s">
        <v>574</v>
      </c>
      <c r="R612" s="73"/>
    </row>
    <row r="613" spans="1:18" ht="12.75">
      <c r="A613" s="14"/>
      <c r="B613" s="9"/>
      <c r="C613" s="10" t="str">
        <f t="shared" si="103"/>
        <v/>
      </c>
      <c r="D613" s="9"/>
      <c r="E613" s="9" t="str">
        <f t="shared" si="104"/>
        <v>THIRADA THEETHUM</v>
      </c>
      <c r="F613" s="9"/>
      <c r="G613" s="3"/>
      <c r="H613" s="109"/>
      <c r="I613" s="101"/>
      <c r="J613" s="73"/>
      <c r="K613" s="113" t="s">
        <v>575</v>
      </c>
      <c r="L613" s="73"/>
      <c r="M613" s="99"/>
      <c r="N613" s="109"/>
      <c r="O613" s="101"/>
      <c r="P613" s="73"/>
      <c r="Q613" s="113" t="s">
        <v>575</v>
      </c>
      <c r="R613" s="73"/>
    </row>
    <row r="614" spans="1:18" ht="12.75">
      <c r="A614" s="14"/>
      <c r="B614" s="9"/>
      <c r="C614" s="10" t="str">
        <f t="shared" si="103"/>
        <v/>
      </c>
      <c r="D614" s="9"/>
      <c r="E614" s="9" t="str">
        <f t="shared" si="104"/>
        <v>NICHAPAT KACHACHEEWA</v>
      </c>
      <c r="F614" s="9"/>
      <c r="G614" s="3"/>
      <c r="H614" s="109"/>
      <c r="I614" s="101"/>
      <c r="J614" s="73"/>
      <c r="K614" s="113" t="s">
        <v>576</v>
      </c>
      <c r="L614" s="73"/>
      <c r="M614" s="99"/>
      <c r="N614" s="109"/>
      <c r="O614" s="101"/>
      <c r="P614" s="73"/>
      <c r="Q614" s="113" t="s">
        <v>576</v>
      </c>
      <c r="R614" s="73"/>
    </row>
    <row r="615" spans="1:18" ht="12.75">
      <c r="A615" s="14"/>
      <c r="B615" s="9"/>
      <c r="C615" s="10" t="str">
        <f t="shared" si="103"/>
        <v/>
      </c>
      <c r="D615" s="9"/>
      <c r="E615" s="9" t="str">
        <f t="shared" si="104"/>
        <v>SUCHADA KHAMWAN</v>
      </c>
      <c r="F615" s="9"/>
      <c r="G615" s="3"/>
      <c r="H615" s="109"/>
      <c r="I615" s="101"/>
      <c r="J615" s="73"/>
      <c r="K615" s="113" t="s">
        <v>762</v>
      </c>
      <c r="L615" s="73"/>
      <c r="M615" s="99"/>
      <c r="N615" s="109"/>
      <c r="O615" s="101"/>
      <c r="P615" s="73"/>
      <c r="Q615" s="113" t="s">
        <v>762</v>
      </c>
      <c r="R615" s="73"/>
    </row>
    <row r="616" spans="1:18" ht="12.75">
      <c r="A616" s="14"/>
      <c r="B616" s="9"/>
      <c r="C616" s="10" t="str">
        <f t="shared" si="103"/>
        <v/>
      </c>
      <c r="D616" s="9"/>
      <c r="E616" s="9" t="str">
        <f t="shared" si="104"/>
        <v/>
      </c>
      <c r="F616" s="9"/>
      <c r="G616" s="3"/>
      <c r="H616" s="109"/>
      <c r="I616" s="101"/>
      <c r="J616" s="73"/>
      <c r="K616" s="113"/>
      <c r="L616" s="73"/>
      <c r="M616" s="99"/>
      <c r="N616" s="109"/>
      <c r="O616" s="101"/>
      <c r="P616" s="73"/>
      <c r="Q616" s="113"/>
      <c r="R616" s="73"/>
    </row>
    <row r="617" spans="1:18" ht="12.75">
      <c r="A617" s="14"/>
      <c r="B617" s="9"/>
      <c r="C617" s="10" t="str">
        <f t="shared" si="103"/>
        <v>RIG TECHNICAL DIRECTOR</v>
      </c>
      <c r="D617" s="9"/>
      <c r="E617" s="9" t="str">
        <f t="shared" si="104"/>
        <v>PONGSOPON SROYSOMWONG</v>
      </c>
      <c r="F617" s="9"/>
      <c r="G617" s="3"/>
      <c r="H617" s="109"/>
      <c r="I617" s="101" t="s">
        <v>578</v>
      </c>
      <c r="J617" s="73"/>
      <c r="K617" s="113" t="s">
        <v>579</v>
      </c>
      <c r="L617" s="73"/>
      <c r="M617" s="99"/>
      <c r="N617" s="109"/>
      <c r="O617" s="101" t="s">
        <v>578</v>
      </c>
      <c r="P617" s="73"/>
      <c r="Q617" s="113" t="s">
        <v>579</v>
      </c>
      <c r="R617" s="73"/>
    </row>
    <row r="618" spans="1:18" ht="12.75">
      <c r="A618" s="14"/>
      <c r="B618" s="9"/>
      <c r="C618" s="10" t="str">
        <f t="shared" si="103"/>
        <v/>
      </c>
      <c r="D618" s="9"/>
      <c r="E618" s="9" t="str">
        <f t="shared" si="104"/>
        <v>SARAWUT SUWAN</v>
      </c>
      <c r="F618" s="9"/>
      <c r="G618" s="3"/>
      <c r="H618" s="109"/>
      <c r="I618" s="101"/>
      <c r="J618" s="73"/>
      <c r="K618" s="113" t="s">
        <v>580</v>
      </c>
      <c r="L618" s="73"/>
      <c r="M618" s="99"/>
      <c r="N618" s="109"/>
      <c r="O618" s="101"/>
      <c r="P618" s="73"/>
      <c r="Q618" s="113" t="s">
        <v>580</v>
      </c>
      <c r="R618" s="73"/>
    </row>
    <row r="619" spans="1:18" ht="15.75" customHeight="1">
      <c r="A619" s="14"/>
      <c r="B619" s="9"/>
      <c r="C619" s="10"/>
      <c r="D619" s="9"/>
      <c r="E619" s="9"/>
      <c r="F619" s="9"/>
      <c r="G619" s="3"/>
      <c r="H619" s="109"/>
      <c r="I619" s="101"/>
      <c r="J619" s="73"/>
      <c r="K619" s="113"/>
      <c r="L619" s="73"/>
      <c r="M619" s="99"/>
      <c r="N619" s="109"/>
      <c r="O619" s="99"/>
      <c r="P619" s="73"/>
      <c r="Q619" s="130"/>
      <c r="R619" s="73"/>
    </row>
    <row r="620" spans="1:18" ht="15">
      <c r="A620" s="14"/>
      <c r="B620" s="26"/>
      <c r="C620" s="26"/>
      <c r="D620" s="26"/>
      <c r="E620" s="26"/>
      <c r="F620" s="26"/>
      <c r="G620" s="3"/>
      <c r="H620" s="122"/>
      <c r="I620" s="96"/>
      <c r="J620" s="96"/>
      <c r="K620" s="96"/>
      <c r="L620" s="122"/>
      <c r="M620" s="99"/>
      <c r="N620" s="109"/>
      <c r="O620" s="99"/>
      <c r="P620" s="73"/>
      <c r="Q620" s="109"/>
      <c r="R620" s="73"/>
    </row>
    <row r="621" spans="1:18" ht="15">
      <c r="A621" s="14"/>
      <c r="B621" s="6"/>
      <c r="C621" s="6"/>
      <c r="D621" s="6"/>
      <c r="E621" s="6"/>
      <c r="F621" s="6"/>
      <c r="G621" s="3"/>
      <c r="H621" s="122"/>
      <c r="I621" s="96"/>
      <c r="J621" s="96"/>
      <c r="K621" s="96"/>
      <c r="L621" s="122"/>
      <c r="M621" s="99"/>
      <c r="N621" s="109"/>
      <c r="O621" s="99"/>
      <c r="P621" s="73"/>
      <c r="Q621" s="109"/>
      <c r="R621" s="73"/>
    </row>
    <row r="622" spans="1:18" ht="12.75">
      <c r="A622" s="14"/>
      <c r="B622" s="143" t="str">
        <f t="shared" ref="B622:B623" si="105">UPPER(H622)</f>
        <v>PRODUCTION SERVICES PROVIDED BY</v>
      </c>
      <c r="C622" s="141"/>
      <c r="D622" s="141"/>
      <c r="E622" s="141"/>
      <c r="F622" s="141"/>
      <c r="G622" s="3"/>
      <c r="H622" s="177" t="s">
        <v>530</v>
      </c>
      <c r="I622" s="141"/>
      <c r="J622" s="141"/>
      <c r="K622" s="141"/>
      <c r="L622" s="141"/>
      <c r="M622" s="99"/>
      <c r="N622" s="145" t="s">
        <v>940</v>
      </c>
      <c r="O622" s="141"/>
      <c r="P622" s="141"/>
      <c r="Q622" s="141"/>
      <c r="R622" s="141"/>
    </row>
    <row r="623" spans="1:18" ht="15">
      <c r="A623" s="14"/>
      <c r="B623" s="146" t="str">
        <f t="shared" si="105"/>
        <v>THE MONK STUDIOS</v>
      </c>
      <c r="C623" s="141"/>
      <c r="D623" s="141"/>
      <c r="E623" s="141"/>
      <c r="F623" s="141"/>
      <c r="G623" s="8"/>
      <c r="H623" s="176" t="s">
        <v>202</v>
      </c>
      <c r="I623" s="141"/>
      <c r="J623" s="141"/>
      <c r="K623" s="141"/>
      <c r="L623" s="141"/>
      <c r="M623" s="99"/>
      <c r="N623" s="176" t="s">
        <v>202</v>
      </c>
      <c r="O623" s="141"/>
      <c r="P623" s="141"/>
      <c r="Q623" s="141"/>
      <c r="R623" s="141"/>
    </row>
    <row r="624" spans="1:18" ht="12.75">
      <c r="A624" s="14"/>
      <c r="B624" s="9"/>
      <c r="C624" s="10"/>
      <c r="D624" s="9"/>
      <c r="E624" s="9"/>
      <c r="F624" s="9"/>
      <c r="G624" s="3"/>
      <c r="H624" s="109"/>
      <c r="I624" s="99"/>
      <c r="J624" s="73"/>
      <c r="K624" s="109"/>
      <c r="L624" s="73"/>
      <c r="M624" s="99"/>
      <c r="N624" s="109"/>
      <c r="O624" s="99"/>
      <c r="P624" s="73"/>
      <c r="Q624" s="109"/>
      <c r="R624" s="73"/>
    </row>
    <row r="625" spans="1:18" ht="15">
      <c r="A625" s="14"/>
      <c r="B625" s="146" t="str">
        <f>UPPER(H625)</f>
        <v>IT</v>
      </c>
      <c r="C625" s="141"/>
      <c r="D625" s="141"/>
      <c r="E625" s="141"/>
      <c r="F625" s="141"/>
      <c r="G625" s="3"/>
      <c r="H625" s="178" t="s">
        <v>581</v>
      </c>
      <c r="I625" s="141"/>
      <c r="J625" s="141"/>
      <c r="K625" s="141"/>
      <c r="L625" s="141"/>
      <c r="M625" s="99"/>
      <c r="N625" s="178" t="s">
        <v>581</v>
      </c>
      <c r="O625" s="141"/>
      <c r="P625" s="141"/>
      <c r="Q625" s="141"/>
      <c r="R625" s="141"/>
    </row>
    <row r="626" spans="1:18" ht="12.75">
      <c r="A626" s="14"/>
      <c r="B626" s="9"/>
      <c r="C626" s="10" t="str">
        <f t="shared" ref="C626:C631" si="106">UPPER(I626)</f>
        <v>IT DIRECTOR</v>
      </c>
      <c r="D626" s="9"/>
      <c r="E626" s="9" t="str">
        <f t="shared" ref="E626:E631" si="107">UPPER(K626)</f>
        <v>PAKORN CHUTINIMITKUL</v>
      </c>
      <c r="F626" s="9"/>
      <c r="G626" s="3"/>
      <c r="H626" s="109"/>
      <c r="I626" s="103" t="s">
        <v>582</v>
      </c>
      <c r="J626" s="73"/>
      <c r="K626" s="102" t="s">
        <v>583</v>
      </c>
      <c r="L626" s="73"/>
      <c r="M626" s="99"/>
      <c r="N626" s="109"/>
      <c r="O626" s="103" t="s">
        <v>582</v>
      </c>
      <c r="P626" s="73"/>
      <c r="Q626" s="102" t="s">
        <v>583</v>
      </c>
      <c r="R626" s="73"/>
    </row>
    <row r="627" spans="1:18" ht="12.75">
      <c r="A627" s="14"/>
      <c r="B627" s="9"/>
      <c r="C627" s="10" t="str">
        <f t="shared" si="106"/>
        <v/>
      </c>
      <c r="D627" s="9"/>
      <c r="E627" s="9" t="str">
        <f t="shared" si="107"/>
        <v/>
      </c>
      <c r="F627" s="9"/>
      <c r="G627" s="3"/>
      <c r="H627" s="109"/>
      <c r="I627" s="103"/>
      <c r="J627" s="73"/>
      <c r="K627" s="102"/>
      <c r="L627" s="73"/>
      <c r="M627" s="99"/>
      <c r="N627" s="109"/>
      <c r="O627" s="103"/>
      <c r="P627" s="73"/>
      <c r="Q627" s="102"/>
      <c r="R627" s="73"/>
    </row>
    <row r="628" spans="1:18" ht="12.75">
      <c r="A628" s="14"/>
      <c r="B628" s="9"/>
      <c r="C628" s="10" t="str">
        <f t="shared" si="106"/>
        <v>SYSTEM ENGINEER</v>
      </c>
      <c r="D628" s="9"/>
      <c r="E628" s="9" t="str">
        <f t="shared" si="107"/>
        <v>NATEE KOONJATURAPAT</v>
      </c>
      <c r="F628" s="9"/>
      <c r="G628" s="3"/>
      <c r="H628" s="109"/>
      <c r="I628" s="103" t="s">
        <v>584</v>
      </c>
      <c r="J628" s="73"/>
      <c r="K628" s="102" t="s">
        <v>585</v>
      </c>
      <c r="L628" s="73"/>
      <c r="M628" s="99"/>
      <c r="N628" s="109"/>
      <c r="O628" s="103" t="s">
        <v>584</v>
      </c>
      <c r="P628" s="73"/>
      <c r="Q628" s="102" t="s">
        <v>585</v>
      </c>
      <c r="R628" s="73"/>
    </row>
    <row r="629" spans="1:18" ht="12.75">
      <c r="A629" s="14"/>
      <c r="B629" s="9"/>
      <c r="C629" s="10" t="str">
        <f t="shared" si="106"/>
        <v/>
      </c>
      <c r="D629" s="9"/>
      <c r="E629" s="9" t="str">
        <f t="shared" si="107"/>
        <v/>
      </c>
      <c r="F629" s="9"/>
      <c r="G629" s="3"/>
      <c r="H629" s="109"/>
      <c r="I629" s="103"/>
      <c r="J629" s="73"/>
      <c r="K629" s="102"/>
      <c r="L629" s="73"/>
      <c r="M629" s="99"/>
      <c r="N629" s="109"/>
      <c r="O629" s="103"/>
      <c r="P629" s="73"/>
      <c r="Q629" s="102"/>
      <c r="R629" s="73"/>
    </row>
    <row r="630" spans="1:18" ht="12.75">
      <c r="A630" s="14"/>
      <c r="B630" s="9"/>
      <c r="C630" s="10" t="str">
        <f t="shared" si="106"/>
        <v>IT SUPPORT</v>
      </c>
      <c r="D630" s="9"/>
      <c r="E630" s="9" t="str">
        <f t="shared" si="107"/>
        <v>CHATCHAI LOHSIRI</v>
      </c>
      <c r="F630" s="9"/>
      <c r="G630" s="3"/>
      <c r="H630" s="109"/>
      <c r="I630" s="103" t="s">
        <v>586</v>
      </c>
      <c r="J630" s="73"/>
      <c r="K630" s="102" t="s">
        <v>587</v>
      </c>
      <c r="L630" s="73"/>
      <c r="M630" s="99"/>
      <c r="N630" s="109"/>
      <c r="O630" s="103" t="s">
        <v>586</v>
      </c>
      <c r="P630" s="73"/>
      <c r="Q630" s="102" t="s">
        <v>587</v>
      </c>
      <c r="R630" s="73"/>
    </row>
    <row r="631" spans="1:18" ht="12.75">
      <c r="A631" s="14"/>
      <c r="B631" s="9"/>
      <c r="C631" s="10" t="str">
        <f t="shared" si="106"/>
        <v/>
      </c>
      <c r="D631" s="9"/>
      <c r="E631" s="9" t="str">
        <f t="shared" si="107"/>
        <v>WIMONWAN LERTTHONGKAM</v>
      </c>
      <c r="F631" s="9"/>
      <c r="G631" s="3"/>
      <c r="H631" s="109"/>
      <c r="I631" s="103"/>
      <c r="J631" s="73"/>
      <c r="K631" s="102" t="s">
        <v>588</v>
      </c>
      <c r="L631" s="73"/>
      <c r="M631" s="99"/>
      <c r="N631" s="109"/>
      <c r="O631" s="103"/>
      <c r="P631" s="73"/>
      <c r="Q631" s="102" t="s">
        <v>588</v>
      </c>
      <c r="R631" s="73"/>
    </row>
    <row r="632" spans="1:18" ht="12.75">
      <c r="A632" s="14"/>
      <c r="B632" s="9"/>
      <c r="C632" s="10"/>
      <c r="D632" s="9"/>
      <c r="E632" s="9"/>
      <c r="F632" s="9"/>
      <c r="G632" s="3"/>
      <c r="H632" s="109"/>
      <c r="I632" s="103"/>
      <c r="J632" s="73"/>
      <c r="K632" s="102"/>
      <c r="L632" s="73"/>
      <c r="M632" s="99"/>
      <c r="N632" s="109"/>
      <c r="O632" s="99"/>
      <c r="P632" s="73"/>
      <c r="Q632" s="127"/>
      <c r="R632" s="73"/>
    </row>
    <row r="633" spans="1:18" ht="12.75">
      <c r="A633" s="14"/>
      <c r="B633" s="11"/>
      <c r="C633" s="12" t="str">
        <f>UPPER(I633)</f>
        <v/>
      </c>
      <c r="D633" s="11"/>
      <c r="E633" s="11" t="str">
        <f>UPPER(K633)</f>
        <v/>
      </c>
      <c r="F633" s="11"/>
      <c r="G633" s="3"/>
      <c r="H633" s="73"/>
      <c r="I633" s="99"/>
      <c r="J633" s="73"/>
      <c r="K633" s="109"/>
      <c r="L633" s="73"/>
      <c r="M633" s="99"/>
      <c r="N633" s="99"/>
      <c r="O633" s="99"/>
      <c r="P633" s="73"/>
      <c r="Q633" s="73"/>
      <c r="R633" s="73"/>
    </row>
    <row r="634" spans="1:18" ht="12.75">
      <c r="A634" s="14"/>
      <c r="B634" s="61"/>
      <c r="C634" s="61"/>
      <c r="D634" s="61"/>
      <c r="E634" s="61"/>
      <c r="F634" s="61"/>
      <c r="G634" s="3"/>
      <c r="H634" s="110"/>
      <c r="I634" s="110"/>
      <c r="J634" s="110"/>
      <c r="K634" s="110"/>
      <c r="L634" s="110"/>
      <c r="M634" s="99"/>
      <c r="N634" s="99"/>
      <c r="O634" s="99"/>
      <c r="P634" s="73"/>
      <c r="Q634" s="73"/>
      <c r="R634" s="73"/>
    </row>
    <row r="635" spans="1:18" ht="12.75">
      <c r="A635" s="14"/>
      <c r="B635" s="143" t="str">
        <f t="shared" ref="B635:B636" si="108">UPPER(H635)</f>
        <v>PRODUCTION SERVICES PROVIDED BY</v>
      </c>
      <c r="C635" s="141"/>
      <c r="D635" s="141"/>
      <c r="E635" s="141"/>
      <c r="F635" s="141"/>
      <c r="G635" s="3"/>
      <c r="H635" s="177" t="s">
        <v>530</v>
      </c>
      <c r="I635" s="141"/>
      <c r="J635" s="141"/>
      <c r="K635" s="141"/>
      <c r="L635" s="141"/>
      <c r="M635" s="99"/>
      <c r="N635" s="145" t="s">
        <v>940</v>
      </c>
      <c r="O635" s="141"/>
      <c r="P635" s="141"/>
      <c r="Q635" s="141"/>
      <c r="R635" s="141"/>
    </row>
    <row r="636" spans="1:18" ht="15">
      <c r="A636" s="14"/>
      <c r="B636" s="146" t="str">
        <f t="shared" si="108"/>
        <v>STUDIO GOINDOL INC.</v>
      </c>
      <c r="C636" s="141"/>
      <c r="D636" s="141"/>
      <c r="E636" s="141"/>
      <c r="F636" s="141"/>
      <c r="G636" s="3"/>
      <c r="H636" s="176" t="s">
        <v>176</v>
      </c>
      <c r="I636" s="141"/>
      <c r="J636" s="141"/>
      <c r="K636" s="141"/>
      <c r="L636" s="141"/>
      <c r="M636" s="99"/>
      <c r="N636" s="149" t="s">
        <v>176</v>
      </c>
      <c r="O636" s="141"/>
      <c r="P636" s="141"/>
      <c r="Q636" s="141"/>
      <c r="R636" s="141"/>
    </row>
    <row r="637" spans="1:18" ht="15">
      <c r="A637" s="14"/>
      <c r="B637" s="6"/>
      <c r="C637" s="6"/>
      <c r="D637" s="6"/>
      <c r="E637" s="6"/>
      <c r="F637" s="6"/>
      <c r="G637" s="3"/>
      <c r="H637" s="96"/>
      <c r="I637" s="96"/>
      <c r="J637" s="96"/>
      <c r="K637" s="96"/>
      <c r="L637" s="96"/>
      <c r="M637" s="99"/>
      <c r="N637" s="15"/>
      <c r="O637" s="15"/>
      <c r="P637" s="15"/>
      <c r="Q637" s="15"/>
      <c r="R637" s="15"/>
    </row>
    <row r="638" spans="1:18" ht="15">
      <c r="A638" s="14"/>
      <c r="B638" s="146" t="str">
        <f>UPPER(H638)</f>
        <v>STORYBOARD &amp; DESIGN</v>
      </c>
      <c r="C638" s="141"/>
      <c r="D638" s="141"/>
      <c r="E638" s="141"/>
      <c r="F638" s="141"/>
      <c r="G638" s="3"/>
      <c r="H638" s="176" t="s">
        <v>589</v>
      </c>
      <c r="I638" s="141"/>
      <c r="J638" s="141"/>
      <c r="K638" s="141"/>
      <c r="L638" s="141"/>
      <c r="M638" s="99"/>
      <c r="N638" s="149" t="s">
        <v>941</v>
      </c>
      <c r="O638" s="141"/>
      <c r="P638" s="141"/>
      <c r="Q638" s="141"/>
      <c r="R638" s="141"/>
    </row>
    <row r="639" spans="1:18" ht="12.75">
      <c r="A639" s="14"/>
      <c r="B639" s="9"/>
      <c r="C639" s="10" t="str">
        <f>UPPER(I639)</f>
        <v>CHIEF PRODUCER</v>
      </c>
      <c r="D639" s="9"/>
      <c r="E639" s="9" t="str">
        <f>UPPER(K639)</f>
        <v>JUNGSOO HUR</v>
      </c>
      <c r="F639" s="9"/>
      <c r="G639" s="3"/>
      <c r="H639" s="73"/>
      <c r="I639" s="99" t="s">
        <v>590</v>
      </c>
      <c r="J639" s="73"/>
      <c r="K639" s="73" t="s">
        <v>591</v>
      </c>
      <c r="L639" s="73"/>
      <c r="M639" s="99"/>
      <c r="N639" s="3"/>
      <c r="O639" s="63" t="s">
        <v>772</v>
      </c>
      <c r="P639" s="3"/>
      <c r="Q639" s="3" t="s">
        <v>942</v>
      </c>
      <c r="R639" s="3"/>
    </row>
    <row r="640" spans="1:18" ht="12.75">
      <c r="A640" s="14"/>
      <c r="B640" s="9"/>
      <c r="C640" s="10"/>
      <c r="D640" s="9"/>
      <c r="E640" s="9"/>
      <c r="F640" s="9"/>
      <c r="G640" s="3"/>
      <c r="H640" s="73"/>
      <c r="I640" s="99"/>
      <c r="J640" s="73"/>
      <c r="K640" s="73"/>
      <c r="L640" s="73"/>
      <c r="M640" s="99"/>
      <c r="N640" s="3"/>
      <c r="O640" s="8"/>
      <c r="P640" s="3"/>
      <c r="Q640" s="3"/>
      <c r="R640" s="3"/>
    </row>
    <row r="641" spans="1:18" ht="12.75">
      <c r="A641" s="14"/>
      <c r="B641" s="9"/>
      <c r="C641" s="10" t="str">
        <f>UPPER(I641)</f>
        <v>PRODUCER</v>
      </c>
      <c r="D641" s="9"/>
      <c r="E641" s="9" t="str">
        <f>UPPER(K641)</f>
        <v>GEUNJEONG KIM</v>
      </c>
      <c r="F641" s="9"/>
      <c r="G641" s="3"/>
      <c r="H641" s="73"/>
      <c r="I641" s="99" t="s">
        <v>504</v>
      </c>
      <c r="J641" s="73"/>
      <c r="K641" s="73" t="s">
        <v>592</v>
      </c>
      <c r="L641" s="73"/>
      <c r="M641" s="99"/>
      <c r="N641" s="3"/>
      <c r="O641" s="8" t="s">
        <v>773</v>
      </c>
      <c r="P641" s="3"/>
      <c r="Q641" s="3" t="s">
        <v>943</v>
      </c>
      <c r="R641" s="3"/>
    </row>
    <row r="642" spans="1:18" ht="12.75">
      <c r="A642" s="14"/>
      <c r="B642" s="9"/>
      <c r="C642" s="10"/>
      <c r="D642" s="9"/>
      <c r="E642" s="9"/>
      <c r="F642" s="9"/>
      <c r="G642" s="3"/>
      <c r="H642" s="73"/>
      <c r="I642" s="99"/>
      <c r="J642" s="73"/>
      <c r="K642" s="73"/>
      <c r="L642" s="73"/>
      <c r="M642" s="99"/>
      <c r="N642" s="3"/>
      <c r="O642" s="8"/>
      <c r="P642" s="3"/>
      <c r="Q642" s="3"/>
      <c r="R642" s="3"/>
    </row>
    <row r="643" spans="1:18" ht="12.75">
      <c r="A643" s="14"/>
      <c r="B643" s="9"/>
      <c r="C643" s="10" t="str">
        <f>UPPER(I643)</f>
        <v>COORDINATOR</v>
      </c>
      <c r="D643" s="9"/>
      <c r="E643" s="9" t="str">
        <f>UPPER(K643)</f>
        <v>JOWON JUNG</v>
      </c>
      <c r="F643" s="9"/>
      <c r="G643" s="3"/>
      <c r="H643" s="73"/>
      <c r="I643" s="99" t="s">
        <v>593</v>
      </c>
      <c r="J643" s="73"/>
      <c r="K643" s="73" t="s">
        <v>594</v>
      </c>
      <c r="L643" s="73"/>
      <c r="M643" s="99"/>
      <c r="N643" s="3"/>
      <c r="O643" s="8" t="s">
        <v>944</v>
      </c>
      <c r="P643" s="3"/>
      <c r="Q643" s="3" t="s">
        <v>945</v>
      </c>
      <c r="R643" s="3"/>
    </row>
    <row r="644" spans="1:18" ht="12.75">
      <c r="A644" s="14"/>
      <c r="B644" s="9"/>
      <c r="C644" s="10"/>
      <c r="D644" s="9"/>
      <c r="E644" s="9"/>
      <c r="F644" s="9"/>
      <c r="G644" s="3"/>
      <c r="H644" s="73"/>
      <c r="I644" s="99"/>
      <c r="J644" s="73"/>
      <c r="K644" s="73"/>
      <c r="L644" s="73"/>
      <c r="M644" s="99"/>
      <c r="N644" s="3"/>
      <c r="O644" s="8"/>
      <c r="P644" s="3"/>
      <c r="Q644" s="3"/>
      <c r="R644" s="3"/>
    </row>
    <row r="645" spans="1:18" ht="12.75">
      <c r="A645" s="14"/>
      <c r="B645" s="9"/>
      <c r="C645" s="10" t="str">
        <f t="shared" ref="C645:C651" si="109">UPPER(I645)</f>
        <v>LEAD DESIGNER</v>
      </c>
      <c r="D645" s="9"/>
      <c r="E645" s="9" t="str">
        <f t="shared" ref="E645:E651" si="110">UPPER(K645)</f>
        <v>WOOJIN SEOK</v>
      </c>
      <c r="F645" s="9"/>
      <c r="G645" s="3"/>
      <c r="H645" s="73"/>
      <c r="I645" s="99" t="s">
        <v>595</v>
      </c>
      <c r="J645" s="73"/>
      <c r="K645" s="73" t="s">
        <v>596</v>
      </c>
      <c r="L645" s="73"/>
      <c r="M645" s="99"/>
      <c r="N645" s="3"/>
      <c r="O645" s="8" t="s">
        <v>946</v>
      </c>
      <c r="P645" s="3"/>
      <c r="Q645" s="3" t="s">
        <v>947</v>
      </c>
      <c r="R645" s="3"/>
    </row>
    <row r="646" spans="1:18" ht="12.75">
      <c r="A646" s="14"/>
      <c r="B646" s="9"/>
      <c r="C646" s="10" t="str">
        <f t="shared" si="109"/>
        <v/>
      </c>
      <c r="D646" s="9"/>
      <c r="E646" s="9" t="str">
        <f t="shared" si="110"/>
        <v/>
      </c>
      <c r="F646" s="9"/>
      <c r="G646" s="3"/>
      <c r="H646" s="73"/>
      <c r="I646" s="99"/>
      <c r="J646" s="73"/>
      <c r="K646" s="73"/>
      <c r="L646" s="73"/>
      <c r="M646" s="99"/>
      <c r="N646" s="3"/>
      <c r="O646" s="8"/>
      <c r="P646" s="3"/>
      <c r="Q646" s="3"/>
      <c r="R646" s="3"/>
    </row>
    <row r="647" spans="1:18" ht="12.75">
      <c r="A647" s="14"/>
      <c r="B647" s="9"/>
      <c r="C647" s="10" t="str">
        <f t="shared" si="109"/>
        <v>DESIGNER</v>
      </c>
      <c r="D647" s="9"/>
      <c r="E647" s="9" t="str">
        <f t="shared" si="110"/>
        <v>JIHYUN KIM</v>
      </c>
      <c r="F647" s="9"/>
      <c r="G647" s="3"/>
      <c r="H647" s="73"/>
      <c r="I647" s="99" t="s">
        <v>597</v>
      </c>
      <c r="J647" s="73"/>
      <c r="K647" s="73" t="s">
        <v>598</v>
      </c>
      <c r="L647" s="73"/>
      <c r="M647" s="99"/>
      <c r="N647" s="3"/>
      <c r="O647" s="8" t="s">
        <v>948</v>
      </c>
      <c r="P647" s="3"/>
      <c r="Q647" s="3" t="s">
        <v>771</v>
      </c>
      <c r="R647" s="3"/>
    </row>
    <row r="648" spans="1:18" ht="12.75">
      <c r="A648" s="14"/>
      <c r="B648" s="9"/>
      <c r="C648" s="10" t="str">
        <f t="shared" si="109"/>
        <v/>
      </c>
      <c r="D648" s="9"/>
      <c r="E648" s="9" t="str">
        <f t="shared" si="110"/>
        <v>MINCHANG KIM</v>
      </c>
      <c r="F648" s="9"/>
      <c r="G648" s="3"/>
      <c r="H648" s="73"/>
      <c r="I648" s="99"/>
      <c r="J648" s="73"/>
      <c r="K648" s="73" t="s">
        <v>599</v>
      </c>
      <c r="L648" s="73"/>
      <c r="M648" s="99"/>
      <c r="N648" s="3"/>
      <c r="O648" s="3"/>
      <c r="P648" s="3"/>
      <c r="Q648" s="3" t="s">
        <v>949</v>
      </c>
      <c r="R648" s="3"/>
    </row>
    <row r="649" spans="1:18" ht="12.75">
      <c r="A649" s="14"/>
      <c r="B649" s="9"/>
      <c r="C649" s="10" t="str">
        <f t="shared" si="109"/>
        <v/>
      </c>
      <c r="D649" s="9"/>
      <c r="E649" s="9" t="str">
        <f t="shared" si="110"/>
        <v>JAEWOOK JOO</v>
      </c>
      <c r="F649" s="9"/>
      <c r="G649" s="3"/>
      <c r="H649" s="73"/>
      <c r="I649" s="99"/>
      <c r="J649" s="73"/>
      <c r="K649" s="73" t="s">
        <v>600</v>
      </c>
      <c r="L649" s="73"/>
      <c r="M649" s="99"/>
      <c r="N649" s="3"/>
      <c r="O649" s="3"/>
      <c r="P649" s="3"/>
      <c r="Q649" s="3" t="s">
        <v>950</v>
      </c>
      <c r="R649" s="3"/>
    </row>
    <row r="650" spans="1:18" ht="12.75">
      <c r="A650" s="14"/>
      <c r="B650" s="9"/>
      <c r="C650" s="10" t="str">
        <f t="shared" si="109"/>
        <v/>
      </c>
      <c r="D650" s="9"/>
      <c r="E650" s="9" t="str">
        <f t="shared" si="110"/>
        <v>NAMOK EU</v>
      </c>
      <c r="F650" s="9"/>
      <c r="G650" s="3"/>
      <c r="H650" s="73"/>
      <c r="I650" s="99"/>
      <c r="J650" s="73"/>
      <c r="K650" s="73" t="s">
        <v>601</v>
      </c>
      <c r="L650" s="73"/>
      <c r="M650" s="99"/>
      <c r="N650" s="3"/>
      <c r="O650" s="3"/>
      <c r="P650" s="3"/>
      <c r="Q650" s="3" t="s">
        <v>951</v>
      </c>
      <c r="R650" s="3"/>
    </row>
    <row r="651" spans="1:18" ht="12.75">
      <c r="A651" s="14"/>
      <c r="B651" s="9"/>
      <c r="C651" s="10" t="str">
        <f t="shared" si="109"/>
        <v/>
      </c>
      <c r="D651" s="9"/>
      <c r="E651" s="9" t="str">
        <f t="shared" si="110"/>
        <v>DAI JEONG</v>
      </c>
      <c r="F651" s="9"/>
      <c r="G651" s="3"/>
      <c r="H651" s="73"/>
      <c r="I651" s="99"/>
      <c r="J651" s="73"/>
      <c r="K651" s="73" t="s">
        <v>602</v>
      </c>
      <c r="L651" s="73"/>
      <c r="M651" s="99"/>
      <c r="N651" s="3"/>
      <c r="O651" s="3"/>
      <c r="P651" s="3"/>
      <c r="Q651" s="3" t="s">
        <v>952</v>
      </c>
      <c r="R651" s="3"/>
    </row>
    <row r="652" spans="1:18" ht="12.75">
      <c r="A652" s="14"/>
      <c r="B652" s="9"/>
      <c r="C652" s="10"/>
      <c r="D652" s="9"/>
      <c r="E652" s="9"/>
      <c r="F652" s="9"/>
      <c r="G652" s="3"/>
      <c r="H652" s="73"/>
      <c r="I652" s="99"/>
      <c r="J652" s="73"/>
      <c r="K652" s="73"/>
      <c r="L652" s="73"/>
      <c r="M652" s="99"/>
      <c r="N652" s="73"/>
      <c r="O652" s="99"/>
      <c r="P652" s="73"/>
      <c r="Q652" s="73"/>
      <c r="R652" s="73"/>
    </row>
    <row r="653" spans="1:18" ht="12.75">
      <c r="A653" s="14"/>
      <c r="B653" s="3"/>
      <c r="C653" s="12"/>
      <c r="D653" s="3"/>
      <c r="E653" s="11"/>
      <c r="F653" s="3"/>
      <c r="G653" s="3"/>
      <c r="H653" s="99"/>
      <c r="I653" s="99"/>
      <c r="J653" s="99"/>
      <c r="K653" s="109"/>
      <c r="L653" s="99"/>
      <c r="M653" s="99"/>
      <c r="N653" s="99"/>
      <c r="O653" s="99"/>
      <c r="P653" s="73"/>
      <c r="Q653" s="73"/>
      <c r="R653" s="73"/>
    </row>
    <row r="654" spans="1:18" ht="12.75">
      <c r="A654" s="14"/>
      <c r="B654" s="3"/>
      <c r="C654" s="12" t="str">
        <f>UPPER(I654)</f>
        <v/>
      </c>
      <c r="D654" s="11"/>
      <c r="E654" s="11" t="str">
        <f>UPPER(K654)</f>
        <v/>
      </c>
      <c r="F654" s="3"/>
      <c r="G654" s="3"/>
      <c r="H654" s="99"/>
      <c r="I654" s="99"/>
      <c r="J654" s="99"/>
      <c r="K654" s="109"/>
      <c r="L654" s="99"/>
      <c r="M654" s="99"/>
      <c r="N654" s="99"/>
      <c r="O654" s="99"/>
      <c r="P654" s="73"/>
      <c r="Q654" s="73"/>
      <c r="R654" s="73"/>
    </row>
    <row r="655" spans="1:18" ht="12.75">
      <c r="A655" s="14"/>
      <c r="B655" s="3"/>
      <c r="C655" s="3"/>
      <c r="D655" s="3"/>
      <c r="E655" s="3"/>
      <c r="F655" s="3"/>
      <c r="G655" s="3"/>
      <c r="H655" s="73"/>
      <c r="I655" s="99"/>
      <c r="J655" s="73"/>
      <c r="K655" s="73"/>
      <c r="L655" s="73"/>
      <c r="M655" s="73"/>
      <c r="N655" s="73"/>
      <c r="O655" s="99"/>
      <c r="P655" s="73"/>
      <c r="Q655" s="73"/>
      <c r="R655" s="73"/>
    </row>
    <row r="656" spans="1:18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</sheetData>
  <mergeCells count="203">
    <mergeCell ref="H472:L472"/>
    <mergeCell ref="B479:F479"/>
    <mergeCell ref="H479:L479"/>
    <mergeCell ref="H480:L480"/>
    <mergeCell ref="H483:L483"/>
    <mergeCell ref="B480:F480"/>
    <mergeCell ref="B495:F495"/>
    <mergeCell ref="H495:L495"/>
    <mergeCell ref="B496:F496"/>
    <mergeCell ref="H496:L496"/>
    <mergeCell ref="B512:F512"/>
    <mergeCell ref="H512:L512"/>
    <mergeCell ref="H567:L567"/>
    <mergeCell ref="N567:R567"/>
    <mergeCell ref="B564:F564"/>
    <mergeCell ref="H564:L564"/>
    <mergeCell ref="N564:R564"/>
    <mergeCell ref="B565:F565"/>
    <mergeCell ref="H565:L565"/>
    <mergeCell ref="N565:R565"/>
    <mergeCell ref="B567:F567"/>
    <mergeCell ref="H598:L598"/>
    <mergeCell ref="N598:R598"/>
    <mergeCell ref="B595:F595"/>
    <mergeCell ref="H595:L595"/>
    <mergeCell ref="N595:R595"/>
    <mergeCell ref="B596:F596"/>
    <mergeCell ref="H596:L596"/>
    <mergeCell ref="N596:R596"/>
    <mergeCell ref="B598:F598"/>
    <mergeCell ref="H625:L625"/>
    <mergeCell ref="N625:R625"/>
    <mergeCell ref="B622:F622"/>
    <mergeCell ref="H622:L622"/>
    <mergeCell ref="N622:R622"/>
    <mergeCell ref="B623:F623"/>
    <mergeCell ref="H623:L623"/>
    <mergeCell ref="N623:R623"/>
    <mergeCell ref="B625:F625"/>
    <mergeCell ref="B386:F386"/>
    <mergeCell ref="H386:L386"/>
    <mergeCell ref="N386:R386"/>
    <mergeCell ref="B402:F402"/>
    <mergeCell ref="H402:L402"/>
    <mergeCell ref="N402:R402"/>
    <mergeCell ref="N407:R407"/>
    <mergeCell ref="B408:F408"/>
    <mergeCell ref="H408:L408"/>
    <mergeCell ref="N408:R408"/>
    <mergeCell ref="B449:F449"/>
    <mergeCell ref="H449:L449"/>
    <mergeCell ref="N449:R449"/>
    <mergeCell ref="B467:F467"/>
    <mergeCell ref="H467:L467"/>
    <mergeCell ref="B468:F468"/>
    <mergeCell ref="B469:F469"/>
    <mergeCell ref="N469:R469"/>
    <mergeCell ref="N413:R413"/>
    <mergeCell ref="B415:F415"/>
    <mergeCell ref="H415:L415"/>
    <mergeCell ref="N415:R415"/>
    <mergeCell ref="H448:L448"/>
    <mergeCell ref="N448:R448"/>
    <mergeCell ref="B428:F428"/>
    <mergeCell ref="H428:L428"/>
    <mergeCell ref="N428:R428"/>
    <mergeCell ref="B429:F429"/>
    <mergeCell ref="H429:L429"/>
    <mergeCell ref="N429:R429"/>
    <mergeCell ref="B448:F448"/>
    <mergeCell ref="H468:L468"/>
    <mergeCell ref="H469:L469"/>
    <mergeCell ref="H638:L638"/>
    <mergeCell ref="N638:R638"/>
    <mergeCell ref="B635:F635"/>
    <mergeCell ref="H635:L635"/>
    <mergeCell ref="N635:R635"/>
    <mergeCell ref="B636:F636"/>
    <mergeCell ref="H636:L636"/>
    <mergeCell ref="N636:R636"/>
    <mergeCell ref="B638:F638"/>
    <mergeCell ref="N167:R167"/>
    <mergeCell ref="N168:R168"/>
    <mergeCell ref="B146:F146"/>
    <mergeCell ref="H146:L146"/>
    <mergeCell ref="N146:R146"/>
    <mergeCell ref="B167:F167"/>
    <mergeCell ref="H167:L167"/>
    <mergeCell ref="B168:F168"/>
    <mergeCell ref="H168:L168"/>
    <mergeCell ref="H200:L200"/>
    <mergeCell ref="N200:R200"/>
    <mergeCell ref="B187:F187"/>
    <mergeCell ref="H187:L187"/>
    <mergeCell ref="N187:R187"/>
    <mergeCell ref="B188:F188"/>
    <mergeCell ref="H188:L188"/>
    <mergeCell ref="N188:R188"/>
    <mergeCell ref="B200:F200"/>
    <mergeCell ref="H222:L222"/>
    <mergeCell ref="N222:R222"/>
    <mergeCell ref="B204:F204"/>
    <mergeCell ref="H204:L204"/>
    <mergeCell ref="N204:R204"/>
    <mergeCell ref="B217:F217"/>
    <mergeCell ref="H217:L217"/>
    <mergeCell ref="N217:R217"/>
    <mergeCell ref="B222:F222"/>
    <mergeCell ref="H250:L250"/>
    <mergeCell ref="N250:R250"/>
    <mergeCell ref="B230:F230"/>
    <mergeCell ref="H230:L230"/>
    <mergeCell ref="N230:R230"/>
    <mergeCell ref="B231:F231"/>
    <mergeCell ref="H231:L231"/>
    <mergeCell ref="N231:R231"/>
    <mergeCell ref="B250:F250"/>
    <mergeCell ref="A1:R2"/>
    <mergeCell ref="B4:F4"/>
    <mergeCell ref="H4:L4"/>
    <mergeCell ref="N4:R4"/>
    <mergeCell ref="B27:F27"/>
    <mergeCell ref="H27:L27"/>
    <mergeCell ref="N27:R27"/>
    <mergeCell ref="B63:F63"/>
    <mergeCell ref="H63:L63"/>
    <mergeCell ref="N63:R63"/>
    <mergeCell ref="B64:F64"/>
    <mergeCell ref="H64:L64"/>
    <mergeCell ref="N64:R64"/>
    <mergeCell ref="B83:F83"/>
    <mergeCell ref="H105:L105"/>
    <mergeCell ref="N105:R105"/>
    <mergeCell ref="B84:F84"/>
    <mergeCell ref="H84:L84"/>
    <mergeCell ref="N84:R84"/>
    <mergeCell ref="B96:F96"/>
    <mergeCell ref="H96:L96"/>
    <mergeCell ref="N96:R96"/>
    <mergeCell ref="B105:F105"/>
    <mergeCell ref="H145:L145"/>
    <mergeCell ref="N145:R145"/>
    <mergeCell ref="B118:F118"/>
    <mergeCell ref="H118:L118"/>
    <mergeCell ref="N118:R118"/>
    <mergeCell ref="B119:F119"/>
    <mergeCell ref="H119:L119"/>
    <mergeCell ref="N119:R119"/>
    <mergeCell ref="B145:F145"/>
    <mergeCell ref="B280:F280"/>
    <mergeCell ref="H280:L280"/>
    <mergeCell ref="N280:R280"/>
    <mergeCell ref="H279:L279"/>
    <mergeCell ref="N279:R279"/>
    <mergeCell ref="B264:F264"/>
    <mergeCell ref="H264:L264"/>
    <mergeCell ref="N264:R264"/>
    <mergeCell ref="B265:F265"/>
    <mergeCell ref="H265:L265"/>
    <mergeCell ref="N265:R265"/>
    <mergeCell ref="B279:F279"/>
    <mergeCell ref="H324:L324"/>
    <mergeCell ref="N324:R324"/>
    <mergeCell ref="B300:F300"/>
    <mergeCell ref="H300:L300"/>
    <mergeCell ref="N300:R300"/>
    <mergeCell ref="B301:F301"/>
    <mergeCell ref="H301:L301"/>
    <mergeCell ref="N301:R301"/>
    <mergeCell ref="B324:F324"/>
    <mergeCell ref="H346:L346"/>
    <mergeCell ref="N346:R346"/>
    <mergeCell ref="B325:F325"/>
    <mergeCell ref="H325:L325"/>
    <mergeCell ref="N325:R325"/>
    <mergeCell ref="B340:F340"/>
    <mergeCell ref="H340:L340"/>
    <mergeCell ref="N340:R340"/>
    <mergeCell ref="B346:F346"/>
    <mergeCell ref="B349:F349"/>
    <mergeCell ref="B363:F363"/>
    <mergeCell ref="H363:L363"/>
    <mergeCell ref="N363:R363"/>
    <mergeCell ref="B364:F364"/>
    <mergeCell ref="H364:L364"/>
    <mergeCell ref="N364:R364"/>
    <mergeCell ref="H538:L538"/>
    <mergeCell ref="N538:R538"/>
    <mergeCell ref="B523:F523"/>
    <mergeCell ref="H523:L523"/>
    <mergeCell ref="N523:R523"/>
    <mergeCell ref="B524:F524"/>
    <mergeCell ref="H524:L524"/>
    <mergeCell ref="N524:R524"/>
    <mergeCell ref="B538:F538"/>
    <mergeCell ref="N467:R467"/>
    <mergeCell ref="N468:R468"/>
    <mergeCell ref="N479:R479"/>
    <mergeCell ref="N480:R480"/>
    <mergeCell ref="N495:R495"/>
    <mergeCell ref="N496:R496"/>
    <mergeCell ref="N497:R497"/>
    <mergeCell ref="N512:R512"/>
  </mergeCells>
  <phoneticPr fontId="5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R784"/>
  <sheetViews>
    <sheetView workbookViewId="0">
      <selection activeCell="K23" sqref="K23"/>
    </sheetView>
  </sheetViews>
  <sheetFormatPr defaultColWidth="12.5703125" defaultRowHeight="15.75" customHeight="1"/>
  <cols>
    <col min="1" max="1" width="2.5703125" customWidth="1"/>
    <col min="2" max="3" width="18.85546875" customWidth="1"/>
    <col min="4" max="4" width="1.42578125" customWidth="1"/>
    <col min="5" max="6" width="18.85546875" customWidth="1"/>
    <col min="7" max="7" width="1.42578125" customWidth="1"/>
    <col min="8" max="9" width="18.85546875" customWidth="1"/>
    <col min="10" max="10" width="1.42578125" customWidth="1"/>
    <col min="11" max="12" width="18.85546875" customWidth="1"/>
    <col min="13" max="13" width="1.42578125" customWidth="1"/>
    <col min="16" max="16" width="1.42578125" customWidth="1"/>
  </cols>
  <sheetData>
    <row r="1" spans="1:18">
      <c r="A1" s="152" t="s">
        <v>763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</row>
    <row r="2" spans="1:18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</row>
    <row r="3" spans="1:18">
      <c r="A3" s="14"/>
      <c r="B3" s="4"/>
      <c r="C3" s="4"/>
      <c r="D3" s="4"/>
      <c r="E3" s="4"/>
      <c r="F3" s="4"/>
      <c r="G3" s="5"/>
      <c r="H3" s="15"/>
      <c r="I3" s="15"/>
      <c r="J3" s="15"/>
      <c r="K3" s="5"/>
      <c r="L3" s="15"/>
      <c r="M3" s="5"/>
      <c r="N3" s="5"/>
      <c r="O3" s="16"/>
      <c r="P3" s="5"/>
      <c r="Q3" s="5"/>
      <c r="R3" s="5"/>
    </row>
    <row r="4" spans="1:18">
      <c r="A4" s="14"/>
      <c r="B4" s="150" t="str">
        <f>UPPER(H4)</f>
        <v>VOICE</v>
      </c>
      <c r="C4" s="141"/>
      <c r="D4" s="141"/>
      <c r="E4" s="141"/>
      <c r="F4" s="141"/>
      <c r="G4" s="18"/>
      <c r="H4" s="148" t="s">
        <v>157</v>
      </c>
      <c r="I4" s="141"/>
      <c r="J4" s="141"/>
      <c r="K4" s="141"/>
      <c r="L4" s="141"/>
      <c r="M4" s="18"/>
      <c r="N4" s="149" t="s">
        <v>777</v>
      </c>
      <c r="O4" s="141"/>
      <c r="P4" s="141"/>
      <c r="Q4" s="141"/>
      <c r="R4" s="141"/>
    </row>
    <row r="5" spans="1:18">
      <c r="A5" s="14"/>
      <c r="B5" s="9"/>
      <c r="C5" s="10" t="str">
        <f t="shared" ref="C5:C24" si="0">UPPER(I5)</f>
        <v>MICHAEL</v>
      </c>
      <c r="D5" s="9"/>
      <c r="E5" s="9" t="str">
        <f t="shared" ref="E5:E23" si="1">UPPER(K5)</f>
        <v>MARC THOMPSON</v>
      </c>
      <c r="F5" s="9"/>
      <c r="G5" s="3"/>
      <c r="H5" s="20"/>
      <c r="I5" s="21" t="s">
        <v>158</v>
      </c>
      <c r="J5" s="20"/>
      <c r="K5" s="2" t="s">
        <v>10</v>
      </c>
      <c r="L5" s="3"/>
      <c r="M5" s="8"/>
      <c r="N5" s="8"/>
      <c r="O5" s="21" t="s">
        <v>778</v>
      </c>
      <c r="P5" s="3"/>
      <c r="Q5" s="3" t="s">
        <v>117</v>
      </c>
      <c r="R5" s="3"/>
    </row>
    <row r="6" spans="1:18">
      <c r="A6" s="14"/>
      <c r="B6" s="9"/>
      <c r="C6" s="10" t="str">
        <f t="shared" si="0"/>
        <v>LUCY</v>
      </c>
      <c r="D6" s="9"/>
      <c r="E6" s="9" t="str">
        <f t="shared" si="1"/>
        <v>SAMANTHA COOPER</v>
      </c>
      <c r="F6" s="9"/>
      <c r="G6" s="3"/>
      <c r="H6" s="20"/>
      <c r="I6" s="21" t="s">
        <v>159</v>
      </c>
      <c r="J6" s="20"/>
      <c r="K6" s="2" t="s">
        <v>37</v>
      </c>
      <c r="L6" s="3"/>
      <c r="M6" s="8"/>
      <c r="N6" s="8"/>
      <c r="O6" s="21" t="s">
        <v>779</v>
      </c>
      <c r="P6" s="3"/>
      <c r="Q6" s="3" t="s">
        <v>118</v>
      </c>
      <c r="R6" s="3"/>
    </row>
    <row r="7" spans="1:18">
      <c r="A7" s="14"/>
      <c r="B7" s="9"/>
      <c r="C7" s="10" t="str">
        <f t="shared" si="0"/>
        <v>NICK</v>
      </c>
      <c r="D7" s="9"/>
      <c r="E7" s="9" t="str">
        <f t="shared" si="1"/>
        <v>JAMES BROWN JR</v>
      </c>
      <c r="F7" s="9"/>
      <c r="G7" s="3"/>
      <c r="H7" s="20"/>
      <c r="I7" s="21" t="s">
        <v>42</v>
      </c>
      <c r="J7" s="20"/>
      <c r="K7" s="2" t="s">
        <v>43</v>
      </c>
      <c r="L7" s="3"/>
      <c r="M7" s="8"/>
      <c r="N7" s="8"/>
      <c r="O7" s="21" t="s">
        <v>119</v>
      </c>
      <c r="P7" s="3"/>
      <c r="Q7" s="3" t="s">
        <v>120</v>
      </c>
      <c r="R7" s="3"/>
    </row>
    <row r="8" spans="1:18">
      <c r="A8" s="14"/>
      <c r="B8" s="9"/>
      <c r="C8" s="10" t="str">
        <f t="shared" si="0"/>
        <v>CRYING MAN</v>
      </c>
      <c r="D8" s="9"/>
      <c r="E8" s="9" t="str">
        <f t="shared" si="1"/>
        <v>BARRETT LEDDY</v>
      </c>
      <c r="F8" s="9"/>
      <c r="G8" s="3"/>
      <c r="H8" s="20"/>
      <c r="I8" s="21" t="s">
        <v>160</v>
      </c>
      <c r="J8" s="20"/>
      <c r="K8" s="2" t="s">
        <v>1</v>
      </c>
      <c r="L8" s="3"/>
      <c r="M8" s="8"/>
      <c r="N8" s="8"/>
      <c r="O8" s="21" t="s">
        <v>74</v>
      </c>
      <c r="P8" s="3"/>
      <c r="Q8" s="3" t="s">
        <v>75</v>
      </c>
      <c r="R8" s="3"/>
    </row>
    <row r="9" spans="1:18">
      <c r="A9" s="14"/>
      <c r="B9" s="9"/>
      <c r="C9" s="10" t="str">
        <f t="shared" si="0"/>
        <v>LUCKY</v>
      </c>
      <c r="D9" s="9"/>
      <c r="E9" s="9" t="str">
        <f t="shared" si="1"/>
        <v>MARC THOMPSON</v>
      </c>
      <c r="F9" s="9"/>
      <c r="G9" s="3"/>
      <c r="H9" s="20"/>
      <c r="I9" s="21" t="s">
        <v>24</v>
      </c>
      <c r="J9" s="20"/>
      <c r="K9" s="2" t="s">
        <v>10</v>
      </c>
      <c r="L9" s="3"/>
      <c r="M9" s="8"/>
      <c r="N9" s="8"/>
      <c r="O9" s="21" t="s">
        <v>98</v>
      </c>
      <c r="P9" s="3"/>
      <c r="Q9" s="3" t="s">
        <v>79</v>
      </c>
      <c r="R9" s="3"/>
    </row>
    <row r="10" spans="1:18">
      <c r="A10" s="14"/>
      <c r="B10" s="9"/>
      <c r="C10" s="10" t="str">
        <f t="shared" si="0"/>
        <v>HUMMINGBIRD MAN</v>
      </c>
      <c r="D10" s="9"/>
      <c r="E10" s="9" t="str">
        <f t="shared" si="1"/>
        <v>ROBB MOREIRA</v>
      </c>
      <c r="F10" s="9"/>
      <c r="G10" s="3"/>
      <c r="H10" s="20"/>
      <c r="I10" s="21" t="s">
        <v>2</v>
      </c>
      <c r="J10" s="20"/>
      <c r="K10" s="22" t="s">
        <v>6</v>
      </c>
      <c r="L10" s="3"/>
      <c r="M10" s="8"/>
      <c r="N10" s="8"/>
      <c r="O10" s="21" t="s">
        <v>76</v>
      </c>
      <c r="P10" s="3"/>
      <c r="Q10" s="3" t="s">
        <v>77</v>
      </c>
      <c r="R10" s="3"/>
    </row>
    <row r="11" spans="1:18">
      <c r="A11" s="14"/>
      <c r="B11" s="9"/>
      <c r="C11" s="10" t="str">
        <f t="shared" si="0"/>
        <v>GRAVITY</v>
      </c>
      <c r="D11" s="9"/>
      <c r="E11" s="9" t="str">
        <f t="shared" si="1"/>
        <v>MARC THOMPSON</v>
      </c>
      <c r="F11" s="9"/>
      <c r="G11" s="3"/>
      <c r="H11" s="20"/>
      <c r="I11" s="21" t="s">
        <v>9</v>
      </c>
      <c r="J11" s="20"/>
      <c r="K11" s="22" t="s">
        <v>10</v>
      </c>
      <c r="L11" s="3"/>
      <c r="M11" s="8"/>
      <c r="N11" s="8"/>
      <c r="O11" s="21" t="s">
        <v>84</v>
      </c>
      <c r="P11" s="3"/>
      <c r="Q11" s="3" t="s">
        <v>85</v>
      </c>
      <c r="R11" s="3"/>
    </row>
    <row r="12" spans="1:18">
      <c r="A12" s="14"/>
      <c r="B12" s="9"/>
      <c r="C12" s="10" t="str">
        <f t="shared" si="0"/>
        <v>SYLPH</v>
      </c>
      <c r="D12" s="9"/>
      <c r="E12" s="9" t="str">
        <f t="shared" si="1"/>
        <v>CAT PROTANO</v>
      </c>
      <c r="F12" s="9"/>
      <c r="G12" s="3"/>
      <c r="H12" s="20"/>
      <c r="I12" s="21" t="s">
        <v>38</v>
      </c>
      <c r="J12" s="20"/>
      <c r="K12" s="2" t="s">
        <v>39</v>
      </c>
      <c r="L12" s="3"/>
      <c r="M12" s="8"/>
      <c r="N12" s="8"/>
      <c r="O12" s="21" t="s">
        <v>115</v>
      </c>
      <c r="P12" s="3"/>
      <c r="Q12" s="3" t="s">
        <v>83</v>
      </c>
      <c r="R12" s="3"/>
    </row>
    <row r="13" spans="1:18">
      <c r="A13" s="14"/>
      <c r="B13" s="9"/>
      <c r="C13" s="10" t="str">
        <f t="shared" si="0"/>
        <v>SPARKULES</v>
      </c>
      <c r="D13" s="9"/>
      <c r="E13" s="9" t="str">
        <f t="shared" si="1"/>
        <v>JAMIE CRAIB</v>
      </c>
      <c r="F13" s="9"/>
      <c r="G13" s="3"/>
      <c r="H13" s="20"/>
      <c r="I13" s="21" t="s">
        <v>40</v>
      </c>
      <c r="J13" s="20"/>
      <c r="K13" s="3" t="s">
        <v>41</v>
      </c>
      <c r="L13" s="3"/>
      <c r="M13" s="8"/>
      <c r="N13" s="8"/>
      <c r="O13" s="21" t="s">
        <v>116</v>
      </c>
      <c r="P13" s="3"/>
      <c r="Q13" s="3" t="s">
        <v>85</v>
      </c>
      <c r="R13" s="3"/>
    </row>
    <row r="14" spans="1:18">
      <c r="A14" s="14"/>
      <c r="B14" s="9"/>
      <c r="C14" s="10" t="str">
        <f t="shared" si="0"/>
        <v>TOXO</v>
      </c>
      <c r="D14" s="9"/>
      <c r="E14" s="9" t="str">
        <f t="shared" si="1"/>
        <v>LUCAS SCHUNEMAN</v>
      </c>
      <c r="F14" s="9"/>
      <c r="G14" s="3"/>
      <c r="H14" s="20"/>
      <c r="I14" s="21" t="s">
        <v>3</v>
      </c>
      <c r="J14" s="20"/>
      <c r="K14" s="3" t="s">
        <v>4</v>
      </c>
      <c r="L14" s="3"/>
      <c r="M14" s="8"/>
      <c r="N14" s="8"/>
      <c r="O14" s="21" t="s">
        <v>78</v>
      </c>
      <c r="P14" s="3"/>
      <c r="Q14" s="3" t="s">
        <v>79</v>
      </c>
      <c r="R14" s="3"/>
    </row>
    <row r="15" spans="1:18">
      <c r="A15" s="14"/>
      <c r="B15" s="9"/>
      <c r="C15" s="10" t="str">
        <f t="shared" si="0"/>
        <v>MUMMY GIRL</v>
      </c>
      <c r="D15" s="9"/>
      <c r="E15" s="9" t="str">
        <f t="shared" si="1"/>
        <v>OLIVIA VIDAS</v>
      </c>
      <c r="F15" s="9"/>
      <c r="G15" s="3"/>
      <c r="H15" s="20"/>
      <c r="I15" s="21" t="s">
        <v>7</v>
      </c>
      <c r="J15" s="20"/>
      <c r="K15" s="22" t="s">
        <v>8</v>
      </c>
      <c r="L15" s="3"/>
      <c r="M15" s="8"/>
      <c r="N15" s="8"/>
      <c r="O15" s="36" t="s">
        <v>82</v>
      </c>
      <c r="P15" s="3"/>
      <c r="Q15" s="3" t="s">
        <v>83</v>
      </c>
      <c r="R15" s="3"/>
    </row>
    <row r="16" spans="1:18">
      <c r="A16" s="14"/>
      <c r="B16" s="9"/>
      <c r="C16" s="10" t="str">
        <f t="shared" si="0"/>
        <v>MR. JUSTICE</v>
      </c>
      <c r="D16" s="9"/>
      <c r="E16" s="9" t="str">
        <f t="shared" si="1"/>
        <v>MARC THOMPSON</v>
      </c>
      <c r="F16" s="9"/>
      <c r="G16" s="3"/>
      <c r="H16" s="20"/>
      <c r="I16" s="36" t="s">
        <v>698</v>
      </c>
      <c r="K16" s="2" t="s">
        <v>10</v>
      </c>
      <c r="L16" s="3"/>
      <c r="M16" s="8"/>
      <c r="N16" s="8"/>
      <c r="O16" s="36" t="s">
        <v>109</v>
      </c>
      <c r="P16" s="3"/>
      <c r="Q16" s="3" t="s">
        <v>100</v>
      </c>
      <c r="R16" s="3"/>
    </row>
    <row r="17" spans="1:18">
      <c r="A17" s="14"/>
      <c r="B17" s="9"/>
      <c r="C17" s="10" t="str">
        <f t="shared" si="0"/>
        <v>TARA</v>
      </c>
      <c r="D17" s="9"/>
      <c r="E17" s="9" t="str">
        <f t="shared" si="1"/>
        <v>JUSTIS BOLDING</v>
      </c>
      <c r="F17" s="9"/>
      <c r="G17" s="3"/>
      <c r="H17" s="20"/>
      <c r="I17" s="36" t="s">
        <v>44</v>
      </c>
      <c r="J17" s="20"/>
      <c r="K17" s="2" t="s">
        <v>45</v>
      </c>
      <c r="L17" s="3"/>
      <c r="M17" s="8"/>
      <c r="N17" s="8"/>
      <c r="O17" s="21" t="s">
        <v>121</v>
      </c>
      <c r="P17" s="3"/>
      <c r="Q17" s="3" t="s">
        <v>87</v>
      </c>
      <c r="R17" s="3"/>
    </row>
    <row r="18" spans="1:18">
      <c r="A18" s="14"/>
      <c r="B18" s="9"/>
      <c r="C18" s="10" t="str">
        <f t="shared" si="0"/>
        <v>COLTON</v>
      </c>
      <c r="D18" s="9"/>
      <c r="E18" s="9" t="str">
        <f t="shared" si="1"/>
        <v>JASON GRIFFITH</v>
      </c>
      <c r="F18" s="9"/>
      <c r="G18" s="3"/>
      <c r="H18" s="20"/>
      <c r="I18" s="36" t="s">
        <v>49</v>
      </c>
      <c r="J18" s="20"/>
      <c r="K18" s="3" t="s">
        <v>23</v>
      </c>
      <c r="L18" s="3"/>
      <c r="M18" s="8"/>
      <c r="N18" s="8"/>
      <c r="O18" s="36" t="s">
        <v>126</v>
      </c>
      <c r="P18" s="3"/>
      <c r="Q18" s="3" t="s">
        <v>127</v>
      </c>
      <c r="R18" s="3"/>
    </row>
    <row r="19" spans="1:18">
      <c r="A19" s="14"/>
      <c r="B19" s="9"/>
      <c r="C19" s="10" t="str">
        <f t="shared" si="0"/>
        <v>SUPER SCOTT</v>
      </c>
      <c r="D19" s="9"/>
      <c r="E19" s="9" t="str">
        <f t="shared" si="1"/>
        <v>ADIN RUDD</v>
      </c>
      <c r="F19" s="9"/>
      <c r="G19" s="3"/>
      <c r="H19" s="20"/>
      <c r="I19" s="21" t="s">
        <v>13</v>
      </c>
      <c r="J19" s="20"/>
      <c r="K19" s="22" t="s">
        <v>14</v>
      </c>
      <c r="L19" s="3"/>
      <c r="M19" s="8"/>
      <c r="N19" s="8"/>
      <c r="O19" s="71" t="s">
        <v>88</v>
      </c>
      <c r="P19" s="3"/>
      <c r="Q19" s="3" t="s">
        <v>79</v>
      </c>
      <c r="R19" s="3"/>
    </row>
    <row r="20" spans="1:18">
      <c r="A20" s="14"/>
      <c r="B20" s="9"/>
      <c r="C20" s="10" t="str">
        <f t="shared" si="0"/>
        <v>KRISTA</v>
      </c>
      <c r="D20" s="9"/>
      <c r="E20" s="9" t="str">
        <f t="shared" si="1"/>
        <v>ZURI WASHINGTON</v>
      </c>
      <c r="F20" s="9"/>
      <c r="G20" s="3"/>
      <c r="H20" s="20"/>
      <c r="I20" s="30" t="s">
        <v>163</v>
      </c>
      <c r="J20" s="24"/>
      <c r="K20" s="24" t="s">
        <v>47</v>
      </c>
      <c r="L20" s="3"/>
      <c r="M20" s="8"/>
      <c r="N20" s="8"/>
      <c r="O20" s="71" t="s">
        <v>123</v>
      </c>
      <c r="P20" s="3"/>
      <c r="Q20" s="3" t="s">
        <v>87</v>
      </c>
      <c r="R20" s="3"/>
    </row>
    <row r="21" spans="1:18">
      <c r="A21" s="14"/>
      <c r="B21" s="9"/>
      <c r="C21" s="10" t="str">
        <f t="shared" si="0"/>
        <v>TIMO</v>
      </c>
      <c r="D21" s="9"/>
      <c r="E21" s="9" t="str">
        <f t="shared" si="1"/>
        <v>AMANDA HUFFORD</v>
      </c>
      <c r="F21" s="9"/>
      <c r="G21" s="3"/>
      <c r="H21" s="20"/>
      <c r="I21" s="49" t="s">
        <v>46</v>
      </c>
      <c r="J21" s="50"/>
      <c r="K21" s="24" t="s">
        <v>18</v>
      </c>
      <c r="L21" s="3"/>
      <c r="M21" s="8"/>
      <c r="N21" s="8"/>
      <c r="O21" s="36" t="s">
        <v>122</v>
      </c>
      <c r="P21" s="3"/>
      <c r="Q21" s="3" t="s">
        <v>87</v>
      </c>
      <c r="R21" s="3"/>
    </row>
    <row r="22" spans="1:18">
      <c r="A22" s="14"/>
      <c r="B22" s="9"/>
      <c r="C22" s="10" t="str">
        <f t="shared" si="0"/>
        <v>HONEY</v>
      </c>
      <c r="D22" s="9"/>
      <c r="E22" s="9" t="str">
        <f t="shared" si="1"/>
        <v>SARAH FAYE BEARD</v>
      </c>
      <c r="F22" s="9"/>
      <c r="G22" s="3"/>
      <c r="H22" s="20"/>
      <c r="I22" s="36" t="s">
        <v>66</v>
      </c>
      <c r="J22" s="2"/>
      <c r="K22" s="2" t="s">
        <v>67</v>
      </c>
      <c r="L22" s="3"/>
      <c r="M22" s="8"/>
      <c r="N22" s="8"/>
      <c r="O22" s="36" t="s">
        <v>142</v>
      </c>
      <c r="P22" s="3"/>
      <c r="Q22" s="3" t="s">
        <v>83</v>
      </c>
      <c r="R22" s="3"/>
    </row>
    <row r="23" spans="1:18">
      <c r="A23" s="14"/>
      <c r="B23" s="9"/>
      <c r="C23" s="10" t="str">
        <f t="shared" si="0"/>
        <v>CYNTHIA</v>
      </c>
      <c r="D23" s="9"/>
      <c r="E23" s="9" t="str">
        <f t="shared" si="1"/>
        <v>MARY O'BRADY</v>
      </c>
      <c r="F23" s="9"/>
      <c r="G23" s="3"/>
      <c r="H23" s="20"/>
      <c r="I23" s="36" t="s">
        <v>68</v>
      </c>
      <c r="J23" s="2"/>
      <c r="K23" s="2" t="s">
        <v>69</v>
      </c>
      <c r="L23" s="3"/>
      <c r="M23" s="8"/>
      <c r="N23" s="8"/>
      <c r="O23" s="21" t="s">
        <v>143</v>
      </c>
      <c r="P23" s="3"/>
      <c r="Q23" s="3" t="s">
        <v>87</v>
      </c>
      <c r="R23" s="3"/>
    </row>
    <row r="24" spans="1:18">
      <c r="A24" s="14"/>
      <c r="B24" s="9"/>
      <c r="C24" s="10" t="str">
        <f t="shared" si="0"/>
        <v/>
      </c>
      <c r="D24" s="9"/>
      <c r="E24" s="9"/>
      <c r="F24" s="9"/>
      <c r="G24" s="3"/>
      <c r="H24" s="20"/>
      <c r="I24" s="21"/>
      <c r="J24" s="20"/>
      <c r="K24" s="25"/>
      <c r="L24" s="3"/>
      <c r="M24" s="8"/>
      <c r="N24" s="8"/>
      <c r="O24" s="21"/>
      <c r="P24" s="3"/>
      <c r="Q24" s="3"/>
      <c r="R24" s="3"/>
    </row>
    <row r="25" spans="1:18">
      <c r="A25" s="14"/>
      <c r="B25" s="11"/>
      <c r="C25" s="12"/>
      <c r="D25" s="11"/>
      <c r="E25" s="11"/>
      <c r="F25" s="11"/>
      <c r="G25" s="3"/>
      <c r="H25" s="20"/>
      <c r="I25" s="21"/>
      <c r="J25" s="20"/>
      <c r="K25" s="25"/>
      <c r="L25" s="3"/>
      <c r="M25" s="8"/>
      <c r="N25" s="8"/>
      <c r="O25" s="21"/>
      <c r="P25" s="3"/>
      <c r="Q25" s="3"/>
      <c r="R25" s="3"/>
    </row>
    <row r="26" spans="1:18">
      <c r="A26" s="14"/>
      <c r="B26" s="9"/>
      <c r="C26" s="10"/>
      <c r="D26" s="9"/>
      <c r="E26" s="9"/>
      <c r="F26" s="9"/>
      <c r="G26" s="3"/>
      <c r="H26" s="20"/>
      <c r="I26" s="21"/>
      <c r="J26" s="20"/>
      <c r="K26" s="25"/>
      <c r="L26" s="3"/>
      <c r="M26" s="8"/>
      <c r="N26" s="8"/>
      <c r="O26" s="21"/>
      <c r="P26" s="3"/>
      <c r="Q26" s="3"/>
      <c r="R26" s="3"/>
    </row>
    <row r="27" spans="1:18">
      <c r="A27" s="14"/>
      <c r="B27" s="150" t="str">
        <f>UPPER(H27)</f>
        <v>VOICE</v>
      </c>
      <c r="C27" s="141"/>
      <c r="D27" s="141"/>
      <c r="E27" s="141"/>
      <c r="F27" s="141"/>
      <c r="G27" s="18"/>
      <c r="H27" s="148" t="s">
        <v>157</v>
      </c>
      <c r="I27" s="141"/>
      <c r="J27" s="141"/>
      <c r="K27" s="141"/>
      <c r="L27" s="141"/>
      <c r="M27" s="18"/>
      <c r="N27" s="149" t="s">
        <v>777</v>
      </c>
      <c r="O27" s="141"/>
      <c r="P27" s="141"/>
      <c r="Q27" s="141"/>
      <c r="R27" s="141"/>
    </row>
    <row r="28" spans="1:18">
      <c r="A28" s="14"/>
      <c r="B28" s="9"/>
      <c r="C28" s="10" t="str">
        <f t="shared" ref="C28:C46" si="2">UPPER(I28)</f>
        <v>FIRE HEAD</v>
      </c>
      <c r="D28" s="9"/>
      <c r="E28" s="9" t="str">
        <f t="shared" ref="E28:E46" si="3">UPPER(K28)</f>
        <v>ERICA SCHROEDER</v>
      </c>
      <c r="F28" s="9"/>
      <c r="G28" s="3"/>
      <c r="H28" s="20"/>
      <c r="I28" s="131" t="s">
        <v>15</v>
      </c>
      <c r="J28" s="50"/>
      <c r="K28" s="24" t="s">
        <v>16</v>
      </c>
      <c r="L28" s="3"/>
      <c r="M28" s="8"/>
      <c r="N28" s="8"/>
      <c r="O28" s="21" t="s">
        <v>89</v>
      </c>
      <c r="P28" s="3"/>
      <c r="Q28" s="3" t="s">
        <v>90</v>
      </c>
      <c r="R28" s="3"/>
    </row>
    <row r="29" spans="1:18">
      <c r="A29" s="14"/>
      <c r="B29" s="9"/>
      <c r="C29" s="10" t="str">
        <f t="shared" si="2"/>
        <v>CARRIE</v>
      </c>
      <c r="D29" s="9"/>
      <c r="E29" s="9" t="str">
        <f t="shared" si="3"/>
        <v>SAMANTHA COOPER</v>
      </c>
      <c r="F29" s="9"/>
      <c r="G29" s="3"/>
      <c r="H29" s="20"/>
      <c r="I29" s="21" t="s">
        <v>36</v>
      </c>
      <c r="J29" s="20"/>
      <c r="K29" s="2" t="s">
        <v>37</v>
      </c>
      <c r="L29" s="3"/>
      <c r="M29" s="8"/>
      <c r="N29" s="8"/>
      <c r="O29" s="21" t="s">
        <v>114</v>
      </c>
      <c r="P29" s="3"/>
      <c r="Q29" s="3" t="s">
        <v>94</v>
      </c>
      <c r="R29" s="3"/>
    </row>
    <row r="30" spans="1:18">
      <c r="A30" s="14"/>
      <c r="B30" s="9"/>
      <c r="C30" s="10" t="str">
        <f t="shared" si="2"/>
        <v>SKULL CRUSHER</v>
      </c>
      <c r="D30" s="9"/>
      <c r="E30" s="9" t="str">
        <f t="shared" si="3"/>
        <v>VALORY PIERCE</v>
      </c>
      <c r="F30" s="9"/>
      <c r="G30" s="3"/>
      <c r="H30" s="20"/>
      <c r="I30" s="36" t="s">
        <v>52</v>
      </c>
      <c r="J30" s="2"/>
      <c r="K30" s="2" t="s">
        <v>53</v>
      </c>
      <c r="L30" s="3"/>
      <c r="M30" s="8"/>
      <c r="N30" s="8"/>
      <c r="O30" s="21" t="s">
        <v>132</v>
      </c>
      <c r="P30" s="3"/>
      <c r="Q30" s="3" t="s">
        <v>83</v>
      </c>
      <c r="R30" s="3"/>
    </row>
    <row r="31" spans="1:18">
      <c r="A31" s="14"/>
      <c r="B31" s="9"/>
      <c r="C31" s="10" t="str">
        <f t="shared" si="2"/>
        <v>PAPA PRINCESS</v>
      </c>
      <c r="D31" s="9"/>
      <c r="E31" s="9" t="str">
        <f t="shared" si="3"/>
        <v>DINESH ALVIS</v>
      </c>
      <c r="F31" s="9"/>
      <c r="G31" s="3"/>
      <c r="H31" s="20"/>
      <c r="I31" s="36" t="s">
        <v>54</v>
      </c>
      <c r="J31" s="2"/>
      <c r="K31" s="2" t="s">
        <v>55</v>
      </c>
      <c r="L31" s="3"/>
      <c r="M31" s="8"/>
      <c r="N31" s="8"/>
      <c r="O31" s="21" t="s">
        <v>133</v>
      </c>
      <c r="P31" s="3"/>
      <c r="Q31" s="3" t="s">
        <v>75</v>
      </c>
      <c r="R31" s="3"/>
    </row>
    <row r="32" spans="1:18">
      <c r="A32" s="14"/>
      <c r="B32" s="9"/>
      <c r="C32" s="10" t="str">
        <f t="shared" si="2"/>
        <v>KING BLOCKBUSTER</v>
      </c>
      <c r="D32" s="9"/>
      <c r="E32" s="9" t="str">
        <f t="shared" si="3"/>
        <v>BRENT MUKAI</v>
      </c>
      <c r="F32" s="9"/>
      <c r="G32" s="3"/>
      <c r="H32" s="20"/>
      <c r="I32" s="30" t="s">
        <v>56</v>
      </c>
      <c r="J32" s="24"/>
      <c r="K32" s="24" t="s">
        <v>57</v>
      </c>
      <c r="L32" s="3"/>
      <c r="M32" s="8"/>
      <c r="N32" s="8"/>
      <c r="O32" s="21" t="s">
        <v>134</v>
      </c>
      <c r="P32" s="3"/>
      <c r="Q32" s="3" t="s">
        <v>100</v>
      </c>
      <c r="R32" s="3"/>
    </row>
    <row r="33" spans="1:18">
      <c r="A33" s="14"/>
      <c r="B33" s="9"/>
      <c r="C33" s="10" t="str">
        <f t="shared" si="2"/>
        <v>HOT BUTTON 81</v>
      </c>
      <c r="D33" s="9"/>
      <c r="E33" s="9" t="str">
        <f t="shared" si="3"/>
        <v>GIANNI MATRAGRANO</v>
      </c>
      <c r="F33" s="9"/>
      <c r="G33" s="3"/>
      <c r="H33" s="20"/>
      <c r="I33" s="30" t="s">
        <v>51</v>
      </c>
      <c r="J33" s="24"/>
      <c r="K33" s="24" t="s">
        <v>32</v>
      </c>
      <c r="L33" s="3"/>
      <c r="M33" s="8"/>
      <c r="N33" s="8"/>
      <c r="O33" s="21" t="s">
        <v>131</v>
      </c>
      <c r="P33" s="3"/>
      <c r="Q33" s="3" t="s">
        <v>102</v>
      </c>
      <c r="R33" s="3"/>
    </row>
    <row r="34" spans="1:18">
      <c r="A34" s="14"/>
      <c r="B34" s="9"/>
      <c r="C34" s="10" t="str">
        <f t="shared" si="2"/>
        <v>HAIRY HARRY</v>
      </c>
      <c r="D34" s="9"/>
      <c r="E34" s="9" t="str">
        <f t="shared" si="3"/>
        <v>GIANNI MATRAGRANO</v>
      </c>
      <c r="F34" s="9"/>
      <c r="G34" s="3"/>
      <c r="H34" s="20"/>
      <c r="I34" s="21" t="s">
        <v>31</v>
      </c>
      <c r="J34" s="20"/>
      <c r="K34" s="24" t="s">
        <v>32</v>
      </c>
      <c r="L34" s="3"/>
      <c r="M34" s="8"/>
      <c r="N34" s="8"/>
      <c r="O34" s="21" t="s">
        <v>107</v>
      </c>
      <c r="P34" s="3"/>
      <c r="Q34" s="3" t="s">
        <v>108</v>
      </c>
      <c r="R34" s="3"/>
    </row>
    <row r="35" spans="1:18">
      <c r="A35" s="14"/>
      <c r="B35" s="9"/>
      <c r="C35" s="10" t="str">
        <f t="shared" si="2"/>
        <v>25 CENT</v>
      </c>
      <c r="D35" s="9"/>
      <c r="E35" s="9" t="str">
        <f t="shared" si="3"/>
        <v>BARRETT LEDDY</v>
      </c>
      <c r="F35" s="9"/>
      <c r="G35" s="3"/>
      <c r="H35" s="20"/>
      <c r="I35" s="52" t="s">
        <v>30</v>
      </c>
      <c r="J35" s="50"/>
      <c r="K35" s="24" t="s">
        <v>1</v>
      </c>
      <c r="L35" s="3"/>
      <c r="M35" s="8"/>
      <c r="N35" s="8"/>
      <c r="O35" s="21" t="s">
        <v>106</v>
      </c>
      <c r="P35" s="3"/>
      <c r="Q35" s="3" t="s">
        <v>104</v>
      </c>
      <c r="R35" s="3"/>
    </row>
    <row r="36" spans="1:18">
      <c r="A36" s="14"/>
      <c r="B36" s="9"/>
      <c r="C36" s="10" t="str">
        <f t="shared" si="2"/>
        <v>KAY-OH</v>
      </c>
      <c r="D36" s="9"/>
      <c r="E36" s="9" t="str">
        <f t="shared" si="3"/>
        <v>JENNY YOKOBORI</v>
      </c>
      <c r="F36" s="9"/>
      <c r="G36" s="3"/>
      <c r="H36" s="20"/>
      <c r="I36" s="36" t="s">
        <v>33</v>
      </c>
      <c r="J36" s="20"/>
      <c r="K36" s="22" t="s">
        <v>12</v>
      </c>
      <c r="L36" s="3"/>
      <c r="M36" s="8"/>
      <c r="N36" s="8"/>
      <c r="O36" s="21" t="s">
        <v>110</v>
      </c>
      <c r="P36" s="3"/>
      <c r="Q36" s="3" t="s">
        <v>111</v>
      </c>
      <c r="R36" s="3"/>
    </row>
    <row r="37" spans="1:18">
      <c r="A37" s="14"/>
      <c r="B37" s="9"/>
      <c r="C37" s="10" t="str">
        <f t="shared" si="2"/>
        <v>KUNG-FU 7</v>
      </c>
      <c r="D37" s="9"/>
      <c r="E37" s="9" t="str">
        <f t="shared" si="3"/>
        <v xml:space="preserve">ALLEN WINTER </v>
      </c>
      <c r="F37" s="9"/>
      <c r="G37" s="3"/>
      <c r="H37" s="20"/>
      <c r="I37" s="36" t="s">
        <v>731</v>
      </c>
      <c r="J37" s="20"/>
      <c r="K37" s="23" t="s">
        <v>34</v>
      </c>
      <c r="L37" s="3"/>
      <c r="M37" s="8"/>
      <c r="N37" s="8"/>
      <c r="O37" s="21" t="s">
        <v>112</v>
      </c>
      <c r="P37" s="3"/>
      <c r="Q37" s="3" t="s">
        <v>100</v>
      </c>
      <c r="R37" s="3"/>
    </row>
    <row r="38" spans="1:18">
      <c r="A38" s="14"/>
      <c r="B38" s="9"/>
      <c r="C38" s="10" t="str">
        <f t="shared" si="2"/>
        <v>BOBBY</v>
      </c>
      <c r="D38" s="9"/>
      <c r="E38" s="9" t="str">
        <f t="shared" si="3"/>
        <v xml:space="preserve">ALLEN WINTER </v>
      </c>
      <c r="F38" s="9"/>
      <c r="G38" s="3"/>
      <c r="H38" s="20"/>
      <c r="I38" s="52" t="s">
        <v>164</v>
      </c>
      <c r="J38" s="50"/>
      <c r="K38" s="23" t="s">
        <v>34</v>
      </c>
      <c r="L38" s="3"/>
      <c r="M38" s="8"/>
      <c r="N38" s="8"/>
      <c r="O38" s="21" t="s">
        <v>124</v>
      </c>
      <c r="P38" s="3"/>
      <c r="Q38" s="3" t="s">
        <v>113</v>
      </c>
      <c r="R38" s="3"/>
    </row>
    <row r="39" spans="1:18">
      <c r="A39" s="14"/>
      <c r="B39" s="9"/>
      <c r="C39" s="10" t="str">
        <f t="shared" si="2"/>
        <v>DIRK-O</v>
      </c>
      <c r="D39" s="9"/>
      <c r="E39" s="9" t="str">
        <f t="shared" si="3"/>
        <v>MARC THOMPSON</v>
      </c>
      <c r="F39" s="9"/>
      <c r="G39" s="3"/>
      <c r="H39" s="20"/>
      <c r="I39" s="36" t="s">
        <v>649</v>
      </c>
      <c r="J39" s="2"/>
      <c r="K39" s="2" t="s">
        <v>10</v>
      </c>
      <c r="L39" s="3"/>
      <c r="M39" s="8"/>
      <c r="N39" s="8"/>
      <c r="O39" s="21" t="s">
        <v>129</v>
      </c>
      <c r="P39" s="3"/>
      <c r="Q39" s="3" t="s">
        <v>130</v>
      </c>
      <c r="R39" s="3"/>
    </row>
    <row r="40" spans="1:18">
      <c r="A40" s="14"/>
      <c r="B40" s="9"/>
      <c r="C40" s="10" t="str">
        <f t="shared" si="2"/>
        <v>OTHER VOICES</v>
      </c>
      <c r="D40" s="9"/>
      <c r="E40" s="9" t="str">
        <f t="shared" si="3"/>
        <v>ALLEN WINTER</v>
      </c>
      <c r="F40" s="9"/>
      <c r="G40" s="3"/>
      <c r="H40" s="20"/>
      <c r="I40" s="21" t="s">
        <v>165</v>
      </c>
      <c r="J40" s="20"/>
      <c r="K40" s="2" t="s">
        <v>607</v>
      </c>
      <c r="L40" s="3"/>
      <c r="M40" s="8"/>
      <c r="N40" s="8"/>
      <c r="O40" s="21"/>
      <c r="P40" s="3"/>
      <c r="Q40" s="3"/>
      <c r="R40" s="3"/>
    </row>
    <row r="41" spans="1:18">
      <c r="A41" s="14"/>
      <c r="B41" s="9"/>
      <c r="C41" s="10" t="str">
        <f t="shared" si="2"/>
        <v/>
      </c>
      <c r="D41" s="9"/>
      <c r="E41" s="9" t="str">
        <f t="shared" si="3"/>
        <v>CAT PROTANO</v>
      </c>
      <c r="F41" s="9"/>
      <c r="G41" s="3"/>
      <c r="H41" s="20"/>
      <c r="I41" s="21"/>
      <c r="J41" s="20"/>
      <c r="K41" s="2" t="s">
        <v>39</v>
      </c>
      <c r="L41" s="3"/>
      <c r="M41" s="8"/>
      <c r="N41" s="8"/>
      <c r="O41" s="21"/>
      <c r="P41" s="3"/>
      <c r="Q41" s="3"/>
      <c r="R41" s="3"/>
    </row>
    <row r="42" spans="1:18">
      <c r="A42" s="14"/>
      <c r="B42" s="9"/>
      <c r="C42" s="10" t="str">
        <f t="shared" si="2"/>
        <v/>
      </c>
      <c r="D42" s="9"/>
      <c r="E42" s="9" t="str">
        <f t="shared" si="3"/>
        <v>JAMIE CRAIB</v>
      </c>
      <c r="F42" s="9"/>
      <c r="G42" s="3"/>
      <c r="H42" s="20"/>
      <c r="I42" s="21"/>
      <c r="J42" s="20"/>
      <c r="K42" s="2" t="s">
        <v>41</v>
      </c>
      <c r="L42" s="3"/>
      <c r="M42" s="8"/>
      <c r="N42" s="8"/>
      <c r="O42" s="21"/>
      <c r="P42" s="3"/>
      <c r="Q42" s="3"/>
      <c r="R42" s="3"/>
    </row>
    <row r="43" spans="1:18">
      <c r="A43" s="14"/>
      <c r="B43" s="9"/>
      <c r="C43" s="10" t="str">
        <f t="shared" si="2"/>
        <v/>
      </c>
      <c r="D43" s="9"/>
      <c r="E43" s="9" t="str">
        <f t="shared" si="3"/>
        <v>JENNY YOKOBORI</v>
      </c>
      <c r="F43" s="9"/>
      <c r="G43" s="3"/>
      <c r="H43" s="20"/>
      <c r="I43" s="21"/>
      <c r="J43" s="20"/>
      <c r="K43" s="2" t="s">
        <v>12</v>
      </c>
      <c r="L43" s="3"/>
      <c r="M43" s="8"/>
      <c r="N43" s="8"/>
      <c r="O43" s="21"/>
      <c r="P43" s="3"/>
      <c r="Q43" s="3"/>
      <c r="R43" s="3"/>
    </row>
    <row r="44" spans="1:18">
      <c r="A44" s="14"/>
      <c r="B44" s="9"/>
      <c r="C44" s="10" t="str">
        <f t="shared" si="2"/>
        <v/>
      </c>
      <c r="D44" s="9"/>
      <c r="E44" s="9" t="str">
        <f t="shared" si="3"/>
        <v>OLIVIA VIDAS</v>
      </c>
      <c r="F44" s="9"/>
      <c r="G44" s="3"/>
      <c r="H44" s="20"/>
      <c r="I44" s="21"/>
      <c r="J44" s="20"/>
      <c r="K44" s="2" t="s">
        <v>8</v>
      </c>
      <c r="L44" s="3"/>
      <c r="M44" s="8"/>
      <c r="N44" s="8"/>
      <c r="O44" s="21"/>
      <c r="P44" s="3"/>
      <c r="Q44" s="3"/>
      <c r="R44" s="3"/>
    </row>
    <row r="45" spans="1:18">
      <c r="A45" s="14"/>
      <c r="B45" s="9"/>
      <c r="C45" s="10" t="str">
        <f t="shared" si="2"/>
        <v/>
      </c>
      <c r="D45" s="9"/>
      <c r="E45" s="9" t="str">
        <f t="shared" si="3"/>
        <v>ROBB MOREIRA</v>
      </c>
      <c r="F45" s="9"/>
      <c r="G45" s="3"/>
      <c r="H45" s="20"/>
      <c r="I45" s="21"/>
      <c r="J45" s="20"/>
      <c r="K45" s="2" t="s">
        <v>6</v>
      </c>
      <c r="L45" s="3"/>
      <c r="M45" s="8"/>
      <c r="N45" s="8"/>
      <c r="O45" s="21"/>
      <c r="P45" s="3"/>
      <c r="Q45" s="3"/>
      <c r="R45" s="3"/>
    </row>
    <row r="46" spans="1:18">
      <c r="A46" s="14"/>
      <c r="B46" s="9"/>
      <c r="C46" s="10" t="str">
        <f t="shared" si="2"/>
        <v/>
      </c>
      <c r="D46" s="9"/>
      <c r="E46" s="9" t="str">
        <f t="shared" si="3"/>
        <v>TOM WAYLAND</v>
      </c>
      <c r="F46" s="9"/>
      <c r="G46" s="3"/>
      <c r="H46" s="20"/>
      <c r="I46" s="21"/>
      <c r="J46" s="20"/>
      <c r="K46" s="2" t="s">
        <v>58</v>
      </c>
      <c r="L46" s="3"/>
      <c r="M46" s="8"/>
      <c r="N46" s="8"/>
      <c r="O46" s="21"/>
      <c r="P46" s="3"/>
      <c r="Q46" s="3"/>
      <c r="R46" s="3"/>
    </row>
    <row r="47" spans="1:18">
      <c r="A47" s="14"/>
      <c r="B47" s="9"/>
      <c r="C47" s="10"/>
      <c r="D47" s="9"/>
      <c r="E47" s="9"/>
      <c r="F47" s="9"/>
      <c r="G47" s="3"/>
      <c r="H47" s="20"/>
      <c r="I47" s="21"/>
      <c r="J47" s="20"/>
      <c r="K47" s="2"/>
      <c r="L47" s="3"/>
      <c r="M47" s="8"/>
      <c r="N47" s="8"/>
      <c r="O47" s="21"/>
      <c r="P47" s="3"/>
      <c r="Q47" s="3"/>
      <c r="R47" s="3"/>
    </row>
    <row r="48" spans="1:18">
      <c r="A48" s="14"/>
      <c r="B48" s="11" t="str">
        <f t="shared" ref="B48:C48" si="4">UPPER(H48)</f>
        <v/>
      </c>
      <c r="C48" s="12" t="str">
        <f t="shared" si="4"/>
        <v/>
      </c>
      <c r="D48" s="11"/>
      <c r="E48" s="11" t="str">
        <f>UPPER(K48)</f>
        <v/>
      </c>
      <c r="F48" s="11"/>
      <c r="G48" s="3"/>
      <c r="H48" s="20"/>
      <c r="I48" s="21"/>
      <c r="J48" s="20"/>
      <c r="K48" s="13"/>
      <c r="L48" s="3"/>
      <c r="M48" s="8"/>
      <c r="N48" s="8"/>
      <c r="O48" s="21"/>
      <c r="P48" s="3"/>
      <c r="Q48" s="3"/>
      <c r="R48" s="3"/>
    </row>
    <row r="49" spans="1:18">
      <c r="A49" s="14"/>
      <c r="B49" s="9"/>
      <c r="C49" s="10"/>
      <c r="D49" s="9"/>
      <c r="E49" s="9"/>
      <c r="F49" s="9"/>
      <c r="G49" s="3"/>
      <c r="H49" s="20"/>
      <c r="I49" s="21"/>
      <c r="J49" s="20"/>
      <c r="K49" s="3"/>
      <c r="L49" s="3"/>
      <c r="M49" s="8"/>
      <c r="N49" s="8"/>
      <c r="O49" s="21"/>
      <c r="P49" s="3"/>
      <c r="Q49" s="3"/>
      <c r="R49" s="3"/>
    </row>
    <row r="50" spans="1:18">
      <c r="A50" s="14"/>
      <c r="B50" s="9"/>
      <c r="C50" s="10" t="str">
        <f t="shared" ref="C50:C63" si="5">UPPER(I50)</f>
        <v>DIRECTOR</v>
      </c>
      <c r="D50" s="9"/>
      <c r="E50" s="9" t="str">
        <f t="shared" ref="E50:E63" si="6">UPPER(K50)</f>
        <v>JOOGONG MAENG</v>
      </c>
      <c r="F50" s="9"/>
      <c r="G50" s="3"/>
      <c r="H50" s="20"/>
      <c r="I50" s="21" t="s">
        <v>168</v>
      </c>
      <c r="J50" s="20"/>
      <c r="K50" s="3" t="s">
        <v>148</v>
      </c>
      <c r="L50" s="3"/>
      <c r="M50" s="8"/>
      <c r="N50" s="8"/>
      <c r="O50" s="8" t="s">
        <v>783</v>
      </c>
      <c r="P50" s="3"/>
      <c r="Q50" s="3" t="s">
        <v>769</v>
      </c>
      <c r="R50" s="3"/>
    </row>
    <row r="51" spans="1:18">
      <c r="A51" s="14"/>
      <c r="B51" s="9"/>
      <c r="C51" s="10" t="str">
        <f t="shared" si="5"/>
        <v/>
      </c>
      <c r="D51" s="9"/>
      <c r="E51" s="9" t="str">
        <f t="shared" si="6"/>
        <v/>
      </c>
      <c r="F51" s="9"/>
      <c r="G51" s="3"/>
      <c r="H51" s="20"/>
      <c r="I51" s="21"/>
      <c r="J51" s="20"/>
      <c r="K51" s="13"/>
      <c r="L51" s="3"/>
      <c r="M51" s="8"/>
      <c r="N51" s="8"/>
      <c r="O51" s="3"/>
      <c r="P51" s="3"/>
      <c r="Q51" s="3"/>
      <c r="R51" s="3"/>
    </row>
    <row r="52" spans="1:18">
      <c r="A52" s="14"/>
      <c r="B52" s="9"/>
      <c r="C52" s="10" t="str">
        <f t="shared" si="5"/>
        <v>CO-DIRECTOR</v>
      </c>
      <c r="D52" s="9"/>
      <c r="E52" s="9" t="str">
        <f t="shared" si="6"/>
        <v>TAEWOOK KOH</v>
      </c>
      <c r="F52" s="9"/>
      <c r="G52" s="3"/>
      <c r="H52" s="20"/>
      <c r="I52" s="21" t="s">
        <v>169</v>
      </c>
      <c r="J52" s="20"/>
      <c r="K52" s="13" t="s">
        <v>149</v>
      </c>
      <c r="L52" s="3"/>
      <c r="M52" s="8"/>
      <c r="N52" s="8"/>
      <c r="O52" s="8" t="s">
        <v>784</v>
      </c>
      <c r="P52" s="3"/>
      <c r="Q52" s="3" t="s">
        <v>770</v>
      </c>
      <c r="R52" s="3"/>
    </row>
    <row r="53" spans="1:18">
      <c r="A53" s="14"/>
      <c r="B53" s="9"/>
      <c r="C53" s="10" t="str">
        <f t="shared" si="5"/>
        <v/>
      </c>
      <c r="D53" s="9"/>
      <c r="E53" s="9" t="str">
        <f t="shared" si="6"/>
        <v/>
      </c>
      <c r="F53" s="9"/>
      <c r="G53" s="3"/>
      <c r="H53" s="20"/>
      <c r="I53" s="21"/>
      <c r="J53" s="20"/>
      <c r="K53" s="13"/>
      <c r="L53" s="3"/>
      <c r="M53" s="8"/>
      <c r="N53" s="8"/>
      <c r="O53" s="3"/>
      <c r="P53" s="3"/>
      <c r="Q53" s="3"/>
      <c r="R53" s="3"/>
    </row>
    <row r="54" spans="1:18">
      <c r="A54" s="14"/>
      <c r="B54" s="9"/>
      <c r="C54" s="10" t="str">
        <f t="shared" si="5"/>
        <v>ASSISTANT DIRECTOR</v>
      </c>
      <c r="D54" s="9"/>
      <c r="E54" s="9" t="str">
        <f t="shared" si="6"/>
        <v>JEEHYUN KIM</v>
      </c>
      <c r="F54" s="9"/>
      <c r="G54" s="3"/>
      <c r="H54" s="20"/>
      <c r="I54" s="21" t="s">
        <v>170</v>
      </c>
      <c r="J54" s="20"/>
      <c r="K54" s="13" t="s">
        <v>150</v>
      </c>
      <c r="L54" s="3"/>
      <c r="M54" s="8"/>
      <c r="N54" s="8"/>
      <c r="O54" s="8" t="s">
        <v>785</v>
      </c>
      <c r="P54" s="3"/>
      <c r="Q54" s="3" t="s">
        <v>771</v>
      </c>
      <c r="R54" s="3"/>
    </row>
    <row r="55" spans="1:18">
      <c r="A55" s="14"/>
      <c r="B55" s="9"/>
      <c r="C55" s="10" t="str">
        <f t="shared" si="5"/>
        <v/>
      </c>
      <c r="D55" s="9"/>
      <c r="E55" s="9" t="str">
        <f t="shared" si="6"/>
        <v/>
      </c>
      <c r="F55" s="9"/>
      <c r="G55" s="3"/>
      <c r="H55" s="20"/>
      <c r="I55" s="21"/>
      <c r="J55" s="20"/>
      <c r="K55" s="13"/>
      <c r="L55" s="3"/>
      <c r="M55" s="8"/>
      <c r="N55" s="8"/>
      <c r="O55" s="3"/>
      <c r="P55" s="3"/>
      <c r="Q55" s="3"/>
      <c r="R55" s="3"/>
    </row>
    <row r="56" spans="1:18">
      <c r="A56" s="14"/>
      <c r="B56" s="9"/>
      <c r="C56" s="10" t="str">
        <f t="shared" si="5"/>
        <v>STORY SUPERVISOR</v>
      </c>
      <c r="D56" s="9"/>
      <c r="E56" s="9" t="str">
        <f t="shared" si="6"/>
        <v>TAEWOOK KOH</v>
      </c>
      <c r="F56" s="9"/>
      <c r="G56" s="3"/>
      <c r="H56" s="20"/>
      <c r="I56" s="21" t="s">
        <v>171</v>
      </c>
      <c r="J56" s="20"/>
      <c r="K56" s="13" t="s">
        <v>149</v>
      </c>
      <c r="L56" s="3"/>
      <c r="M56" s="3"/>
      <c r="N56" s="3"/>
      <c r="O56" s="8" t="s">
        <v>786</v>
      </c>
      <c r="P56" s="3"/>
      <c r="Q56" s="3" t="s">
        <v>770</v>
      </c>
      <c r="R56" s="3"/>
    </row>
    <row r="57" spans="1:18">
      <c r="A57" s="14"/>
      <c r="B57" s="9"/>
      <c r="C57" s="10" t="str">
        <f t="shared" si="5"/>
        <v/>
      </c>
      <c r="D57" s="9"/>
      <c r="E57" s="9" t="str">
        <f t="shared" si="6"/>
        <v>JEEHYUN KIM</v>
      </c>
      <c r="F57" s="9"/>
      <c r="G57" s="3"/>
      <c r="H57" s="20"/>
      <c r="I57" s="21"/>
      <c r="J57" s="20"/>
      <c r="K57" s="13" t="s">
        <v>150</v>
      </c>
      <c r="L57" s="3"/>
      <c r="M57" s="8"/>
      <c r="N57" s="8"/>
      <c r="O57" s="3"/>
      <c r="P57" s="3"/>
      <c r="Q57" s="3" t="s">
        <v>771</v>
      </c>
      <c r="R57" s="3"/>
    </row>
    <row r="58" spans="1:18">
      <c r="A58" s="14"/>
      <c r="B58" s="9"/>
      <c r="C58" s="10" t="str">
        <f t="shared" si="5"/>
        <v/>
      </c>
      <c r="D58" s="9"/>
      <c r="E58" s="9" t="str">
        <f t="shared" si="6"/>
        <v>JIWON OH</v>
      </c>
      <c r="F58" s="9"/>
      <c r="G58" s="3"/>
      <c r="H58" s="20"/>
      <c r="I58" s="21"/>
      <c r="J58" s="20"/>
      <c r="K58" s="13" t="s">
        <v>151</v>
      </c>
      <c r="L58" s="3"/>
      <c r="M58" s="8"/>
      <c r="N58" s="8"/>
      <c r="O58" s="3"/>
      <c r="P58" s="3"/>
      <c r="Q58" s="3" t="s">
        <v>774</v>
      </c>
      <c r="R58" s="3"/>
    </row>
    <row r="59" spans="1:18">
      <c r="A59" s="14"/>
      <c r="B59" s="9"/>
      <c r="C59" s="10" t="str">
        <f t="shared" si="5"/>
        <v/>
      </c>
      <c r="D59" s="9"/>
      <c r="E59" s="9" t="str">
        <f t="shared" si="6"/>
        <v/>
      </c>
      <c r="F59" s="9"/>
      <c r="G59" s="3"/>
      <c r="H59" s="20"/>
      <c r="I59" s="21"/>
      <c r="J59" s="20"/>
      <c r="K59" s="13"/>
      <c r="L59" s="3"/>
      <c r="M59" s="8"/>
      <c r="N59" s="8"/>
      <c r="O59" s="3"/>
      <c r="P59" s="3"/>
      <c r="Q59" s="3"/>
      <c r="R59" s="3"/>
    </row>
    <row r="60" spans="1:18">
      <c r="A60" s="14"/>
      <c r="B60" s="9"/>
      <c r="C60" s="10" t="str">
        <f t="shared" si="5"/>
        <v>STORY ARTIST</v>
      </c>
      <c r="D60" s="9"/>
      <c r="E60" s="9" t="str">
        <f t="shared" si="6"/>
        <v>WON HWANG</v>
      </c>
      <c r="F60" s="9"/>
      <c r="G60" s="3"/>
      <c r="H60" s="20"/>
      <c r="I60" s="21" t="s">
        <v>172</v>
      </c>
      <c r="J60" s="20"/>
      <c r="K60" s="13" t="s">
        <v>173</v>
      </c>
      <c r="L60" s="3"/>
      <c r="M60" s="8"/>
      <c r="N60" s="8"/>
      <c r="O60" s="8" t="s">
        <v>787</v>
      </c>
      <c r="P60" s="3"/>
      <c r="Q60" s="3" t="s">
        <v>788</v>
      </c>
      <c r="R60" s="3"/>
    </row>
    <row r="61" spans="1:18">
      <c r="A61" s="14"/>
      <c r="B61" s="9"/>
      <c r="C61" s="10" t="str">
        <f t="shared" si="5"/>
        <v/>
      </c>
      <c r="D61" s="9"/>
      <c r="E61" s="9" t="str">
        <f t="shared" si="6"/>
        <v/>
      </c>
      <c r="F61" s="9"/>
      <c r="G61" s="3"/>
      <c r="H61" s="20"/>
      <c r="I61" s="21"/>
      <c r="J61" s="20"/>
      <c r="K61" s="13"/>
      <c r="L61" s="3"/>
      <c r="M61" s="3"/>
      <c r="N61" s="3"/>
      <c r="O61" s="8"/>
      <c r="P61" s="3"/>
      <c r="Q61" s="3"/>
      <c r="R61" s="3"/>
    </row>
    <row r="62" spans="1:18">
      <c r="A62" s="14"/>
      <c r="B62" s="9"/>
      <c r="C62" s="10" t="str">
        <f t="shared" si="5"/>
        <v>STORY EDITOR</v>
      </c>
      <c r="D62" s="9"/>
      <c r="E62" s="9" t="str">
        <f t="shared" si="6"/>
        <v>JAKE GOLDMAN</v>
      </c>
      <c r="F62" s="9"/>
      <c r="G62" s="3"/>
      <c r="H62" s="20"/>
      <c r="I62" s="21" t="s">
        <v>174</v>
      </c>
      <c r="J62" s="20"/>
      <c r="K62" s="13" t="s">
        <v>155</v>
      </c>
      <c r="L62" s="20"/>
      <c r="M62" s="3"/>
      <c r="N62" s="20"/>
      <c r="O62" s="8" t="s">
        <v>789</v>
      </c>
      <c r="P62" s="3"/>
      <c r="Q62" s="3" t="s">
        <v>155</v>
      </c>
      <c r="R62" s="3"/>
    </row>
    <row r="63" spans="1:18">
      <c r="A63" s="14"/>
      <c r="B63" s="9"/>
      <c r="C63" s="10" t="str">
        <f t="shared" si="5"/>
        <v>WRITTEN BY</v>
      </c>
      <c r="D63" s="9"/>
      <c r="E63" s="9" t="str">
        <f t="shared" si="6"/>
        <v>JESSE GOLDMAN</v>
      </c>
      <c r="F63" s="9"/>
      <c r="G63" s="3"/>
      <c r="H63" s="20"/>
      <c r="I63" s="21" t="s">
        <v>154</v>
      </c>
      <c r="J63" s="20"/>
      <c r="K63" s="2" t="s">
        <v>650</v>
      </c>
      <c r="L63" s="3"/>
      <c r="M63" s="3"/>
      <c r="N63" s="3"/>
      <c r="O63" s="8" t="s">
        <v>790</v>
      </c>
      <c r="P63" s="3"/>
      <c r="Q63" s="2" t="s">
        <v>650</v>
      </c>
      <c r="R63" s="3"/>
    </row>
    <row r="64" spans="1:18">
      <c r="A64" s="14"/>
      <c r="B64" s="9"/>
      <c r="C64" s="10"/>
      <c r="D64" s="9"/>
      <c r="E64" s="9"/>
      <c r="F64" s="9"/>
      <c r="G64" s="3"/>
      <c r="H64" s="20"/>
      <c r="I64" s="21"/>
      <c r="J64" s="20"/>
      <c r="K64" s="13"/>
      <c r="L64" s="3"/>
      <c r="M64" s="3"/>
      <c r="N64" s="3"/>
      <c r="O64" s="21"/>
      <c r="P64" s="3"/>
      <c r="Q64" s="3"/>
      <c r="R64" s="3"/>
    </row>
    <row r="65" spans="1:18">
      <c r="A65" s="14"/>
      <c r="B65" s="26"/>
      <c r="C65" s="26"/>
      <c r="D65" s="26"/>
      <c r="E65" s="26"/>
      <c r="F65" s="26"/>
      <c r="G65" s="3"/>
      <c r="H65" s="27"/>
      <c r="I65" s="21"/>
      <c r="J65" s="27"/>
      <c r="K65" s="7"/>
      <c r="L65" s="7"/>
      <c r="M65" s="3"/>
      <c r="N65" s="3"/>
      <c r="O65" s="21"/>
      <c r="P65" s="3"/>
      <c r="Q65" s="3"/>
      <c r="R65" s="3"/>
    </row>
    <row r="66" spans="1:18">
      <c r="A66" s="14"/>
      <c r="B66" s="6"/>
      <c r="C66" s="6"/>
      <c r="D66" s="6"/>
      <c r="E66" s="6"/>
      <c r="F66" s="6"/>
      <c r="G66" s="3"/>
      <c r="H66" s="27"/>
      <c r="I66" s="21"/>
      <c r="J66" s="27"/>
      <c r="K66" s="7"/>
      <c r="L66" s="7"/>
      <c r="M66" s="3"/>
      <c r="N66" s="3"/>
      <c r="O66" s="21"/>
      <c r="P66" s="3"/>
      <c r="Q66" s="3"/>
      <c r="R66" s="3"/>
    </row>
    <row r="67" spans="1:18">
      <c r="A67" s="14"/>
      <c r="B67" s="150" t="str">
        <f t="shared" ref="B67:B68" si="7">UPPER(H67)</f>
        <v>STORYBOARD</v>
      </c>
      <c r="C67" s="141"/>
      <c r="D67" s="141"/>
      <c r="E67" s="141"/>
      <c r="F67" s="141"/>
      <c r="G67" s="28"/>
      <c r="H67" s="148" t="s">
        <v>175</v>
      </c>
      <c r="I67" s="141"/>
      <c r="J67" s="141"/>
      <c r="K67" s="141"/>
      <c r="L67" s="141"/>
      <c r="M67" s="28"/>
      <c r="N67" s="149" t="s">
        <v>791</v>
      </c>
      <c r="O67" s="141"/>
      <c r="P67" s="141"/>
      <c r="Q67" s="141"/>
      <c r="R67" s="141"/>
    </row>
    <row r="68" spans="1:18">
      <c r="A68" s="14"/>
      <c r="B68" s="146" t="str">
        <f t="shared" si="7"/>
        <v>STUDIO GOINDOL INC.</v>
      </c>
      <c r="C68" s="141"/>
      <c r="D68" s="141"/>
      <c r="E68" s="141"/>
      <c r="F68" s="141"/>
      <c r="G68" s="3"/>
      <c r="H68" s="144" t="s">
        <v>176</v>
      </c>
      <c r="I68" s="141"/>
      <c r="J68" s="141"/>
      <c r="K68" s="141"/>
      <c r="L68" s="141"/>
      <c r="M68" s="3"/>
      <c r="N68" s="145" t="s">
        <v>792</v>
      </c>
      <c r="O68" s="141"/>
      <c r="P68" s="141"/>
      <c r="Q68" s="141"/>
      <c r="R68" s="141"/>
    </row>
    <row r="69" spans="1:18">
      <c r="A69" s="14"/>
      <c r="B69" s="9"/>
      <c r="C69" s="10"/>
      <c r="D69" s="9"/>
      <c r="E69" s="9"/>
      <c r="F69" s="9"/>
      <c r="G69" s="3"/>
      <c r="H69" s="20"/>
      <c r="I69" s="21"/>
      <c r="J69" s="20"/>
      <c r="K69" s="13"/>
      <c r="L69" s="3"/>
      <c r="M69" s="3"/>
      <c r="N69" s="3"/>
      <c r="O69" s="8"/>
      <c r="P69" s="3"/>
      <c r="Q69" s="3"/>
      <c r="R69" s="3"/>
    </row>
    <row r="70" spans="1:18">
      <c r="A70" s="14"/>
      <c r="B70" s="9"/>
      <c r="C70" s="10" t="str">
        <f>UPPER(I70)</f>
        <v>STORYBOARD DIRECTOR</v>
      </c>
      <c r="D70" s="9"/>
      <c r="E70" s="9" t="str">
        <f>UPPER(K70)</f>
        <v>YOUNGKWANG JO</v>
      </c>
      <c r="F70" s="9"/>
      <c r="G70" s="3"/>
      <c r="H70" s="20"/>
      <c r="I70" s="54" t="s">
        <v>177</v>
      </c>
      <c r="J70" s="56"/>
      <c r="K70" s="2" t="s">
        <v>178</v>
      </c>
      <c r="L70" s="3"/>
      <c r="M70" s="3"/>
      <c r="N70" s="3"/>
      <c r="O70" s="8" t="s">
        <v>793</v>
      </c>
      <c r="P70" s="3"/>
      <c r="Q70" s="3" t="s">
        <v>794</v>
      </c>
      <c r="R70" s="3"/>
    </row>
    <row r="71" spans="1:18">
      <c r="A71" s="14"/>
      <c r="B71" s="9"/>
      <c r="C71" s="10"/>
      <c r="D71" s="9"/>
      <c r="E71" s="9"/>
      <c r="F71" s="9"/>
      <c r="G71" s="3"/>
      <c r="H71" s="20"/>
      <c r="I71" s="21"/>
      <c r="J71" s="20"/>
      <c r="K71" s="13"/>
      <c r="L71" s="3"/>
      <c r="M71" s="3"/>
      <c r="N71" s="3"/>
      <c r="O71" s="8"/>
      <c r="P71" s="3"/>
      <c r="Q71" s="3"/>
      <c r="R71" s="3"/>
    </row>
    <row r="72" spans="1:18">
      <c r="A72" s="14"/>
      <c r="B72" s="9"/>
      <c r="C72" s="10" t="str">
        <f t="shared" ref="C72:C73" si="8">UPPER(I72)</f>
        <v>STORYBOARD REVISIONIST</v>
      </c>
      <c r="D72" s="9"/>
      <c r="E72" s="9" t="str">
        <f t="shared" ref="E72:E73" si="9">UPPER(K72)</f>
        <v>GWANHOON CHUNG</v>
      </c>
      <c r="F72" s="9"/>
      <c r="G72" s="3"/>
      <c r="H72" s="20"/>
      <c r="I72" s="21" t="s">
        <v>182</v>
      </c>
      <c r="J72" s="20"/>
      <c r="K72" s="3" t="s">
        <v>743</v>
      </c>
      <c r="L72" s="3"/>
      <c r="M72" s="3"/>
      <c r="N72" s="3"/>
      <c r="O72" s="21" t="s">
        <v>957</v>
      </c>
      <c r="P72" s="3"/>
      <c r="Q72" s="3" t="s">
        <v>973</v>
      </c>
      <c r="R72" s="3"/>
    </row>
    <row r="73" spans="1:18">
      <c r="A73" s="14"/>
      <c r="B73" s="9"/>
      <c r="C73" s="10" t="str">
        <f t="shared" si="8"/>
        <v/>
      </c>
      <c r="D73" s="9"/>
      <c r="E73" s="9" t="str">
        <f t="shared" si="9"/>
        <v>DEBORAH KANG</v>
      </c>
      <c r="F73" s="9"/>
      <c r="G73" s="3"/>
      <c r="H73" s="20"/>
      <c r="I73" s="21"/>
      <c r="J73" s="20"/>
      <c r="K73" s="24" t="s">
        <v>744</v>
      </c>
      <c r="L73" s="3"/>
      <c r="M73" s="3"/>
      <c r="N73" s="3"/>
      <c r="O73" s="8"/>
      <c r="P73" s="3"/>
      <c r="Q73" s="140" t="s">
        <v>974</v>
      </c>
      <c r="R73" s="3"/>
    </row>
    <row r="74" spans="1:18">
      <c r="A74" s="14"/>
      <c r="B74" s="9"/>
      <c r="C74" s="10"/>
      <c r="D74" s="9"/>
      <c r="E74" s="9"/>
      <c r="F74" s="9"/>
      <c r="G74" s="3"/>
      <c r="H74" s="20"/>
      <c r="I74" s="21"/>
      <c r="J74" s="20"/>
      <c r="K74" s="13"/>
      <c r="L74" s="3"/>
      <c r="M74" s="3"/>
      <c r="N74" s="3"/>
      <c r="O74" s="21"/>
      <c r="P74" s="3"/>
      <c r="Q74" s="3"/>
      <c r="R74" s="3"/>
    </row>
    <row r="75" spans="1:18">
      <c r="A75" s="14"/>
      <c r="B75" s="11" t="str">
        <f t="shared" ref="B75:C75" si="10">UPPER(H75)</f>
        <v/>
      </c>
      <c r="C75" s="12" t="str">
        <f t="shared" si="10"/>
        <v/>
      </c>
      <c r="D75" s="11"/>
      <c r="E75" s="11" t="str">
        <f>UPPER(K75)</f>
        <v/>
      </c>
      <c r="F75" s="11"/>
      <c r="G75" s="3"/>
      <c r="H75" s="20"/>
      <c r="I75" s="21"/>
      <c r="J75" s="20"/>
      <c r="K75" s="13"/>
      <c r="L75" s="3"/>
      <c r="M75" s="3"/>
      <c r="N75" s="73"/>
      <c r="O75" s="99"/>
      <c r="P75" s="73"/>
      <c r="Q75" s="73"/>
      <c r="R75" s="73"/>
    </row>
    <row r="76" spans="1:18">
      <c r="A76" s="14"/>
      <c r="B76" s="9"/>
      <c r="C76" s="10"/>
      <c r="D76" s="9"/>
      <c r="E76" s="9"/>
      <c r="F76" s="9"/>
      <c r="G76" s="3"/>
      <c r="H76" s="20"/>
      <c r="I76" s="21"/>
      <c r="J76" s="20"/>
      <c r="K76" s="3"/>
      <c r="L76" s="3"/>
      <c r="M76" s="8"/>
      <c r="N76" s="99"/>
      <c r="O76" s="99"/>
      <c r="P76" s="73"/>
      <c r="Q76" s="73"/>
      <c r="R76" s="73"/>
    </row>
    <row r="77" spans="1:18">
      <c r="A77" s="14"/>
      <c r="B77" s="9"/>
      <c r="C77" s="10" t="str">
        <f t="shared" ref="C77:C85" si="11">UPPER(I77)</f>
        <v>PRODUCTION MANAGER</v>
      </c>
      <c r="D77" s="9"/>
      <c r="E77" s="9" t="str">
        <f t="shared" ref="E77:E86" si="12">UPPER(K77)</f>
        <v>SEMIN SHIN</v>
      </c>
      <c r="F77" s="9"/>
      <c r="G77" s="3"/>
      <c r="H77" s="20"/>
      <c r="I77" s="21" t="s">
        <v>152</v>
      </c>
      <c r="J77" s="20"/>
      <c r="K77" s="3" t="s">
        <v>153</v>
      </c>
      <c r="L77" s="3"/>
      <c r="M77" s="8"/>
      <c r="N77" s="99"/>
      <c r="O77" s="8" t="s">
        <v>775</v>
      </c>
      <c r="P77" s="3"/>
      <c r="Q77" s="3" t="s">
        <v>776</v>
      </c>
      <c r="R77" s="73"/>
    </row>
    <row r="78" spans="1:18">
      <c r="A78" s="14"/>
      <c r="B78" s="9"/>
      <c r="C78" s="10" t="str">
        <f t="shared" si="11"/>
        <v/>
      </c>
      <c r="D78" s="9"/>
      <c r="E78" s="9" t="str">
        <f t="shared" si="12"/>
        <v/>
      </c>
      <c r="F78" s="9"/>
      <c r="G78" s="3"/>
      <c r="H78" s="20"/>
      <c r="I78" s="21"/>
      <c r="J78" s="20"/>
      <c r="K78" s="3"/>
      <c r="L78" s="3"/>
      <c r="M78" s="8"/>
      <c r="N78" s="99"/>
      <c r="O78" s="8"/>
      <c r="P78" s="3"/>
      <c r="Q78" s="3"/>
      <c r="R78" s="73"/>
    </row>
    <row r="79" spans="1:18">
      <c r="A79" s="14"/>
      <c r="B79" s="9"/>
      <c r="C79" s="10" t="str">
        <f t="shared" si="11"/>
        <v>PRODUCTION COORDINATOR</v>
      </c>
      <c r="D79" s="9"/>
      <c r="E79" s="9" t="str">
        <f t="shared" si="12"/>
        <v>SEHUI JUNG</v>
      </c>
      <c r="F79" s="9"/>
      <c r="G79" s="3"/>
      <c r="H79" s="20"/>
      <c r="I79" s="64" t="s">
        <v>184</v>
      </c>
      <c r="J79" s="20"/>
      <c r="K79" s="3" t="s">
        <v>185</v>
      </c>
      <c r="L79" s="3"/>
      <c r="M79" s="3"/>
      <c r="N79" s="73"/>
      <c r="O79" s="8" t="s">
        <v>800</v>
      </c>
      <c r="P79" s="3"/>
      <c r="Q79" s="3" t="s">
        <v>801</v>
      </c>
      <c r="R79" s="73"/>
    </row>
    <row r="80" spans="1:18">
      <c r="A80" s="14"/>
      <c r="B80" s="9"/>
      <c r="C80" s="10" t="str">
        <f t="shared" si="11"/>
        <v/>
      </c>
      <c r="D80" s="9"/>
      <c r="E80" s="9" t="str">
        <f t="shared" si="12"/>
        <v>CHRISTINA YOONJUNG HAN</v>
      </c>
      <c r="F80" s="9"/>
      <c r="G80" s="3"/>
      <c r="H80" s="20"/>
      <c r="I80" s="21"/>
      <c r="J80" s="20"/>
      <c r="K80" s="3" t="s">
        <v>186</v>
      </c>
      <c r="L80" s="3"/>
      <c r="M80" s="8"/>
      <c r="N80" s="99"/>
      <c r="O80" s="3"/>
      <c r="P80" s="3"/>
      <c r="Q80" s="3" t="s">
        <v>802</v>
      </c>
      <c r="R80" s="73"/>
    </row>
    <row r="81" spans="1:18">
      <c r="A81" s="14"/>
      <c r="B81" s="9"/>
      <c r="C81" s="10" t="str">
        <f t="shared" si="11"/>
        <v/>
      </c>
      <c r="D81" s="9"/>
      <c r="E81" s="9" t="str">
        <f t="shared" si="12"/>
        <v>WOORI KO</v>
      </c>
      <c r="F81" s="9"/>
      <c r="G81" s="3"/>
      <c r="H81" s="20"/>
      <c r="I81" s="21"/>
      <c r="J81" s="20"/>
      <c r="K81" s="3" t="s">
        <v>187</v>
      </c>
      <c r="L81" s="3"/>
      <c r="M81" s="8"/>
      <c r="N81" s="99"/>
      <c r="O81" s="3"/>
      <c r="P81" s="3"/>
      <c r="Q81" s="3" t="s">
        <v>803</v>
      </c>
      <c r="R81" s="73"/>
    </row>
    <row r="82" spans="1:18">
      <c r="A82" s="14"/>
      <c r="B82" s="9"/>
      <c r="C82" s="10" t="str">
        <f t="shared" si="11"/>
        <v/>
      </c>
      <c r="D82" s="9"/>
      <c r="E82" s="9" t="str">
        <f t="shared" si="12"/>
        <v>EUNHA HWANG</v>
      </c>
      <c r="F82" s="9"/>
      <c r="G82" s="3"/>
      <c r="H82" s="20"/>
      <c r="I82" s="64"/>
      <c r="J82" s="20"/>
      <c r="K82" s="3" t="s">
        <v>188</v>
      </c>
      <c r="L82" s="3"/>
      <c r="M82" s="8"/>
      <c r="N82" s="99"/>
      <c r="O82" s="3"/>
      <c r="P82" s="3"/>
      <c r="Q82" s="3" t="s">
        <v>804</v>
      </c>
      <c r="R82" s="73"/>
    </row>
    <row r="83" spans="1:18">
      <c r="A83" s="14"/>
      <c r="B83" s="9"/>
      <c r="C83" s="10" t="str">
        <f t="shared" si="11"/>
        <v/>
      </c>
      <c r="D83" s="9"/>
      <c r="E83" s="9" t="str">
        <f t="shared" si="12"/>
        <v>YEONJAE KANG</v>
      </c>
      <c r="F83" s="9"/>
      <c r="G83" s="3"/>
      <c r="H83" s="20"/>
      <c r="I83" s="64"/>
      <c r="J83" s="20"/>
      <c r="K83" s="3" t="s">
        <v>189</v>
      </c>
      <c r="L83" s="3"/>
      <c r="M83" s="8"/>
      <c r="N83" s="99"/>
      <c r="O83" s="3"/>
      <c r="P83" s="3"/>
      <c r="Q83" s="3" t="s">
        <v>805</v>
      </c>
      <c r="R83" s="73"/>
    </row>
    <row r="84" spans="1:18">
      <c r="A84" s="14"/>
      <c r="B84" s="9"/>
      <c r="C84" s="10" t="str">
        <f t="shared" si="11"/>
        <v/>
      </c>
      <c r="D84" s="9"/>
      <c r="E84" s="9" t="str">
        <f t="shared" si="12"/>
        <v>SKYE YONJI LEE</v>
      </c>
      <c r="F84" s="9"/>
      <c r="G84" s="3"/>
      <c r="H84" s="20"/>
      <c r="I84" s="64"/>
      <c r="J84" s="20"/>
      <c r="K84" s="3" t="s">
        <v>190</v>
      </c>
      <c r="L84" s="3"/>
      <c r="M84" s="8"/>
      <c r="N84" s="99"/>
      <c r="O84" s="3"/>
      <c r="P84" s="3"/>
      <c r="Q84" s="3" t="s">
        <v>806</v>
      </c>
      <c r="R84" s="73"/>
    </row>
    <row r="85" spans="1:18">
      <c r="A85" s="14"/>
      <c r="B85" s="9"/>
      <c r="C85" s="10" t="str">
        <f t="shared" si="11"/>
        <v/>
      </c>
      <c r="D85" s="9"/>
      <c r="E85" s="9" t="str">
        <f t="shared" si="12"/>
        <v/>
      </c>
      <c r="F85" s="9"/>
      <c r="G85" s="3"/>
      <c r="H85" s="20"/>
      <c r="I85" s="64"/>
      <c r="J85" s="20"/>
      <c r="K85" s="3"/>
      <c r="L85" s="3"/>
      <c r="M85" s="8"/>
      <c r="N85" s="8"/>
      <c r="O85" s="21"/>
      <c r="P85" s="3"/>
      <c r="Q85" s="3"/>
      <c r="R85" s="3"/>
    </row>
    <row r="86" spans="1:18">
      <c r="A86" s="14"/>
      <c r="B86" s="11" t="str">
        <f t="shared" ref="B86:C86" si="13">UPPER(H86)</f>
        <v/>
      </c>
      <c r="C86" s="12" t="str">
        <f t="shared" si="13"/>
        <v/>
      </c>
      <c r="D86" s="11"/>
      <c r="E86" s="11" t="str">
        <f t="shared" si="12"/>
        <v/>
      </c>
      <c r="F86" s="11"/>
      <c r="G86" s="3"/>
      <c r="H86" s="20"/>
      <c r="I86" s="21"/>
      <c r="J86" s="20"/>
      <c r="K86" s="13"/>
      <c r="L86" s="3"/>
      <c r="M86" s="8"/>
      <c r="N86" s="8"/>
      <c r="O86" s="21"/>
      <c r="P86" s="3"/>
      <c r="Q86" s="3"/>
      <c r="R86" s="3"/>
    </row>
    <row r="87" spans="1:18">
      <c r="A87" s="14"/>
      <c r="B87" s="146"/>
      <c r="C87" s="141"/>
      <c r="D87" s="141"/>
      <c r="E87" s="141"/>
      <c r="F87" s="141"/>
      <c r="G87" s="3"/>
      <c r="H87" s="20"/>
      <c r="I87" s="64"/>
      <c r="J87" s="20"/>
      <c r="K87" s="3"/>
      <c r="L87" s="3"/>
      <c r="M87" s="8"/>
      <c r="N87" s="8"/>
      <c r="O87" s="21"/>
      <c r="P87" s="3"/>
      <c r="Q87" s="3"/>
      <c r="R87" s="3"/>
    </row>
    <row r="88" spans="1:18">
      <c r="A88" s="14"/>
      <c r="B88" s="150" t="str">
        <f>UPPER(H88)</f>
        <v>ART</v>
      </c>
      <c r="C88" s="141"/>
      <c r="D88" s="141"/>
      <c r="E88" s="141"/>
      <c r="F88" s="141"/>
      <c r="G88" s="28"/>
      <c r="H88" s="148" t="s">
        <v>191</v>
      </c>
      <c r="I88" s="141"/>
      <c r="J88" s="141"/>
      <c r="K88" s="141"/>
      <c r="L88" s="141"/>
      <c r="M88" s="29"/>
      <c r="N88" s="149" t="s">
        <v>807</v>
      </c>
      <c r="O88" s="141"/>
      <c r="P88" s="141"/>
      <c r="Q88" s="141"/>
      <c r="R88" s="141"/>
    </row>
    <row r="89" spans="1:18">
      <c r="A89" s="14"/>
      <c r="B89" s="9"/>
      <c r="C89" s="10" t="str">
        <f t="shared" ref="C89:C92" si="14">UPPER(I89)</f>
        <v>CHARACTER DESIGN</v>
      </c>
      <c r="D89" s="9"/>
      <c r="E89" s="9" t="str">
        <f t="shared" ref="E89:E99" si="15">UPPER(K89)</f>
        <v>NANDABY KWON</v>
      </c>
      <c r="F89" s="9"/>
      <c r="G89" s="3"/>
      <c r="H89" s="20"/>
      <c r="I89" s="21" t="s">
        <v>192</v>
      </c>
      <c r="J89" s="20"/>
      <c r="K89" s="13" t="s">
        <v>193</v>
      </c>
      <c r="L89" s="3"/>
      <c r="M89" s="8"/>
      <c r="N89" s="3"/>
      <c r="O89" s="8" t="s">
        <v>808</v>
      </c>
      <c r="P89" s="3"/>
      <c r="Q89" s="3" t="s">
        <v>809</v>
      </c>
      <c r="R89" s="3"/>
    </row>
    <row r="90" spans="1:18">
      <c r="A90" s="14"/>
      <c r="B90" s="9"/>
      <c r="C90" s="10" t="str">
        <f t="shared" si="14"/>
        <v/>
      </c>
      <c r="D90" s="9"/>
      <c r="E90" s="9" t="str">
        <f t="shared" si="15"/>
        <v>MANJOONG LEE</v>
      </c>
      <c r="F90" s="9"/>
      <c r="G90" s="3"/>
      <c r="H90" s="20"/>
      <c r="I90" s="21"/>
      <c r="J90" s="20"/>
      <c r="K90" s="13" t="s">
        <v>194</v>
      </c>
      <c r="L90" s="3"/>
      <c r="M90" s="8"/>
      <c r="N90" s="3"/>
      <c r="O90" s="3"/>
      <c r="P90" s="3"/>
      <c r="Q90" s="3" t="s">
        <v>810</v>
      </c>
      <c r="R90" s="3"/>
    </row>
    <row r="91" spans="1:18">
      <c r="A91" s="14"/>
      <c r="B91" s="9"/>
      <c r="C91" s="10" t="str">
        <f t="shared" si="14"/>
        <v/>
      </c>
      <c r="D91" s="9"/>
      <c r="E91" s="9" t="str">
        <f t="shared" si="15"/>
        <v>HYUNSONG WE</v>
      </c>
      <c r="F91" s="9"/>
      <c r="G91" s="3"/>
      <c r="H91" s="20"/>
      <c r="I91" s="21"/>
      <c r="J91" s="20"/>
      <c r="K91" s="13" t="s">
        <v>195</v>
      </c>
      <c r="L91" s="3"/>
      <c r="M91" s="8"/>
      <c r="N91" s="3"/>
      <c r="O91" s="3"/>
      <c r="P91" s="3"/>
      <c r="Q91" s="3" t="s">
        <v>811</v>
      </c>
      <c r="R91" s="3"/>
    </row>
    <row r="92" spans="1:18">
      <c r="A92" s="14"/>
      <c r="B92" s="9"/>
      <c r="C92" s="10" t="str">
        <f t="shared" si="14"/>
        <v/>
      </c>
      <c r="D92" s="9"/>
      <c r="E92" s="9" t="str">
        <f t="shared" si="15"/>
        <v>HEEGYEONG JUNG</v>
      </c>
      <c r="F92" s="9"/>
      <c r="G92" s="3"/>
      <c r="H92" s="20"/>
      <c r="I92" s="21"/>
      <c r="J92" s="20"/>
      <c r="K92" s="13" t="s">
        <v>196</v>
      </c>
      <c r="L92" s="3"/>
      <c r="M92" s="8"/>
      <c r="N92" s="3"/>
      <c r="O92" s="3"/>
      <c r="P92" s="3"/>
      <c r="Q92" s="3" t="s">
        <v>812</v>
      </c>
      <c r="R92" s="3"/>
    </row>
    <row r="93" spans="1:18">
      <c r="A93" s="14"/>
      <c r="B93" s="9"/>
      <c r="C93" s="10"/>
      <c r="D93" s="9"/>
      <c r="E93" s="9" t="str">
        <f t="shared" si="15"/>
        <v>SUNGMIN JUNG</v>
      </c>
      <c r="F93" s="9"/>
      <c r="G93" s="3"/>
      <c r="H93" s="20"/>
      <c r="I93" s="21"/>
      <c r="J93" s="20"/>
      <c r="K93" s="3" t="s">
        <v>197</v>
      </c>
      <c r="L93" s="3"/>
      <c r="M93" s="8"/>
      <c r="N93" s="3"/>
      <c r="O93" s="3"/>
      <c r="P93" s="3"/>
      <c r="Q93" s="3" t="s">
        <v>813</v>
      </c>
      <c r="R93" s="3"/>
    </row>
    <row r="94" spans="1:18">
      <c r="A94" s="14"/>
      <c r="B94" s="9"/>
      <c r="C94" s="10" t="str">
        <f t="shared" ref="C94:C95" si="16">UPPER(I94)</f>
        <v/>
      </c>
      <c r="D94" s="9"/>
      <c r="E94" s="9" t="str">
        <f t="shared" si="15"/>
        <v/>
      </c>
      <c r="F94" s="9"/>
      <c r="G94" s="3"/>
      <c r="H94" s="20"/>
      <c r="I94" s="21"/>
      <c r="J94" s="20"/>
      <c r="K94" s="13"/>
      <c r="L94" s="3"/>
      <c r="M94" s="8"/>
      <c r="N94" s="3"/>
      <c r="O94" s="8"/>
      <c r="P94" s="3"/>
      <c r="Q94" s="3"/>
      <c r="R94" s="3"/>
    </row>
    <row r="95" spans="1:18">
      <c r="A95" s="14"/>
      <c r="B95" s="9"/>
      <c r="C95" s="10" t="str">
        <f t="shared" si="16"/>
        <v>SET DESIGN</v>
      </c>
      <c r="D95" s="9"/>
      <c r="E95" s="9" t="str">
        <f t="shared" si="15"/>
        <v>BOMI KIM</v>
      </c>
      <c r="F95" s="9"/>
      <c r="G95" s="3"/>
      <c r="H95" s="20"/>
      <c r="I95" s="21" t="s">
        <v>198</v>
      </c>
      <c r="J95" s="20"/>
      <c r="K95" s="13" t="s">
        <v>199</v>
      </c>
      <c r="L95" s="3"/>
      <c r="M95" s="8"/>
      <c r="N95" s="3"/>
      <c r="O95" s="8" t="s">
        <v>814</v>
      </c>
      <c r="P95" s="3"/>
      <c r="Q95" s="3" t="s">
        <v>815</v>
      </c>
      <c r="R95" s="3"/>
    </row>
    <row r="96" spans="1:18">
      <c r="A96" s="14"/>
      <c r="B96" s="9"/>
      <c r="C96" s="10"/>
      <c r="D96" s="9"/>
      <c r="E96" s="9" t="str">
        <f t="shared" si="15"/>
        <v>CHANGRAE BAEK</v>
      </c>
      <c r="F96" s="9"/>
      <c r="G96" s="3"/>
      <c r="H96" s="20"/>
      <c r="I96" s="21"/>
      <c r="J96" s="20"/>
      <c r="K96" s="3" t="s">
        <v>200</v>
      </c>
      <c r="L96" s="3"/>
      <c r="M96" s="8"/>
      <c r="N96" s="3"/>
      <c r="O96" s="3"/>
      <c r="P96" s="3"/>
      <c r="Q96" s="3" t="s">
        <v>816</v>
      </c>
      <c r="R96" s="3"/>
    </row>
    <row r="97" spans="1:18">
      <c r="A97" s="14"/>
      <c r="B97" s="9"/>
      <c r="C97" s="10"/>
      <c r="D97" s="9"/>
      <c r="E97" s="9" t="str">
        <f t="shared" si="15"/>
        <v>SUNYOUNG PARK</v>
      </c>
      <c r="F97" s="9"/>
      <c r="G97" s="3"/>
      <c r="H97" s="20"/>
      <c r="I97" s="21"/>
      <c r="J97" s="20"/>
      <c r="K97" s="3" t="s">
        <v>201</v>
      </c>
      <c r="L97" s="3"/>
      <c r="M97" s="8"/>
      <c r="N97" s="3"/>
      <c r="O97" s="3"/>
      <c r="P97" s="3"/>
      <c r="Q97" s="3" t="s">
        <v>817</v>
      </c>
      <c r="R97" s="3"/>
    </row>
    <row r="98" spans="1:18">
      <c r="A98" s="14"/>
      <c r="B98" s="9"/>
      <c r="C98" s="10"/>
      <c r="D98" s="9"/>
      <c r="E98" s="9" t="str">
        <f t="shared" si="15"/>
        <v/>
      </c>
      <c r="F98" s="9"/>
      <c r="G98" s="3"/>
      <c r="H98" s="20"/>
      <c r="I98" s="21"/>
      <c r="J98" s="20"/>
      <c r="K98" s="3"/>
      <c r="L98" s="3"/>
      <c r="M98" s="8"/>
      <c r="N98" s="8"/>
      <c r="O98" s="21"/>
      <c r="P98" s="3"/>
      <c r="Q98" s="20"/>
      <c r="R98" s="3"/>
    </row>
    <row r="99" spans="1:18">
      <c r="A99" s="14"/>
      <c r="B99" s="9"/>
      <c r="C99" s="10" t="str">
        <f>UPPER(I99)</f>
        <v/>
      </c>
      <c r="D99" s="9"/>
      <c r="E99" s="9" t="str">
        <f t="shared" si="15"/>
        <v/>
      </c>
      <c r="F99" s="9"/>
      <c r="G99" s="3"/>
      <c r="H99" s="20"/>
      <c r="I99" s="21"/>
      <c r="J99" s="20"/>
      <c r="K99" s="13"/>
      <c r="L99" s="3"/>
      <c r="M99" s="8"/>
      <c r="N99" s="8"/>
      <c r="O99" s="21"/>
      <c r="P99" s="3"/>
      <c r="Q99" s="3"/>
      <c r="R99" s="3"/>
    </row>
    <row r="100" spans="1:18">
      <c r="A100" s="14"/>
      <c r="B100" s="146" t="str">
        <f>UPPER(H100)</f>
        <v>THE MONK STUDIOS</v>
      </c>
      <c r="C100" s="141"/>
      <c r="D100" s="141"/>
      <c r="E100" s="141"/>
      <c r="F100" s="141"/>
      <c r="G100" s="3"/>
      <c r="H100" s="147" t="s">
        <v>202</v>
      </c>
      <c r="I100" s="141"/>
      <c r="J100" s="141"/>
      <c r="K100" s="141"/>
      <c r="L100" s="141"/>
      <c r="M100" s="8"/>
      <c r="N100" s="147" t="s">
        <v>202</v>
      </c>
      <c r="O100" s="141"/>
      <c r="P100" s="141"/>
      <c r="Q100" s="141"/>
      <c r="R100" s="141"/>
    </row>
    <row r="101" spans="1:18">
      <c r="A101" s="14"/>
      <c r="B101" s="9"/>
      <c r="C101" s="10"/>
      <c r="D101" s="9"/>
      <c r="E101" s="9"/>
      <c r="F101" s="9"/>
      <c r="G101" s="3"/>
      <c r="H101" s="20"/>
      <c r="I101" s="86"/>
      <c r="J101" s="20"/>
      <c r="K101" s="87"/>
      <c r="L101" s="3"/>
      <c r="M101" s="8"/>
      <c r="N101" s="20"/>
      <c r="O101" s="86"/>
      <c r="P101" s="20"/>
      <c r="Q101" s="87"/>
      <c r="R101" s="3"/>
    </row>
    <row r="102" spans="1:18">
      <c r="A102" s="14"/>
      <c r="B102" s="9"/>
      <c r="C102" s="10" t="str">
        <f t="shared" ref="C102:C105" si="17">UPPER(I102)</f>
        <v>CONCEPT ARTIST</v>
      </c>
      <c r="D102" s="9"/>
      <c r="E102" s="9" t="str">
        <f t="shared" ref="E102:E105" si="18">UPPER(K102)</f>
        <v>WANICHAYA PHRAEJUNYA</v>
      </c>
      <c r="F102" s="9"/>
      <c r="G102" s="3"/>
      <c r="H102" s="20"/>
      <c r="I102" s="88" t="s">
        <v>203</v>
      </c>
      <c r="J102" s="20"/>
      <c r="K102" s="87" t="s">
        <v>610</v>
      </c>
      <c r="L102" s="3"/>
      <c r="M102" s="8"/>
      <c r="N102" s="20"/>
      <c r="O102" s="88" t="s">
        <v>203</v>
      </c>
      <c r="P102" s="20"/>
      <c r="Q102" s="87" t="s">
        <v>610</v>
      </c>
      <c r="R102" s="3"/>
    </row>
    <row r="103" spans="1:18">
      <c r="A103" s="14"/>
      <c r="B103" s="9"/>
      <c r="C103" s="10" t="str">
        <f t="shared" si="17"/>
        <v/>
      </c>
      <c r="D103" s="9"/>
      <c r="E103" s="9" t="str">
        <f t="shared" si="18"/>
        <v>PAKORN THONGKWANJAI</v>
      </c>
      <c r="F103" s="9"/>
      <c r="G103" s="3"/>
      <c r="H103" s="20"/>
      <c r="I103" s="21"/>
      <c r="J103" s="20"/>
      <c r="K103" s="87" t="s">
        <v>205</v>
      </c>
      <c r="L103" s="3"/>
      <c r="M103" s="8"/>
      <c r="N103" s="20"/>
      <c r="O103" s="21"/>
      <c r="P103" s="20"/>
      <c r="Q103" s="87" t="s">
        <v>205</v>
      </c>
      <c r="R103" s="3"/>
    </row>
    <row r="104" spans="1:18">
      <c r="A104" s="14"/>
      <c r="B104" s="9"/>
      <c r="C104" s="10" t="str">
        <f t="shared" si="17"/>
        <v/>
      </c>
      <c r="D104" s="9"/>
      <c r="E104" s="9" t="str">
        <f t="shared" si="18"/>
        <v>SURACHART YAMKUNTONG</v>
      </c>
      <c r="F104" s="9"/>
      <c r="G104" s="3"/>
      <c r="H104" s="20"/>
      <c r="I104" s="21"/>
      <c r="J104" s="20"/>
      <c r="K104" s="87" t="s">
        <v>206</v>
      </c>
      <c r="L104" s="3"/>
      <c r="M104" s="8"/>
      <c r="N104" s="20"/>
      <c r="O104" s="21"/>
      <c r="P104" s="20"/>
      <c r="Q104" s="87" t="s">
        <v>206</v>
      </c>
      <c r="R104" s="3"/>
    </row>
    <row r="105" spans="1:18">
      <c r="A105" s="14"/>
      <c r="B105" s="9"/>
      <c r="C105" s="10" t="str">
        <f t="shared" si="17"/>
        <v/>
      </c>
      <c r="D105" s="9"/>
      <c r="E105" s="9" t="str">
        <f t="shared" si="18"/>
        <v>BURATOUCH THONGPHISITSOMBAT</v>
      </c>
      <c r="F105" s="9"/>
      <c r="G105" s="3"/>
      <c r="H105" s="20"/>
      <c r="I105" s="21"/>
      <c r="J105" s="20"/>
      <c r="K105" s="87" t="s">
        <v>207</v>
      </c>
      <c r="L105" s="3"/>
      <c r="M105" s="8"/>
      <c r="N105" s="20"/>
      <c r="O105" s="21"/>
      <c r="P105" s="20"/>
      <c r="Q105" s="87" t="s">
        <v>207</v>
      </c>
      <c r="R105" s="3"/>
    </row>
    <row r="106" spans="1:18">
      <c r="A106" s="14"/>
      <c r="B106" s="9"/>
      <c r="C106" s="10"/>
      <c r="D106" s="9"/>
      <c r="E106" s="9"/>
      <c r="F106" s="9"/>
      <c r="G106" s="3"/>
      <c r="H106" s="20"/>
      <c r="I106" s="21"/>
      <c r="J106" s="20"/>
      <c r="K106" s="87"/>
      <c r="L106" s="3"/>
      <c r="M106" s="8"/>
      <c r="N106" s="8"/>
      <c r="O106" s="21"/>
      <c r="P106" s="3"/>
      <c r="Q106" s="3"/>
      <c r="R106" s="3"/>
    </row>
    <row r="107" spans="1:18">
      <c r="A107" s="14"/>
      <c r="B107" s="26"/>
      <c r="C107" s="26"/>
      <c r="D107" s="26"/>
      <c r="E107" s="26"/>
      <c r="F107" s="26"/>
      <c r="G107" s="3"/>
      <c r="H107" s="15"/>
      <c r="I107" s="16"/>
      <c r="J107" s="15"/>
      <c r="K107" s="33"/>
      <c r="L107" s="5"/>
      <c r="M107" s="8"/>
      <c r="N107" s="8"/>
      <c r="O107" s="21"/>
      <c r="P107" s="3"/>
      <c r="Q107" s="3"/>
      <c r="R107" s="3"/>
    </row>
    <row r="108" spans="1:18">
      <c r="A108" s="14"/>
      <c r="B108" s="6"/>
      <c r="C108" s="6"/>
      <c r="D108" s="6"/>
      <c r="E108" s="6"/>
      <c r="F108" s="6"/>
      <c r="G108" s="3"/>
      <c r="H108" s="15"/>
      <c r="I108" s="16"/>
      <c r="J108" s="15"/>
      <c r="K108" s="33"/>
      <c r="L108" s="5"/>
      <c r="M108" s="8"/>
      <c r="N108" s="8"/>
      <c r="O108" s="21"/>
      <c r="P108" s="3"/>
      <c r="Q108" s="3"/>
      <c r="R108" s="3"/>
    </row>
    <row r="109" spans="1:18">
      <c r="A109" s="14"/>
      <c r="B109" s="150" t="str">
        <f>UPPER(H109)</f>
        <v xml:space="preserve">ASSET </v>
      </c>
      <c r="C109" s="141"/>
      <c r="D109" s="141"/>
      <c r="E109" s="141"/>
      <c r="F109" s="141"/>
      <c r="G109" s="28"/>
      <c r="H109" s="148" t="s">
        <v>208</v>
      </c>
      <c r="I109" s="141"/>
      <c r="J109" s="141"/>
      <c r="K109" s="141"/>
      <c r="L109" s="141"/>
      <c r="M109" s="29"/>
      <c r="N109" s="149" t="s">
        <v>818</v>
      </c>
      <c r="O109" s="141"/>
      <c r="P109" s="141"/>
      <c r="Q109" s="141"/>
      <c r="R109" s="141"/>
    </row>
    <row r="110" spans="1:18">
      <c r="A110" s="14"/>
      <c r="B110" s="9"/>
      <c r="C110" s="10" t="str">
        <f t="shared" ref="C110:C118" si="19">UPPER(I110)</f>
        <v>ASSET SUPERVISOR</v>
      </c>
      <c r="D110" s="9"/>
      <c r="E110" s="9" t="str">
        <f t="shared" ref="E110:E118" si="20">UPPER(K110)</f>
        <v>SANGWOO NAM</v>
      </c>
      <c r="F110" s="9"/>
      <c r="G110" s="3"/>
      <c r="H110" s="20"/>
      <c r="I110" s="21" t="s">
        <v>209</v>
      </c>
      <c r="J110" s="20"/>
      <c r="K110" s="3" t="s">
        <v>210</v>
      </c>
      <c r="L110" s="3"/>
      <c r="M110" s="8"/>
      <c r="N110" s="8"/>
      <c r="O110" s="8" t="s">
        <v>819</v>
      </c>
      <c r="P110" s="3"/>
      <c r="Q110" s="3" t="s">
        <v>820</v>
      </c>
      <c r="R110" s="3"/>
    </row>
    <row r="111" spans="1:18">
      <c r="A111" s="14"/>
      <c r="B111" s="9"/>
      <c r="C111" s="10" t="str">
        <f t="shared" si="19"/>
        <v/>
      </c>
      <c r="D111" s="9"/>
      <c r="E111" s="9" t="str">
        <f t="shared" si="20"/>
        <v/>
      </c>
      <c r="F111" s="9"/>
      <c r="G111" s="3"/>
      <c r="H111" s="20"/>
      <c r="I111" s="21"/>
      <c r="J111" s="20"/>
      <c r="K111" s="3"/>
      <c r="L111" s="3"/>
      <c r="M111" s="8"/>
      <c r="N111" s="8"/>
      <c r="O111" s="21"/>
      <c r="P111" s="3"/>
      <c r="Q111" s="3"/>
      <c r="R111" s="3"/>
    </row>
    <row r="112" spans="1:18">
      <c r="A112" s="14"/>
      <c r="B112" s="9"/>
      <c r="C112" s="10" t="str">
        <f t="shared" si="19"/>
        <v>MODELING SUPERVISOR</v>
      </c>
      <c r="D112" s="9"/>
      <c r="E112" s="9" t="str">
        <f t="shared" si="20"/>
        <v>TEAYOUNG KIM</v>
      </c>
      <c r="F112" s="9"/>
      <c r="G112" s="3"/>
      <c r="H112" s="20"/>
      <c r="I112" s="21" t="s">
        <v>211</v>
      </c>
      <c r="J112" s="20"/>
      <c r="K112" s="3" t="s">
        <v>212</v>
      </c>
      <c r="L112" s="3"/>
      <c r="M112" s="8"/>
      <c r="N112" s="8"/>
      <c r="O112" s="8" t="s">
        <v>821</v>
      </c>
      <c r="P112" s="3"/>
      <c r="Q112" s="3" t="s">
        <v>822</v>
      </c>
      <c r="R112" s="3"/>
    </row>
    <row r="113" spans="1:18">
      <c r="A113" s="14"/>
      <c r="B113" s="9"/>
      <c r="C113" s="10" t="str">
        <f t="shared" si="19"/>
        <v/>
      </c>
      <c r="D113" s="9"/>
      <c r="E113" s="9" t="str">
        <f t="shared" si="20"/>
        <v>JUNGYUN HA</v>
      </c>
      <c r="F113" s="9"/>
      <c r="G113" s="3"/>
      <c r="H113" s="20"/>
      <c r="I113" s="21"/>
      <c r="J113" s="20"/>
      <c r="K113" s="3" t="s">
        <v>213</v>
      </c>
      <c r="L113" s="3"/>
      <c r="M113" s="8"/>
      <c r="N113" s="8"/>
      <c r="O113" s="8"/>
      <c r="P113" s="3"/>
      <c r="Q113" s="3" t="s">
        <v>823</v>
      </c>
      <c r="R113" s="3"/>
    </row>
    <row r="114" spans="1:18">
      <c r="A114" s="14"/>
      <c r="B114" s="9"/>
      <c r="C114" s="10" t="str">
        <f t="shared" si="19"/>
        <v/>
      </c>
      <c r="D114" s="9"/>
      <c r="E114" s="9" t="str">
        <f t="shared" si="20"/>
        <v>KIPYO KIM</v>
      </c>
      <c r="F114" s="9"/>
      <c r="G114" s="3"/>
      <c r="H114" s="20"/>
      <c r="I114" s="21"/>
      <c r="J114" s="20"/>
      <c r="K114" s="3" t="s">
        <v>214</v>
      </c>
      <c r="L114" s="3"/>
      <c r="M114" s="8"/>
      <c r="N114" s="8"/>
      <c r="O114" s="8"/>
      <c r="P114" s="3"/>
      <c r="Q114" s="3" t="s">
        <v>824</v>
      </c>
      <c r="R114" s="3"/>
    </row>
    <row r="115" spans="1:18">
      <c r="A115" s="14"/>
      <c r="B115" s="9"/>
      <c r="C115" s="10" t="str">
        <f t="shared" si="19"/>
        <v/>
      </c>
      <c r="D115" s="9"/>
      <c r="E115" s="9" t="str">
        <f t="shared" si="20"/>
        <v/>
      </c>
      <c r="F115" s="9"/>
      <c r="G115" s="3"/>
      <c r="H115" s="20"/>
      <c r="I115" s="21"/>
      <c r="J115" s="20"/>
      <c r="K115" s="3"/>
      <c r="L115" s="3"/>
      <c r="M115" s="8"/>
      <c r="N115" s="8"/>
      <c r="O115" s="8"/>
      <c r="P115" s="3"/>
      <c r="Q115" s="3"/>
      <c r="R115" s="3"/>
    </row>
    <row r="116" spans="1:18">
      <c r="A116" s="14"/>
      <c r="B116" s="9"/>
      <c r="C116" s="10" t="str">
        <f t="shared" si="19"/>
        <v>LOOKDEV ARTIST</v>
      </c>
      <c r="D116" s="9"/>
      <c r="E116" s="9" t="str">
        <f t="shared" si="20"/>
        <v>YEONJU LEE</v>
      </c>
      <c r="F116" s="9"/>
      <c r="G116" s="3"/>
      <c r="H116" s="20"/>
      <c r="I116" s="64" t="s">
        <v>215</v>
      </c>
      <c r="J116" s="20"/>
      <c r="K116" s="3" t="s">
        <v>216</v>
      </c>
      <c r="L116" s="3"/>
      <c r="M116" s="8"/>
      <c r="N116" s="8"/>
      <c r="O116" s="8" t="s">
        <v>825</v>
      </c>
      <c r="P116" s="3"/>
      <c r="Q116" s="3" t="s">
        <v>826</v>
      </c>
      <c r="R116" s="3"/>
    </row>
    <row r="117" spans="1:18">
      <c r="A117" s="14"/>
      <c r="B117" s="9"/>
      <c r="C117" s="10" t="str">
        <f t="shared" si="19"/>
        <v/>
      </c>
      <c r="D117" s="9"/>
      <c r="E117" s="9" t="str">
        <f t="shared" si="20"/>
        <v/>
      </c>
      <c r="F117" s="9"/>
      <c r="G117" s="3"/>
      <c r="H117" s="20"/>
      <c r="I117" s="21"/>
      <c r="J117" s="20"/>
      <c r="K117" s="3"/>
      <c r="L117" s="3"/>
      <c r="M117" s="3"/>
      <c r="N117" s="3"/>
      <c r="O117" s="8"/>
      <c r="P117" s="3"/>
      <c r="Q117" s="3"/>
      <c r="R117" s="3"/>
    </row>
    <row r="118" spans="1:18">
      <c r="A118" s="14"/>
      <c r="B118" s="9"/>
      <c r="C118" s="10" t="str">
        <f t="shared" si="19"/>
        <v>RIGGING</v>
      </c>
      <c r="D118" s="9"/>
      <c r="E118" s="9" t="str">
        <f t="shared" si="20"/>
        <v>MINJU YOO</v>
      </c>
      <c r="F118" s="9"/>
      <c r="G118" s="3"/>
      <c r="H118" s="20"/>
      <c r="I118" s="21" t="s">
        <v>217</v>
      </c>
      <c r="J118" s="20"/>
      <c r="K118" s="3" t="s">
        <v>218</v>
      </c>
      <c r="L118" s="3"/>
      <c r="M118" s="8"/>
      <c r="N118" s="8"/>
      <c r="O118" s="8" t="s">
        <v>827</v>
      </c>
      <c r="P118" s="3"/>
      <c r="Q118" s="3" t="s">
        <v>828</v>
      </c>
      <c r="R118" s="3"/>
    </row>
    <row r="119" spans="1:18">
      <c r="A119" s="14"/>
      <c r="B119" s="9"/>
      <c r="C119" s="10"/>
      <c r="D119" s="9"/>
      <c r="E119" s="9"/>
      <c r="F119" s="9"/>
      <c r="G119" s="3"/>
      <c r="H119" s="20"/>
      <c r="J119" s="20"/>
      <c r="K119" s="3"/>
      <c r="L119" s="3"/>
      <c r="M119" s="8"/>
      <c r="N119" s="8"/>
      <c r="O119" s="21"/>
      <c r="P119" s="3"/>
      <c r="Q119" s="3"/>
      <c r="R119" s="3"/>
    </row>
    <row r="120" spans="1:18">
      <c r="A120" s="14"/>
      <c r="B120" s="11"/>
      <c r="C120" s="12" t="str">
        <f>UPPER(I120)</f>
        <v/>
      </c>
      <c r="D120" s="11"/>
      <c r="E120" s="11" t="str">
        <f>UPPER(K120)</f>
        <v/>
      </c>
      <c r="F120" s="11"/>
      <c r="G120" s="3"/>
      <c r="H120" s="20"/>
      <c r="J120" s="20"/>
      <c r="K120" s="3"/>
      <c r="L120" s="3"/>
      <c r="M120" s="8"/>
      <c r="N120" s="8"/>
      <c r="O120" s="21"/>
      <c r="P120" s="3"/>
      <c r="Q120" s="3"/>
      <c r="R120" s="3"/>
    </row>
    <row r="121" spans="1:18">
      <c r="A121" s="14"/>
      <c r="B121" s="9"/>
      <c r="C121" s="10"/>
      <c r="D121" s="9"/>
      <c r="E121" s="9"/>
      <c r="F121" s="9"/>
      <c r="G121" s="3"/>
      <c r="H121" s="20"/>
      <c r="J121" s="20"/>
      <c r="K121" s="3"/>
      <c r="L121" s="3"/>
      <c r="M121" s="8"/>
      <c r="N121" s="8"/>
      <c r="O121" s="21"/>
      <c r="P121" s="3"/>
      <c r="Q121" s="3"/>
      <c r="R121" s="3"/>
    </row>
    <row r="122" spans="1:18">
      <c r="A122" s="14"/>
      <c r="B122" s="150" t="str">
        <f t="shared" ref="B122:B123" si="21">UPPER(H122)</f>
        <v xml:space="preserve">ASSET </v>
      </c>
      <c r="C122" s="141"/>
      <c r="D122" s="141"/>
      <c r="E122" s="141"/>
      <c r="F122" s="141"/>
      <c r="G122" s="28"/>
      <c r="H122" s="148" t="s">
        <v>208</v>
      </c>
      <c r="I122" s="141"/>
      <c r="J122" s="141"/>
      <c r="K122" s="141"/>
      <c r="L122" s="141"/>
      <c r="M122" s="8"/>
      <c r="N122" s="149" t="s">
        <v>818</v>
      </c>
      <c r="O122" s="141"/>
      <c r="P122" s="141"/>
      <c r="Q122" s="141"/>
      <c r="R122" s="141"/>
    </row>
    <row r="123" spans="1:18">
      <c r="A123" s="14"/>
      <c r="B123" s="146" t="str">
        <f t="shared" si="21"/>
        <v>THE MONK STUDIOS</v>
      </c>
      <c r="C123" s="141"/>
      <c r="D123" s="141"/>
      <c r="E123" s="141"/>
      <c r="F123" s="141"/>
      <c r="G123" s="3"/>
      <c r="H123" s="147" t="s">
        <v>202</v>
      </c>
      <c r="I123" s="141"/>
      <c r="J123" s="141"/>
      <c r="K123" s="141"/>
      <c r="L123" s="141"/>
      <c r="M123" s="8"/>
      <c r="N123" s="147" t="s">
        <v>202</v>
      </c>
      <c r="O123" s="141"/>
      <c r="P123" s="141"/>
      <c r="Q123" s="141"/>
      <c r="R123" s="141"/>
    </row>
    <row r="124" spans="1:18">
      <c r="A124" s="14"/>
      <c r="B124" s="9"/>
      <c r="C124" s="10"/>
      <c r="D124" s="9"/>
      <c r="E124" s="9"/>
      <c r="F124" s="9"/>
      <c r="G124" s="3"/>
      <c r="H124" s="20"/>
      <c r="I124" s="21"/>
      <c r="J124" s="2"/>
      <c r="K124" s="34"/>
      <c r="L124" s="2"/>
      <c r="N124" s="20"/>
      <c r="O124" s="21"/>
      <c r="P124" s="2"/>
      <c r="Q124" s="34"/>
      <c r="R124" s="2"/>
    </row>
    <row r="125" spans="1:18">
      <c r="A125" s="14"/>
      <c r="B125" s="9"/>
      <c r="C125" s="10" t="str">
        <f t="shared" ref="C125:C142" si="22">UPPER(I125)</f>
        <v>ASSET SUPERVISOR</v>
      </c>
      <c r="D125" s="9"/>
      <c r="E125" s="9" t="str">
        <f t="shared" ref="E125:E145" si="23">UPPER(K125)</f>
        <v>ATTAPORN KANJANASAHAS</v>
      </c>
      <c r="F125" s="9"/>
      <c r="G125" s="3"/>
      <c r="H125" s="20"/>
      <c r="I125" s="21" t="s">
        <v>209</v>
      </c>
      <c r="J125" s="2"/>
      <c r="K125" s="34" t="s">
        <v>219</v>
      </c>
      <c r="L125" s="2"/>
      <c r="N125" s="20"/>
      <c r="O125" s="21" t="s">
        <v>209</v>
      </c>
      <c r="P125" s="2"/>
      <c r="Q125" s="34" t="s">
        <v>219</v>
      </c>
      <c r="R125" s="2"/>
    </row>
    <row r="126" spans="1:18">
      <c r="A126" s="14"/>
      <c r="B126" s="9"/>
      <c r="C126" s="10" t="str">
        <f t="shared" si="22"/>
        <v/>
      </c>
      <c r="D126" s="9"/>
      <c r="E126" s="9" t="str">
        <f t="shared" si="23"/>
        <v/>
      </c>
      <c r="F126" s="9"/>
      <c r="G126" s="3"/>
      <c r="H126" s="20"/>
      <c r="I126" s="2"/>
      <c r="J126" s="2"/>
      <c r="K126" s="35"/>
      <c r="L126" s="2"/>
      <c r="N126" s="20"/>
      <c r="O126" s="2"/>
      <c r="P126" s="2"/>
      <c r="Q126" s="35"/>
      <c r="R126" s="2"/>
    </row>
    <row r="127" spans="1:18">
      <c r="A127" s="14"/>
      <c r="B127" s="9"/>
      <c r="C127" s="10" t="str">
        <f t="shared" si="22"/>
        <v>MODEL SUPERVISOR</v>
      </c>
      <c r="D127" s="9"/>
      <c r="E127" s="9" t="str">
        <f t="shared" si="23"/>
        <v>THANITTHA PROMPATIMA</v>
      </c>
      <c r="F127" s="9"/>
      <c r="G127" s="3"/>
      <c r="H127" s="20"/>
      <c r="I127" s="36" t="s">
        <v>220</v>
      </c>
      <c r="J127" s="20"/>
      <c r="K127" s="37" t="s">
        <v>221</v>
      </c>
      <c r="L127" s="3"/>
      <c r="M127" s="8"/>
      <c r="N127" s="20"/>
      <c r="O127" s="36" t="s">
        <v>220</v>
      </c>
      <c r="P127" s="20"/>
      <c r="Q127" s="37" t="s">
        <v>221</v>
      </c>
      <c r="R127" s="3"/>
    </row>
    <row r="128" spans="1:18">
      <c r="A128" s="14"/>
      <c r="B128" s="9"/>
      <c r="C128" s="10" t="str">
        <f t="shared" si="22"/>
        <v/>
      </c>
      <c r="D128" s="9"/>
      <c r="E128" s="9" t="str">
        <f t="shared" si="23"/>
        <v/>
      </c>
      <c r="F128" s="9"/>
      <c r="G128" s="3"/>
      <c r="H128" s="20"/>
      <c r="I128" s="36"/>
      <c r="J128" s="20"/>
      <c r="K128" s="37"/>
      <c r="L128" s="3"/>
      <c r="M128" s="8"/>
      <c r="N128" s="20"/>
      <c r="O128" s="36"/>
      <c r="P128" s="20"/>
      <c r="Q128" s="37"/>
      <c r="R128" s="3"/>
    </row>
    <row r="129" spans="1:18">
      <c r="A129" s="14"/>
      <c r="B129" s="9"/>
      <c r="C129" s="10" t="str">
        <f t="shared" si="22"/>
        <v>MODELER LEADER</v>
      </c>
      <c r="D129" s="9"/>
      <c r="E129" s="9" t="str">
        <f t="shared" si="23"/>
        <v>YANNAKRON WONGPHUN</v>
      </c>
      <c r="F129" s="9"/>
      <c r="G129" s="3"/>
      <c r="H129" s="20"/>
      <c r="I129" s="36" t="s">
        <v>222</v>
      </c>
      <c r="J129" s="20"/>
      <c r="K129" s="37" t="s">
        <v>223</v>
      </c>
      <c r="L129" s="3"/>
      <c r="M129" s="8"/>
      <c r="N129" s="20"/>
      <c r="O129" s="36" t="s">
        <v>222</v>
      </c>
      <c r="P129" s="20"/>
      <c r="Q129" s="37" t="s">
        <v>223</v>
      </c>
      <c r="R129" s="3"/>
    </row>
    <row r="130" spans="1:18">
      <c r="A130" s="14"/>
      <c r="B130" s="9"/>
      <c r="C130" s="10" t="str">
        <f t="shared" si="22"/>
        <v/>
      </c>
      <c r="D130" s="9"/>
      <c r="E130" s="9" t="str">
        <f t="shared" si="23"/>
        <v>CHANATITH TAWANMAI</v>
      </c>
      <c r="F130" s="9"/>
      <c r="G130" s="3"/>
      <c r="H130" s="20"/>
      <c r="I130" s="36"/>
      <c r="J130" s="20"/>
      <c r="K130" s="37" t="s">
        <v>224</v>
      </c>
      <c r="L130" s="3"/>
      <c r="M130" s="8"/>
      <c r="N130" s="20"/>
      <c r="O130" s="36"/>
      <c r="P130" s="20"/>
      <c r="Q130" s="37" t="s">
        <v>224</v>
      </c>
      <c r="R130" s="3"/>
    </row>
    <row r="131" spans="1:18">
      <c r="A131" s="14"/>
      <c r="B131" s="9"/>
      <c r="C131" s="10" t="str">
        <f t="shared" si="22"/>
        <v/>
      </c>
      <c r="D131" s="9"/>
      <c r="E131" s="9" t="str">
        <f t="shared" si="23"/>
        <v/>
      </c>
      <c r="F131" s="9"/>
      <c r="G131" s="3"/>
      <c r="H131" s="20"/>
      <c r="I131" s="36"/>
      <c r="J131" s="20"/>
      <c r="K131" s="37"/>
      <c r="L131" s="3"/>
      <c r="M131" s="8"/>
      <c r="N131" s="20"/>
      <c r="O131" s="36"/>
      <c r="P131" s="20"/>
      <c r="Q131" s="37"/>
      <c r="R131" s="3"/>
    </row>
    <row r="132" spans="1:18">
      <c r="A132" s="14"/>
      <c r="B132" s="9"/>
      <c r="C132" s="10" t="str">
        <f t="shared" si="22"/>
        <v>MODELER</v>
      </c>
      <c r="D132" s="9"/>
      <c r="E132" s="9" t="str">
        <f t="shared" si="23"/>
        <v>JIRAWAT PANGCHOMPOO</v>
      </c>
      <c r="F132" s="9"/>
      <c r="G132" s="3"/>
      <c r="H132" s="20"/>
      <c r="I132" s="36" t="s">
        <v>225</v>
      </c>
      <c r="J132" s="20"/>
      <c r="K132" s="37" t="s">
        <v>226</v>
      </c>
      <c r="L132" s="3"/>
      <c r="M132" s="8"/>
      <c r="N132" s="20"/>
      <c r="O132" s="36" t="s">
        <v>225</v>
      </c>
      <c r="P132" s="20"/>
      <c r="Q132" s="37" t="s">
        <v>226</v>
      </c>
      <c r="R132" s="3"/>
    </row>
    <row r="133" spans="1:18">
      <c r="A133" s="14"/>
      <c r="B133" s="9"/>
      <c r="C133" s="10" t="str">
        <f t="shared" si="22"/>
        <v/>
      </c>
      <c r="D133" s="9"/>
      <c r="E133" s="9" t="str">
        <f t="shared" si="23"/>
        <v>TEERAWAT PHO-OB</v>
      </c>
      <c r="F133" s="9"/>
      <c r="G133" s="3"/>
      <c r="H133" s="20"/>
      <c r="I133" s="21"/>
      <c r="J133" s="20"/>
      <c r="K133" s="37" t="s">
        <v>227</v>
      </c>
      <c r="L133" s="3"/>
      <c r="M133" s="8"/>
      <c r="N133" s="20"/>
      <c r="O133" s="21"/>
      <c r="P133" s="20"/>
      <c r="Q133" s="37" t="s">
        <v>227</v>
      </c>
      <c r="R133" s="3"/>
    </row>
    <row r="134" spans="1:18">
      <c r="A134" s="14"/>
      <c r="B134" s="9"/>
      <c r="C134" s="10" t="str">
        <f t="shared" si="22"/>
        <v/>
      </c>
      <c r="D134" s="9"/>
      <c r="E134" s="9" t="str">
        <f t="shared" si="23"/>
        <v>SUPACHOCK NUAMTHONG</v>
      </c>
      <c r="F134" s="9"/>
      <c r="G134" s="3"/>
      <c r="H134" s="20"/>
      <c r="I134" s="21"/>
      <c r="J134" s="20"/>
      <c r="K134" s="37" t="s">
        <v>228</v>
      </c>
      <c r="L134" s="3"/>
      <c r="M134" s="8"/>
      <c r="N134" s="20"/>
      <c r="O134" s="21"/>
      <c r="P134" s="20"/>
      <c r="Q134" s="37" t="s">
        <v>228</v>
      </c>
      <c r="R134" s="3"/>
    </row>
    <row r="135" spans="1:18">
      <c r="A135" s="14"/>
      <c r="B135" s="9"/>
      <c r="C135" s="10" t="str">
        <f t="shared" si="22"/>
        <v/>
      </c>
      <c r="D135" s="9"/>
      <c r="E135" s="9" t="str">
        <f t="shared" si="23"/>
        <v>VIPHADA KARNJANAWARIT</v>
      </c>
      <c r="F135" s="9"/>
      <c r="G135" s="3"/>
      <c r="H135" s="20"/>
      <c r="I135" s="21"/>
      <c r="J135" s="20"/>
      <c r="K135" s="37" t="s">
        <v>229</v>
      </c>
      <c r="L135" s="3"/>
      <c r="M135" s="8"/>
      <c r="N135" s="20"/>
      <c r="O135" s="21"/>
      <c r="P135" s="20"/>
      <c r="Q135" s="37" t="s">
        <v>229</v>
      </c>
      <c r="R135" s="3"/>
    </row>
    <row r="136" spans="1:18">
      <c r="A136" s="14"/>
      <c r="B136" s="9"/>
      <c r="C136" s="10" t="str">
        <f t="shared" si="22"/>
        <v/>
      </c>
      <c r="D136" s="9"/>
      <c r="E136" s="9" t="str">
        <f t="shared" si="23"/>
        <v>TEERAKA KONGPAISAND</v>
      </c>
      <c r="F136" s="9"/>
      <c r="G136" s="3"/>
      <c r="H136" s="20"/>
      <c r="I136" s="21"/>
      <c r="J136" s="20"/>
      <c r="K136" s="37" t="s">
        <v>230</v>
      </c>
      <c r="L136" s="3"/>
      <c r="M136" s="8"/>
      <c r="N136" s="20"/>
      <c r="O136" s="21"/>
      <c r="P136" s="20"/>
      <c r="Q136" s="37" t="s">
        <v>230</v>
      </c>
      <c r="R136" s="3"/>
    </row>
    <row r="137" spans="1:18">
      <c r="A137" s="14"/>
      <c r="B137" s="9"/>
      <c r="C137" s="10" t="str">
        <f t="shared" si="22"/>
        <v/>
      </c>
      <c r="D137" s="9"/>
      <c r="E137" s="9" t="str">
        <f t="shared" si="23"/>
        <v>NATCHA NUNTANAJAROENKUL</v>
      </c>
      <c r="F137" s="9"/>
      <c r="G137" s="3"/>
      <c r="H137" s="20"/>
      <c r="I137" s="21"/>
      <c r="J137" s="20"/>
      <c r="K137" s="37" t="s">
        <v>231</v>
      </c>
      <c r="L137" s="3"/>
      <c r="M137" s="8"/>
      <c r="N137" s="20"/>
      <c r="O137" s="21"/>
      <c r="P137" s="20"/>
      <c r="Q137" s="37" t="s">
        <v>231</v>
      </c>
      <c r="R137" s="3"/>
    </row>
    <row r="138" spans="1:18">
      <c r="A138" s="14"/>
      <c r="B138" s="9"/>
      <c r="C138" s="10" t="str">
        <f t="shared" si="22"/>
        <v/>
      </c>
      <c r="D138" s="9"/>
      <c r="E138" s="9" t="str">
        <f t="shared" si="23"/>
        <v>PANUWAT VIVATTANAWONGSIRI</v>
      </c>
      <c r="F138" s="9"/>
      <c r="G138" s="3"/>
      <c r="H138" s="20"/>
      <c r="I138" s="21"/>
      <c r="J138" s="20"/>
      <c r="K138" s="37" t="s">
        <v>232</v>
      </c>
      <c r="L138" s="3"/>
      <c r="M138" s="8"/>
      <c r="N138" s="20"/>
      <c r="O138" s="21"/>
      <c r="P138" s="20"/>
      <c r="Q138" s="37" t="s">
        <v>232</v>
      </c>
      <c r="R138" s="3"/>
    </row>
    <row r="139" spans="1:18">
      <c r="A139" s="14"/>
      <c r="B139" s="9"/>
      <c r="C139" s="10" t="str">
        <f t="shared" si="22"/>
        <v/>
      </c>
      <c r="D139" s="9"/>
      <c r="E139" s="9" t="str">
        <f t="shared" si="23"/>
        <v>KOTCHAWAN PRADITUKRIT</v>
      </c>
      <c r="F139" s="9"/>
      <c r="G139" s="3"/>
      <c r="H139" s="20"/>
      <c r="I139" s="21"/>
      <c r="J139" s="20"/>
      <c r="K139" s="37" t="s">
        <v>233</v>
      </c>
      <c r="L139" s="3"/>
      <c r="M139" s="8"/>
      <c r="N139" s="20"/>
      <c r="O139" s="21"/>
      <c r="P139" s="20"/>
      <c r="Q139" s="37" t="s">
        <v>233</v>
      </c>
      <c r="R139" s="3"/>
    </row>
    <row r="140" spans="1:18">
      <c r="A140" s="14"/>
      <c r="B140" s="9"/>
      <c r="C140" s="10" t="str">
        <f t="shared" si="22"/>
        <v/>
      </c>
      <c r="D140" s="9"/>
      <c r="E140" s="9" t="str">
        <f t="shared" si="23"/>
        <v>SUPAPAK SUKWAN</v>
      </c>
      <c r="F140" s="9"/>
      <c r="G140" s="3"/>
      <c r="H140" s="20"/>
      <c r="I140" s="21"/>
      <c r="J140" s="20"/>
      <c r="K140" s="37" t="s">
        <v>234</v>
      </c>
      <c r="L140" s="3"/>
      <c r="M140" s="8"/>
      <c r="N140" s="20"/>
      <c r="O140" s="21"/>
      <c r="P140" s="20"/>
      <c r="Q140" s="37" t="s">
        <v>234</v>
      </c>
      <c r="R140" s="3"/>
    </row>
    <row r="141" spans="1:18">
      <c r="A141" s="14"/>
      <c r="B141" s="9"/>
      <c r="C141" s="10" t="str">
        <f t="shared" si="22"/>
        <v/>
      </c>
      <c r="D141" s="9"/>
      <c r="E141" s="9" t="str">
        <f t="shared" si="23"/>
        <v>ANURAK WASAENDEE</v>
      </c>
      <c r="F141" s="9"/>
      <c r="G141" s="3"/>
      <c r="H141" s="20"/>
      <c r="I141" s="21"/>
      <c r="J141" s="20"/>
      <c r="K141" s="37" t="s">
        <v>235</v>
      </c>
      <c r="L141" s="3"/>
      <c r="M141" s="8"/>
      <c r="N141" s="20"/>
      <c r="O141" s="21"/>
      <c r="P141" s="20"/>
      <c r="Q141" s="37" t="s">
        <v>235</v>
      </c>
      <c r="R141" s="3"/>
    </row>
    <row r="142" spans="1:18">
      <c r="A142" s="14"/>
      <c r="B142" s="9"/>
      <c r="C142" s="10" t="str">
        <f t="shared" si="22"/>
        <v/>
      </c>
      <c r="D142" s="9"/>
      <c r="E142" s="9" t="str">
        <f t="shared" si="23"/>
        <v>JAKKRIT THANAPHATTHANAKUL</v>
      </c>
      <c r="F142" s="9"/>
      <c r="G142" s="3"/>
      <c r="H142" s="20"/>
      <c r="I142" s="21"/>
      <c r="J142" s="20"/>
      <c r="K142" s="37" t="s">
        <v>236</v>
      </c>
      <c r="L142" s="3"/>
      <c r="M142" s="8"/>
      <c r="N142" s="20"/>
      <c r="O142" s="21"/>
      <c r="P142" s="20"/>
      <c r="Q142" s="37" t="s">
        <v>236</v>
      </c>
      <c r="R142" s="3"/>
    </row>
    <row r="143" spans="1:18">
      <c r="A143" s="14"/>
      <c r="B143" s="9"/>
      <c r="C143" s="10"/>
      <c r="D143" s="9"/>
      <c r="E143" s="9" t="str">
        <f t="shared" si="23"/>
        <v>TANAWAT YORIYA</v>
      </c>
      <c r="F143" s="9"/>
      <c r="G143" s="3"/>
      <c r="H143" s="20"/>
      <c r="I143" s="21"/>
      <c r="J143" s="20"/>
      <c r="K143" s="31" t="s">
        <v>237</v>
      </c>
      <c r="L143" s="3"/>
      <c r="M143" s="8"/>
      <c r="N143" s="20"/>
      <c r="O143" s="21"/>
      <c r="P143" s="20"/>
      <c r="Q143" s="31" t="s">
        <v>237</v>
      </c>
      <c r="R143" s="3"/>
    </row>
    <row r="144" spans="1:18">
      <c r="A144" s="14"/>
      <c r="B144" s="9"/>
      <c r="C144" s="10"/>
      <c r="D144" s="9"/>
      <c r="E144" s="9" t="str">
        <f t="shared" si="23"/>
        <v>WITSANUKORN CHALIAOTHAM</v>
      </c>
      <c r="F144" s="9"/>
      <c r="G144" s="3"/>
      <c r="H144" s="20"/>
      <c r="I144" s="21"/>
      <c r="J144" s="20"/>
      <c r="K144" s="31" t="s">
        <v>238</v>
      </c>
      <c r="L144" s="3"/>
      <c r="M144" s="8"/>
      <c r="N144" s="20"/>
      <c r="O144" s="21"/>
      <c r="P144" s="20"/>
      <c r="Q144" s="31" t="s">
        <v>238</v>
      </c>
      <c r="R144" s="3"/>
    </row>
    <row r="145" spans="1:18">
      <c r="A145" s="14"/>
      <c r="B145" s="9"/>
      <c r="C145" s="10"/>
      <c r="D145" s="9"/>
      <c r="E145" s="9" t="str">
        <f t="shared" si="23"/>
        <v>CHANBHASAKORN MINGSOMPAN</v>
      </c>
      <c r="F145" s="9"/>
      <c r="G145" s="3"/>
      <c r="H145" s="20"/>
      <c r="I145" s="21"/>
      <c r="J145" s="20"/>
      <c r="K145" s="31" t="s">
        <v>239</v>
      </c>
      <c r="L145" s="3"/>
      <c r="M145" s="8"/>
      <c r="N145" s="20"/>
      <c r="O145" s="21"/>
      <c r="P145" s="20"/>
      <c r="Q145" s="31" t="s">
        <v>239</v>
      </c>
      <c r="R145" s="3"/>
    </row>
    <row r="146" spans="1:18">
      <c r="A146" s="14"/>
      <c r="B146" s="9"/>
      <c r="C146" s="10"/>
      <c r="D146" s="9"/>
      <c r="E146" s="9"/>
      <c r="F146" s="9"/>
      <c r="G146" s="3"/>
      <c r="H146" s="20"/>
      <c r="I146" s="21"/>
      <c r="J146" s="20"/>
      <c r="K146" s="31"/>
      <c r="L146" s="3"/>
      <c r="M146" s="8"/>
      <c r="N146" s="8"/>
      <c r="O146" s="21"/>
      <c r="P146" s="3"/>
      <c r="Q146" s="3"/>
      <c r="R146" s="3"/>
    </row>
    <row r="147" spans="1:18">
      <c r="A147" s="14"/>
      <c r="B147" s="11"/>
      <c r="C147" s="12"/>
      <c r="D147" s="11"/>
      <c r="E147" s="11"/>
      <c r="F147" s="11"/>
      <c r="G147" s="3"/>
      <c r="H147" s="20"/>
      <c r="I147" s="21"/>
      <c r="J147" s="20"/>
      <c r="K147" s="31"/>
      <c r="L147" s="3"/>
      <c r="M147" s="8"/>
      <c r="N147" s="8"/>
      <c r="O147" s="21"/>
      <c r="P147" s="3"/>
      <c r="Q147" s="3"/>
      <c r="R147" s="3"/>
    </row>
    <row r="148" spans="1:18">
      <c r="A148" s="14"/>
      <c r="B148" s="9"/>
      <c r="C148" s="10"/>
      <c r="D148" s="9"/>
      <c r="E148" s="9"/>
      <c r="F148" s="9"/>
      <c r="G148" s="3"/>
      <c r="H148" s="20"/>
      <c r="I148" s="21"/>
      <c r="J148" s="20"/>
      <c r="K148" s="31"/>
      <c r="L148" s="3"/>
      <c r="M148" s="8"/>
      <c r="N148" s="8"/>
      <c r="O148" s="21"/>
      <c r="P148" s="3"/>
      <c r="Q148" s="3"/>
      <c r="R148" s="3"/>
    </row>
    <row r="149" spans="1:18">
      <c r="A149" s="14"/>
      <c r="B149" s="150" t="str">
        <f t="shared" ref="B149:B150" si="24">UPPER(H149)</f>
        <v xml:space="preserve">ASSET </v>
      </c>
      <c r="C149" s="141"/>
      <c r="D149" s="141"/>
      <c r="E149" s="141"/>
      <c r="F149" s="141"/>
      <c r="G149" s="28"/>
      <c r="H149" s="148" t="s">
        <v>208</v>
      </c>
      <c r="I149" s="141"/>
      <c r="J149" s="141"/>
      <c r="K149" s="141"/>
      <c r="L149" s="141"/>
      <c r="M149" s="8"/>
      <c r="N149" s="149" t="s">
        <v>818</v>
      </c>
      <c r="O149" s="141"/>
      <c r="P149" s="141"/>
      <c r="Q149" s="141"/>
      <c r="R149" s="141"/>
    </row>
    <row r="150" spans="1:18">
      <c r="A150" s="14"/>
      <c r="B150" s="146" t="str">
        <f t="shared" si="24"/>
        <v>THE MONK STUDIOS</v>
      </c>
      <c r="C150" s="141"/>
      <c r="D150" s="141"/>
      <c r="E150" s="141"/>
      <c r="F150" s="141"/>
      <c r="G150" s="3"/>
      <c r="H150" s="147" t="s">
        <v>202</v>
      </c>
      <c r="I150" s="141"/>
      <c r="J150" s="141"/>
      <c r="K150" s="141"/>
      <c r="L150" s="141"/>
      <c r="M150" s="8"/>
      <c r="N150" s="147" t="s">
        <v>202</v>
      </c>
      <c r="O150" s="141"/>
      <c r="P150" s="141"/>
      <c r="Q150" s="141"/>
      <c r="R150" s="141"/>
    </row>
    <row r="151" spans="1:18">
      <c r="A151" s="14"/>
      <c r="B151" s="38"/>
      <c r="C151" s="38"/>
      <c r="D151" s="38"/>
      <c r="E151" s="38"/>
      <c r="F151" s="38"/>
      <c r="G151" s="3"/>
      <c r="H151" s="15"/>
      <c r="I151" s="15"/>
      <c r="J151" s="15"/>
      <c r="K151" s="5"/>
      <c r="L151" s="15"/>
      <c r="M151" s="3"/>
      <c r="N151" s="15"/>
      <c r="O151" s="15"/>
      <c r="P151" s="15"/>
      <c r="Q151" s="5"/>
      <c r="R151" s="15"/>
    </row>
    <row r="152" spans="1:18">
      <c r="A152" s="14"/>
      <c r="B152" s="9"/>
      <c r="C152" s="10" t="str">
        <f t="shared" ref="C152:C165" si="25">UPPER(I152)</f>
        <v>TEXTURE SUPERVISOR</v>
      </c>
      <c r="D152" s="9"/>
      <c r="E152" s="9" t="str">
        <f t="shared" ref="E152:E167" si="26">UPPER(K152)</f>
        <v>REWAT SIKHEMNGAM</v>
      </c>
      <c r="F152" s="9"/>
      <c r="G152" s="3"/>
      <c r="H152" s="20"/>
      <c r="I152" s="36" t="s">
        <v>240</v>
      </c>
      <c r="J152" s="20"/>
      <c r="K152" s="89" t="s">
        <v>241</v>
      </c>
      <c r="L152" s="3"/>
      <c r="M152" s="8"/>
      <c r="N152" s="20"/>
      <c r="O152" s="36" t="s">
        <v>240</v>
      </c>
      <c r="P152" s="20"/>
      <c r="Q152" s="89" t="s">
        <v>241</v>
      </c>
      <c r="R152" s="3"/>
    </row>
    <row r="153" spans="1:18">
      <c r="A153" s="14"/>
      <c r="B153" s="9"/>
      <c r="C153" s="10" t="str">
        <f t="shared" si="25"/>
        <v/>
      </c>
      <c r="D153" s="9"/>
      <c r="E153" s="9" t="str">
        <f t="shared" si="26"/>
        <v/>
      </c>
      <c r="F153" s="9"/>
      <c r="G153" s="3"/>
      <c r="H153" s="20"/>
      <c r="I153" s="36"/>
      <c r="J153" s="20"/>
      <c r="K153" s="89"/>
      <c r="L153" s="3"/>
      <c r="M153" s="8"/>
      <c r="N153" s="20"/>
      <c r="O153" s="36"/>
      <c r="P153" s="20"/>
      <c r="Q153" s="89"/>
      <c r="R153" s="3"/>
    </row>
    <row r="154" spans="1:18">
      <c r="A154" s="14"/>
      <c r="B154" s="9"/>
      <c r="C154" s="10" t="str">
        <f t="shared" si="25"/>
        <v>TEXTURE LEAD</v>
      </c>
      <c r="D154" s="9"/>
      <c r="E154" s="9" t="str">
        <f t="shared" si="26"/>
        <v>DUANGRUETHAI WONGPHAKHAM</v>
      </c>
      <c r="F154" s="9"/>
      <c r="G154" s="3"/>
      <c r="H154" s="20"/>
      <c r="I154" s="36" t="s">
        <v>242</v>
      </c>
      <c r="J154" s="20"/>
      <c r="K154" s="89" t="s">
        <v>243</v>
      </c>
      <c r="L154" s="3"/>
      <c r="M154" s="8"/>
      <c r="N154" s="20"/>
      <c r="O154" s="36" t="s">
        <v>242</v>
      </c>
      <c r="P154" s="20"/>
      <c r="Q154" s="89" t="s">
        <v>243</v>
      </c>
      <c r="R154" s="3"/>
    </row>
    <row r="155" spans="1:18">
      <c r="A155" s="14"/>
      <c r="B155" s="9"/>
      <c r="C155" s="10" t="str">
        <f t="shared" si="25"/>
        <v/>
      </c>
      <c r="D155" s="9"/>
      <c r="E155" s="9" t="str">
        <f t="shared" si="26"/>
        <v/>
      </c>
      <c r="F155" s="9"/>
      <c r="G155" s="3"/>
      <c r="H155" s="20"/>
      <c r="I155" s="36"/>
      <c r="J155" s="20"/>
      <c r="K155" s="89"/>
      <c r="L155" s="3"/>
      <c r="M155" s="8"/>
      <c r="N155" s="20"/>
      <c r="O155" s="36"/>
      <c r="P155" s="20"/>
      <c r="Q155" s="89"/>
      <c r="R155" s="3"/>
    </row>
    <row r="156" spans="1:18">
      <c r="A156" s="14"/>
      <c r="B156" s="9"/>
      <c r="C156" s="10" t="str">
        <f t="shared" si="25"/>
        <v>TEXTURE ARTIST</v>
      </c>
      <c r="D156" s="9"/>
      <c r="E156" s="9" t="str">
        <f t="shared" si="26"/>
        <v>SURANG PASAMLEE</v>
      </c>
      <c r="F156" s="9"/>
      <c r="G156" s="3"/>
      <c r="H156" s="20"/>
      <c r="I156" s="36" t="s">
        <v>244</v>
      </c>
      <c r="J156" s="20"/>
      <c r="K156" s="89" t="s">
        <v>245</v>
      </c>
      <c r="L156" s="3"/>
      <c r="M156" s="8"/>
      <c r="N156" s="20"/>
      <c r="O156" s="36" t="s">
        <v>244</v>
      </c>
      <c r="P156" s="20"/>
      <c r="Q156" s="89" t="s">
        <v>245</v>
      </c>
      <c r="R156" s="3"/>
    </row>
    <row r="157" spans="1:18">
      <c r="A157" s="14"/>
      <c r="B157" s="9"/>
      <c r="C157" s="10" t="str">
        <f t="shared" si="25"/>
        <v/>
      </c>
      <c r="D157" s="9"/>
      <c r="E157" s="9" t="str">
        <f t="shared" si="26"/>
        <v>RUJIKAN PHENPAIJIT</v>
      </c>
      <c r="F157" s="9"/>
      <c r="G157" s="3"/>
      <c r="H157" s="20"/>
      <c r="I157" s="21"/>
      <c r="J157" s="20"/>
      <c r="K157" s="89" t="s">
        <v>246</v>
      </c>
      <c r="L157" s="3"/>
      <c r="M157" s="8"/>
      <c r="N157" s="20"/>
      <c r="O157" s="21"/>
      <c r="P157" s="20"/>
      <c r="Q157" s="89" t="s">
        <v>246</v>
      </c>
      <c r="R157" s="3"/>
    </row>
    <row r="158" spans="1:18">
      <c r="A158" s="14"/>
      <c r="B158" s="9"/>
      <c r="C158" s="10" t="str">
        <f t="shared" si="25"/>
        <v/>
      </c>
      <c r="D158" s="9"/>
      <c r="E158" s="9" t="str">
        <f t="shared" si="26"/>
        <v>POONNAWAT SANTIYOTHIN</v>
      </c>
      <c r="F158" s="9"/>
      <c r="G158" s="3"/>
      <c r="H158" s="20"/>
      <c r="I158" s="21"/>
      <c r="J158" s="20"/>
      <c r="K158" s="89" t="s">
        <v>247</v>
      </c>
      <c r="L158" s="3"/>
      <c r="M158" s="8"/>
      <c r="N158" s="20"/>
      <c r="O158" s="21"/>
      <c r="P158" s="20"/>
      <c r="Q158" s="89" t="s">
        <v>247</v>
      </c>
      <c r="R158" s="3"/>
    </row>
    <row r="159" spans="1:18">
      <c r="A159" s="14"/>
      <c r="B159" s="9"/>
      <c r="C159" s="10" t="str">
        <f t="shared" si="25"/>
        <v/>
      </c>
      <c r="D159" s="9"/>
      <c r="E159" s="9" t="str">
        <f t="shared" si="26"/>
        <v>NUTCHAYA PUENGPREEDA</v>
      </c>
      <c r="F159" s="9"/>
      <c r="G159" s="3"/>
      <c r="H159" s="20"/>
      <c r="I159" s="21"/>
      <c r="J159" s="20"/>
      <c r="K159" s="89" t="s">
        <v>248</v>
      </c>
      <c r="L159" s="3"/>
      <c r="M159" s="8"/>
      <c r="N159" s="20"/>
      <c r="O159" s="21"/>
      <c r="P159" s="20"/>
      <c r="Q159" s="89" t="s">
        <v>248</v>
      </c>
      <c r="R159" s="3"/>
    </row>
    <row r="160" spans="1:18">
      <c r="A160" s="14"/>
      <c r="B160" s="9"/>
      <c r="C160" s="10" t="str">
        <f t="shared" si="25"/>
        <v/>
      </c>
      <c r="D160" s="9"/>
      <c r="E160" s="9" t="str">
        <f t="shared" si="26"/>
        <v>KANLAYANEE SUWANNABUT</v>
      </c>
      <c r="F160" s="9"/>
      <c r="G160" s="3"/>
      <c r="H160" s="20"/>
      <c r="I160" s="21"/>
      <c r="J160" s="20"/>
      <c r="K160" s="89" t="s">
        <v>249</v>
      </c>
      <c r="L160" s="3"/>
      <c r="M160" s="8"/>
      <c r="N160" s="20"/>
      <c r="O160" s="21"/>
      <c r="P160" s="20"/>
      <c r="Q160" s="89" t="s">
        <v>249</v>
      </c>
      <c r="R160" s="3"/>
    </row>
    <row r="161" spans="1:18">
      <c r="A161" s="14"/>
      <c r="B161" s="9"/>
      <c r="C161" s="10" t="str">
        <f t="shared" si="25"/>
        <v/>
      </c>
      <c r="D161" s="9"/>
      <c r="E161" s="9" t="str">
        <f t="shared" si="26"/>
        <v>THANAWAT SAWATCHITANG</v>
      </c>
      <c r="F161" s="9"/>
      <c r="G161" s="3"/>
      <c r="H161" s="20"/>
      <c r="I161" s="21"/>
      <c r="J161" s="20"/>
      <c r="K161" s="89" t="s">
        <v>250</v>
      </c>
      <c r="L161" s="3"/>
      <c r="M161" s="8"/>
      <c r="N161" s="20"/>
      <c r="O161" s="21"/>
      <c r="P161" s="20"/>
      <c r="Q161" s="89" t="s">
        <v>250</v>
      </c>
      <c r="R161" s="3"/>
    </row>
    <row r="162" spans="1:18">
      <c r="A162" s="14"/>
      <c r="B162" s="9"/>
      <c r="C162" s="10" t="str">
        <f t="shared" si="25"/>
        <v/>
      </c>
      <c r="D162" s="9"/>
      <c r="E162" s="9" t="str">
        <f t="shared" si="26"/>
        <v>NATYADA WANGKAHAT</v>
      </c>
      <c r="F162" s="9"/>
      <c r="G162" s="3"/>
      <c r="H162" s="20"/>
      <c r="I162" s="21"/>
      <c r="J162" s="20"/>
      <c r="K162" s="89" t="s">
        <v>251</v>
      </c>
      <c r="L162" s="3"/>
      <c r="M162" s="8"/>
      <c r="N162" s="20"/>
      <c r="O162" s="21"/>
      <c r="P162" s="20"/>
      <c r="Q162" s="89" t="s">
        <v>251</v>
      </c>
      <c r="R162" s="3"/>
    </row>
    <row r="163" spans="1:18">
      <c r="A163" s="14"/>
      <c r="B163" s="9"/>
      <c r="C163" s="10" t="str">
        <f t="shared" si="25"/>
        <v/>
      </c>
      <c r="D163" s="9"/>
      <c r="E163" s="9" t="str">
        <f t="shared" si="26"/>
        <v>KWANLARB POTJANASUNTORN</v>
      </c>
      <c r="F163" s="9"/>
      <c r="G163" s="3"/>
      <c r="H163" s="20"/>
      <c r="I163" s="21"/>
      <c r="J163" s="20"/>
      <c r="K163" s="89" t="s">
        <v>252</v>
      </c>
      <c r="L163" s="3"/>
      <c r="M163" s="8"/>
      <c r="N163" s="20"/>
      <c r="O163" s="21"/>
      <c r="P163" s="20"/>
      <c r="Q163" s="89" t="s">
        <v>252</v>
      </c>
      <c r="R163" s="3"/>
    </row>
    <row r="164" spans="1:18">
      <c r="A164" s="14"/>
      <c r="B164" s="9"/>
      <c r="C164" s="10" t="str">
        <f t="shared" si="25"/>
        <v/>
      </c>
      <c r="D164" s="9"/>
      <c r="E164" s="9" t="str">
        <f t="shared" si="26"/>
        <v>KLAORAVEE PANPENG</v>
      </c>
      <c r="F164" s="9"/>
      <c r="G164" s="3"/>
      <c r="H164" s="20"/>
      <c r="I164" s="21"/>
      <c r="J164" s="20"/>
      <c r="K164" s="89" t="s">
        <v>253</v>
      </c>
      <c r="L164" s="3"/>
      <c r="M164" s="8"/>
      <c r="N164" s="20"/>
      <c r="O164" s="21"/>
      <c r="P164" s="20"/>
      <c r="Q164" s="89" t="s">
        <v>253</v>
      </c>
      <c r="R164" s="3"/>
    </row>
    <row r="165" spans="1:18">
      <c r="A165" s="14"/>
      <c r="B165" s="9"/>
      <c r="C165" s="10" t="str">
        <f t="shared" si="25"/>
        <v/>
      </c>
      <c r="D165" s="9"/>
      <c r="E165" s="9" t="str">
        <f t="shared" si="26"/>
        <v>NATPAPON TITICHOATRATTNA</v>
      </c>
      <c r="F165" s="9"/>
      <c r="G165" s="3"/>
      <c r="H165" s="20"/>
      <c r="I165" s="21"/>
      <c r="J165" s="20"/>
      <c r="K165" s="89" t="s">
        <v>254</v>
      </c>
      <c r="L165" s="3"/>
      <c r="M165" s="8"/>
      <c r="N165" s="20"/>
      <c r="O165" s="21"/>
      <c r="P165" s="20"/>
      <c r="Q165" s="89" t="s">
        <v>254</v>
      </c>
      <c r="R165" s="3"/>
    </row>
    <row r="166" spans="1:18">
      <c r="A166" s="14"/>
      <c r="B166" s="9"/>
      <c r="C166" s="10"/>
      <c r="D166" s="9"/>
      <c r="E166" s="9" t="str">
        <f t="shared" si="26"/>
        <v>SARUTA SANTIPRAP</v>
      </c>
      <c r="F166" s="9"/>
      <c r="G166" s="3"/>
      <c r="H166" s="20"/>
      <c r="I166" s="21"/>
      <c r="J166" s="20"/>
      <c r="K166" s="89" t="s">
        <v>611</v>
      </c>
      <c r="L166" s="3"/>
      <c r="M166" s="8"/>
      <c r="N166" s="20"/>
      <c r="O166" s="21"/>
      <c r="P166" s="20"/>
      <c r="Q166" s="89" t="s">
        <v>611</v>
      </c>
      <c r="R166" s="3"/>
    </row>
    <row r="167" spans="1:18">
      <c r="A167" s="14"/>
      <c r="B167" s="9"/>
      <c r="C167" s="10"/>
      <c r="D167" s="9"/>
      <c r="E167" s="9" t="str">
        <f t="shared" si="26"/>
        <v>PHATTARANAN CHAROENKIAT</v>
      </c>
      <c r="F167" s="9"/>
      <c r="G167" s="3"/>
      <c r="H167" s="20"/>
      <c r="I167" s="21"/>
      <c r="J167" s="20"/>
      <c r="K167" s="89" t="s">
        <v>612</v>
      </c>
      <c r="L167" s="3"/>
      <c r="M167" s="8"/>
      <c r="N167" s="20"/>
      <c r="O167" s="21"/>
      <c r="P167" s="20"/>
      <c r="Q167" s="89" t="s">
        <v>612</v>
      </c>
      <c r="R167" s="3"/>
    </row>
    <row r="168" spans="1:18">
      <c r="A168" s="14"/>
      <c r="B168" s="9"/>
      <c r="C168" s="10"/>
      <c r="D168" s="9"/>
      <c r="E168" s="9"/>
      <c r="F168" s="9"/>
      <c r="G168" s="3"/>
      <c r="H168" s="20"/>
      <c r="I168" s="21"/>
      <c r="J168" s="20"/>
      <c r="K168" s="22"/>
      <c r="L168" s="3"/>
      <c r="M168" s="8"/>
      <c r="N168" s="8"/>
      <c r="O168" s="21"/>
      <c r="P168" s="3"/>
      <c r="Q168" s="3"/>
      <c r="R168" s="3"/>
    </row>
    <row r="169" spans="1:18">
      <c r="A169" s="14"/>
      <c r="B169" s="11"/>
      <c r="C169" s="12"/>
      <c r="D169" s="11"/>
      <c r="E169" s="11"/>
      <c r="F169" s="11"/>
      <c r="G169" s="3"/>
      <c r="H169" s="20"/>
      <c r="I169" s="21"/>
      <c r="J169" s="20"/>
      <c r="K169" s="22"/>
      <c r="L169" s="3"/>
      <c r="M169" s="8"/>
      <c r="N169" s="8"/>
      <c r="O169" s="21"/>
      <c r="P169" s="3"/>
      <c r="Q169" s="3"/>
      <c r="R169" s="3"/>
    </row>
    <row r="170" spans="1:18">
      <c r="A170" s="14"/>
      <c r="B170" s="9"/>
      <c r="C170" s="10"/>
      <c r="D170" s="9"/>
      <c r="E170" s="9"/>
      <c r="F170" s="9"/>
      <c r="G170" s="3"/>
      <c r="H170" s="20"/>
      <c r="I170" s="21"/>
      <c r="J170" s="20"/>
      <c r="K170" s="22"/>
      <c r="L170" s="3"/>
      <c r="M170" s="8"/>
      <c r="N170" s="8"/>
      <c r="O170" s="21"/>
      <c r="P170" s="3"/>
      <c r="Q170" s="3"/>
      <c r="R170" s="3"/>
    </row>
    <row r="171" spans="1:18">
      <c r="A171" s="14"/>
      <c r="B171" s="150" t="str">
        <f t="shared" ref="B171:B172" si="27">UPPER(H171)</f>
        <v xml:space="preserve">ASSET </v>
      </c>
      <c r="C171" s="141"/>
      <c r="D171" s="141"/>
      <c r="E171" s="141"/>
      <c r="F171" s="141"/>
      <c r="G171" s="28"/>
      <c r="H171" s="148" t="s">
        <v>208</v>
      </c>
      <c r="I171" s="141"/>
      <c r="J171" s="141"/>
      <c r="K171" s="141"/>
      <c r="L171" s="141"/>
      <c r="M171" s="8"/>
      <c r="N171" s="149" t="s">
        <v>818</v>
      </c>
      <c r="O171" s="141"/>
      <c r="P171" s="141"/>
      <c r="Q171" s="141"/>
      <c r="R171" s="141"/>
    </row>
    <row r="172" spans="1:18">
      <c r="A172" s="14"/>
      <c r="B172" s="146" t="str">
        <f t="shared" si="27"/>
        <v>THE MONK STUDIOS</v>
      </c>
      <c r="C172" s="141"/>
      <c r="D172" s="141"/>
      <c r="E172" s="141"/>
      <c r="F172" s="141"/>
      <c r="G172" s="3"/>
      <c r="H172" s="147" t="s">
        <v>202</v>
      </c>
      <c r="I172" s="141"/>
      <c r="J172" s="141"/>
      <c r="K172" s="141"/>
      <c r="L172" s="141"/>
      <c r="M172" s="8"/>
      <c r="N172" s="147" t="s">
        <v>202</v>
      </c>
      <c r="O172" s="141"/>
      <c r="P172" s="141"/>
      <c r="Q172" s="141"/>
      <c r="R172" s="141"/>
    </row>
    <row r="173" spans="1:18">
      <c r="A173" s="14"/>
      <c r="B173" s="9"/>
      <c r="C173" s="10"/>
      <c r="D173" s="9"/>
      <c r="E173" s="9"/>
      <c r="F173" s="9"/>
      <c r="G173" s="3"/>
      <c r="H173" s="20"/>
      <c r="I173" s="36"/>
      <c r="J173" s="20"/>
      <c r="K173" s="22"/>
      <c r="L173" s="3"/>
      <c r="M173" s="8"/>
      <c r="N173" s="20"/>
      <c r="O173" s="36"/>
      <c r="P173" s="20"/>
      <c r="Q173" s="22"/>
      <c r="R173" s="3"/>
    </row>
    <row r="174" spans="1:18">
      <c r="A174" s="14"/>
      <c r="B174" s="9"/>
      <c r="C174" s="10" t="str">
        <f t="shared" ref="C174:C186" si="28">UPPER(I174)</f>
        <v>RIG SUPERVISOR</v>
      </c>
      <c r="D174" s="9"/>
      <c r="E174" s="9" t="str">
        <f t="shared" ref="E174:E187" si="29">UPPER(K174)</f>
        <v>SORAWIT LIMKERTPOL</v>
      </c>
      <c r="F174" s="9"/>
      <c r="G174" s="3"/>
      <c r="H174" s="20"/>
      <c r="I174" s="90" t="s">
        <v>255</v>
      </c>
      <c r="J174" s="20"/>
      <c r="K174" s="31" t="s">
        <v>256</v>
      </c>
      <c r="L174" s="3"/>
      <c r="M174" s="8"/>
      <c r="N174" s="20"/>
      <c r="O174" s="90" t="s">
        <v>255</v>
      </c>
      <c r="P174" s="20"/>
      <c r="Q174" s="31" t="s">
        <v>256</v>
      </c>
      <c r="R174" s="3"/>
    </row>
    <row r="175" spans="1:18">
      <c r="A175" s="14"/>
      <c r="B175" s="9"/>
      <c r="C175" s="10" t="str">
        <f t="shared" si="28"/>
        <v/>
      </c>
      <c r="D175" s="9"/>
      <c r="E175" s="9" t="str">
        <f t="shared" si="29"/>
        <v/>
      </c>
      <c r="F175" s="9"/>
      <c r="G175" s="3"/>
      <c r="H175" s="20"/>
      <c r="I175" s="90"/>
      <c r="J175" s="20"/>
      <c r="K175" s="31"/>
      <c r="L175" s="3"/>
      <c r="M175" s="8"/>
      <c r="N175" s="20"/>
      <c r="O175" s="90"/>
      <c r="P175" s="20"/>
      <c r="Q175" s="31"/>
      <c r="R175" s="3"/>
    </row>
    <row r="176" spans="1:18">
      <c r="A176" s="14"/>
      <c r="B176" s="9"/>
      <c r="C176" s="10" t="str">
        <f t="shared" si="28"/>
        <v>RIG LEAD</v>
      </c>
      <c r="D176" s="9"/>
      <c r="E176" s="9" t="str">
        <f t="shared" si="29"/>
        <v>RATHTY PONGWORAPINIT</v>
      </c>
      <c r="F176" s="9"/>
      <c r="G176" s="3"/>
      <c r="H176" s="20"/>
      <c r="I176" s="90" t="s">
        <v>257</v>
      </c>
      <c r="J176" s="20"/>
      <c r="K176" s="31" t="s">
        <v>258</v>
      </c>
      <c r="L176" s="3"/>
      <c r="M176" s="8"/>
      <c r="N176" s="20"/>
      <c r="O176" s="90" t="s">
        <v>257</v>
      </c>
      <c r="P176" s="20"/>
      <c r="Q176" s="31" t="s">
        <v>258</v>
      </c>
      <c r="R176" s="3"/>
    </row>
    <row r="177" spans="1:18">
      <c r="A177" s="14"/>
      <c r="B177" s="9"/>
      <c r="C177" s="10" t="str">
        <f t="shared" si="28"/>
        <v/>
      </c>
      <c r="D177" s="9"/>
      <c r="E177" s="9" t="str">
        <f t="shared" si="29"/>
        <v>CHONNIKAN SONSAMRIT</v>
      </c>
      <c r="F177" s="9"/>
      <c r="G177" s="3"/>
      <c r="H177" s="20"/>
      <c r="I177" s="90"/>
      <c r="J177" s="20"/>
      <c r="K177" s="31" t="s">
        <v>259</v>
      </c>
      <c r="L177" s="3"/>
      <c r="M177" s="8"/>
      <c r="N177" s="20"/>
      <c r="O177" s="90"/>
      <c r="P177" s="20"/>
      <c r="Q177" s="31" t="s">
        <v>259</v>
      </c>
      <c r="R177" s="3"/>
    </row>
    <row r="178" spans="1:18">
      <c r="A178" s="14"/>
      <c r="B178" s="9"/>
      <c r="C178" s="10" t="str">
        <f t="shared" si="28"/>
        <v/>
      </c>
      <c r="D178" s="9"/>
      <c r="E178" s="9" t="str">
        <f t="shared" si="29"/>
        <v/>
      </c>
      <c r="F178" s="9"/>
      <c r="G178" s="3"/>
      <c r="H178" s="20"/>
      <c r="I178" s="90"/>
      <c r="J178" s="20"/>
      <c r="K178" s="31"/>
      <c r="L178" s="3"/>
      <c r="M178" s="8"/>
      <c r="N178" s="20"/>
      <c r="O178" s="90"/>
      <c r="P178" s="20"/>
      <c r="Q178" s="31"/>
      <c r="R178" s="3"/>
    </row>
    <row r="179" spans="1:18">
      <c r="A179" s="14"/>
      <c r="B179" s="9"/>
      <c r="C179" s="10" t="str">
        <f t="shared" si="28"/>
        <v>RIG ARTIST</v>
      </c>
      <c r="D179" s="9"/>
      <c r="E179" s="9" t="str">
        <f t="shared" si="29"/>
        <v>ALI RAZA</v>
      </c>
      <c r="F179" s="9"/>
      <c r="G179" s="3"/>
      <c r="H179" s="20"/>
      <c r="I179" s="90" t="s">
        <v>260</v>
      </c>
      <c r="J179" s="20"/>
      <c r="K179" s="31" t="s">
        <v>261</v>
      </c>
      <c r="L179" s="3"/>
      <c r="M179" s="8"/>
      <c r="N179" s="20"/>
      <c r="O179" s="90" t="s">
        <v>260</v>
      </c>
      <c r="P179" s="20"/>
      <c r="Q179" s="31" t="s">
        <v>261</v>
      </c>
      <c r="R179" s="3"/>
    </row>
    <row r="180" spans="1:18">
      <c r="A180" s="14"/>
      <c r="B180" s="9"/>
      <c r="C180" s="10" t="str">
        <f t="shared" si="28"/>
        <v/>
      </c>
      <c r="D180" s="9"/>
      <c r="E180" s="9" t="str">
        <f t="shared" si="29"/>
        <v>BHUMINAT CHATURAMETHANONT</v>
      </c>
      <c r="F180" s="9"/>
      <c r="G180" s="3"/>
      <c r="H180" s="20"/>
      <c r="I180" s="21"/>
      <c r="J180" s="20"/>
      <c r="K180" s="31" t="s">
        <v>262</v>
      </c>
      <c r="L180" s="3"/>
      <c r="M180" s="8"/>
      <c r="N180" s="20"/>
      <c r="O180" s="21"/>
      <c r="P180" s="20"/>
      <c r="Q180" s="31" t="s">
        <v>262</v>
      </c>
      <c r="R180" s="3"/>
    </row>
    <row r="181" spans="1:18">
      <c r="A181" s="14"/>
      <c r="B181" s="9"/>
      <c r="C181" s="10" t="str">
        <f t="shared" si="28"/>
        <v/>
      </c>
      <c r="D181" s="9"/>
      <c r="E181" s="9" t="str">
        <f t="shared" si="29"/>
        <v>KRITTAPAD DEJJEENMUANG</v>
      </c>
      <c r="F181" s="9"/>
      <c r="G181" s="3"/>
      <c r="H181" s="20"/>
      <c r="I181" s="21"/>
      <c r="J181" s="20"/>
      <c r="K181" s="31" t="s">
        <v>263</v>
      </c>
      <c r="L181" s="3"/>
      <c r="M181" s="8"/>
      <c r="N181" s="20"/>
      <c r="O181" s="21"/>
      <c r="P181" s="20"/>
      <c r="Q181" s="31" t="s">
        <v>263</v>
      </c>
      <c r="R181" s="3"/>
    </row>
    <row r="182" spans="1:18">
      <c r="A182" s="14"/>
      <c r="B182" s="9"/>
      <c r="C182" s="10" t="str">
        <f t="shared" si="28"/>
        <v/>
      </c>
      <c r="D182" s="9"/>
      <c r="E182" s="9" t="str">
        <f t="shared" si="29"/>
        <v>ANAWIN SARNMOUNG</v>
      </c>
      <c r="F182" s="9"/>
      <c r="G182" s="3"/>
      <c r="H182" s="20"/>
      <c r="I182" s="21"/>
      <c r="J182" s="20"/>
      <c r="K182" s="31" t="s">
        <v>264</v>
      </c>
      <c r="L182" s="3"/>
      <c r="M182" s="8"/>
      <c r="N182" s="20"/>
      <c r="O182" s="21"/>
      <c r="P182" s="20"/>
      <c r="Q182" s="31" t="s">
        <v>264</v>
      </c>
      <c r="R182" s="3"/>
    </row>
    <row r="183" spans="1:18">
      <c r="A183" s="14"/>
      <c r="B183" s="9"/>
      <c r="C183" s="10" t="str">
        <f t="shared" si="28"/>
        <v/>
      </c>
      <c r="D183" s="9"/>
      <c r="E183" s="9" t="str">
        <f t="shared" si="29"/>
        <v>CHANYA KANICHAPONG</v>
      </c>
      <c r="F183" s="9"/>
      <c r="G183" s="3"/>
      <c r="H183" s="20"/>
      <c r="I183" s="21"/>
      <c r="J183" s="20"/>
      <c r="K183" s="31" t="s">
        <v>265</v>
      </c>
      <c r="L183" s="3"/>
      <c r="M183" s="8"/>
      <c r="N183" s="20"/>
      <c r="O183" s="21"/>
      <c r="P183" s="20"/>
      <c r="Q183" s="31" t="s">
        <v>265</v>
      </c>
      <c r="R183" s="3"/>
    </row>
    <row r="184" spans="1:18">
      <c r="A184" s="14"/>
      <c r="B184" s="9"/>
      <c r="C184" s="10" t="str">
        <f t="shared" si="28"/>
        <v/>
      </c>
      <c r="D184" s="9"/>
      <c r="E184" s="9" t="str">
        <f t="shared" si="29"/>
        <v>JIRAYUT JAIKLA</v>
      </c>
      <c r="F184" s="9"/>
      <c r="G184" s="3"/>
      <c r="H184" s="20"/>
      <c r="I184" s="21"/>
      <c r="J184" s="20"/>
      <c r="K184" s="31" t="s">
        <v>266</v>
      </c>
      <c r="L184" s="3"/>
      <c r="M184" s="8"/>
      <c r="N184" s="20"/>
      <c r="O184" s="21"/>
      <c r="P184" s="20"/>
      <c r="Q184" s="31" t="s">
        <v>266</v>
      </c>
      <c r="R184" s="3"/>
    </row>
    <row r="185" spans="1:18">
      <c r="A185" s="14"/>
      <c r="B185" s="9"/>
      <c r="C185" s="10" t="str">
        <f t="shared" si="28"/>
        <v/>
      </c>
      <c r="D185" s="9"/>
      <c r="E185" s="9" t="str">
        <f t="shared" si="29"/>
        <v>NANTAPAK PRUANGKARN</v>
      </c>
      <c r="F185" s="9"/>
      <c r="G185" s="3"/>
      <c r="H185" s="20"/>
      <c r="I185" s="21"/>
      <c r="J185" s="20"/>
      <c r="K185" s="31" t="s">
        <v>267</v>
      </c>
      <c r="L185" s="3"/>
      <c r="M185" s="8"/>
      <c r="N185" s="20"/>
      <c r="O185" s="21"/>
      <c r="P185" s="20"/>
      <c r="Q185" s="31" t="s">
        <v>267</v>
      </c>
      <c r="R185" s="3"/>
    </row>
    <row r="186" spans="1:18">
      <c r="A186" s="14"/>
      <c r="B186" s="9"/>
      <c r="C186" s="10" t="str">
        <f t="shared" si="28"/>
        <v/>
      </c>
      <c r="D186" s="9"/>
      <c r="E186" s="9" t="str">
        <f t="shared" si="29"/>
        <v>PANCHANOK CHOMCHUEN</v>
      </c>
      <c r="F186" s="9"/>
      <c r="G186" s="3"/>
      <c r="H186" s="20"/>
      <c r="I186" s="21"/>
      <c r="J186" s="20"/>
      <c r="K186" s="31" t="s">
        <v>268</v>
      </c>
      <c r="L186" s="3"/>
      <c r="M186" s="8"/>
      <c r="N186" s="20"/>
      <c r="O186" s="21"/>
      <c r="P186" s="20"/>
      <c r="Q186" s="31" t="s">
        <v>268</v>
      </c>
      <c r="R186" s="3"/>
    </row>
    <row r="187" spans="1:18">
      <c r="A187" s="14"/>
      <c r="B187" s="9"/>
      <c r="C187" s="10"/>
      <c r="D187" s="9"/>
      <c r="E187" s="9" t="str">
        <f t="shared" si="29"/>
        <v>TAWEEWAT TAWEEPASAS</v>
      </c>
      <c r="F187" s="9"/>
      <c r="G187" s="3"/>
      <c r="H187" s="20"/>
      <c r="I187" s="21"/>
      <c r="J187" s="20"/>
      <c r="K187" s="31" t="s">
        <v>269</v>
      </c>
      <c r="L187" s="3"/>
      <c r="M187" s="8"/>
      <c r="N187" s="20"/>
      <c r="O187" s="21"/>
      <c r="P187" s="20"/>
      <c r="Q187" s="31" t="s">
        <v>269</v>
      </c>
      <c r="R187" s="3"/>
    </row>
    <row r="188" spans="1:18">
      <c r="A188" s="14"/>
      <c r="B188" s="9"/>
      <c r="C188" s="10"/>
      <c r="D188" s="9"/>
      <c r="E188" s="9"/>
      <c r="F188" s="9"/>
      <c r="G188" s="3"/>
      <c r="H188" s="20"/>
      <c r="I188" s="90"/>
      <c r="J188" s="20"/>
      <c r="K188" s="87"/>
      <c r="L188" s="3"/>
      <c r="M188" s="8"/>
      <c r="N188" s="8"/>
      <c r="O188" s="21"/>
      <c r="P188" s="3"/>
      <c r="Q188" s="3"/>
      <c r="R188" s="3"/>
    </row>
    <row r="189" spans="1:18">
      <c r="A189" s="14"/>
      <c r="B189" s="11"/>
      <c r="C189" s="12"/>
      <c r="D189" s="11"/>
      <c r="E189" s="11"/>
      <c r="F189" s="11"/>
      <c r="G189" s="3"/>
      <c r="H189" s="20"/>
      <c r="I189" s="90"/>
      <c r="J189" s="20"/>
      <c r="K189" s="87"/>
      <c r="L189" s="3"/>
      <c r="M189" s="8"/>
      <c r="N189" s="8"/>
      <c r="O189" s="21"/>
      <c r="P189" s="3"/>
      <c r="Q189" s="3"/>
      <c r="R189" s="3"/>
    </row>
    <row r="190" spans="1:18">
      <c r="A190" s="14"/>
      <c r="B190" s="9"/>
      <c r="C190" s="10"/>
      <c r="D190" s="9"/>
      <c r="E190" s="9"/>
      <c r="F190" s="9"/>
      <c r="G190" s="3"/>
      <c r="H190" s="20"/>
      <c r="I190" s="90"/>
      <c r="J190" s="20"/>
      <c r="K190" s="87"/>
      <c r="L190" s="3"/>
      <c r="M190" s="8"/>
      <c r="N190" s="8"/>
      <c r="O190" s="21"/>
      <c r="P190" s="3"/>
      <c r="Q190" s="3"/>
      <c r="R190" s="3"/>
    </row>
    <row r="191" spans="1:18">
      <c r="A191" s="14"/>
      <c r="B191" s="150" t="str">
        <f t="shared" ref="B191:B192" si="30">UPPER(H191)</f>
        <v xml:space="preserve">ASSET </v>
      </c>
      <c r="C191" s="141"/>
      <c r="D191" s="141"/>
      <c r="E191" s="141"/>
      <c r="F191" s="141"/>
      <c r="G191" s="28"/>
      <c r="H191" s="148" t="s">
        <v>208</v>
      </c>
      <c r="I191" s="141"/>
      <c r="J191" s="141"/>
      <c r="K191" s="141"/>
      <c r="L191" s="141"/>
      <c r="M191" s="8"/>
      <c r="N191" s="149" t="s">
        <v>818</v>
      </c>
      <c r="O191" s="141"/>
      <c r="P191" s="141"/>
      <c r="Q191" s="141"/>
      <c r="R191" s="141"/>
    </row>
    <row r="192" spans="1:18">
      <c r="A192" s="14"/>
      <c r="B192" s="146" t="str">
        <f t="shared" si="30"/>
        <v>THE MONK STUDIOS</v>
      </c>
      <c r="C192" s="141"/>
      <c r="D192" s="141"/>
      <c r="E192" s="141"/>
      <c r="F192" s="141"/>
      <c r="G192" s="3"/>
      <c r="H192" s="147" t="s">
        <v>202</v>
      </c>
      <c r="I192" s="141"/>
      <c r="J192" s="141"/>
      <c r="K192" s="141"/>
      <c r="L192" s="141"/>
      <c r="M192" s="8"/>
      <c r="N192" s="147" t="s">
        <v>202</v>
      </c>
      <c r="O192" s="141"/>
      <c r="P192" s="141"/>
      <c r="Q192" s="141"/>
      <c r="R192" s="141"/>
    </row>
    <row r="193" spans="1:18">
      <c r="A193" s="14"/>
      <c r="B193" s="9"/>
      <c r="C193" s="10"/>
      <c r="D193" s="9"/>
      <c r="E193" s="9"/>
      <c r="F193" s="9"/>
      <c r="G193" s="3"/>
      <c r="H193" s="20"/>
      <c r="I193" s="90"/>
      <c r="J193" s="20"/>
      <c r="K193" s="87"/>
      <c r="L193" s="3"/>
      <c r="M193" s="8"/>
      <c r="N193" s="20"/>
      <c r="O193" s="90"/>
      <c r="P193" s="20"/>
      <c r="Q193" s="87"/>
      <c r="R193" s="3"/>
    </row>
    <row r="194" spans="1:18">
      <c r="A194" s="14"/>
      <c r="B194" s="9"/>
      <c r="C194" s="10" t="str">
        <f>UPPER(I194)</f>
        <v>GROOMING SUPERVISOR</v>
      </c>
      <c r="D194" s="9"/>
      <c r="E194" s="9" t="str">
        <f>UPPER(K194)</f>
        <v>PHURINUT TANGCHAROEN</v>
      </c>
      <c r="F194" s="9"/>
      <c r="G194" s="3"/>
      <c r="H194" s="20"/>
      <c r="I194" s="90" t="s">
        <v>270</v>
      </c>
      <c r="J194" s="20"/>
      <c r="K194" s="87" t="s">
        <v>271</v>
      </c>
      <c r="L194" s="3"/>
      <c r="M194" s="8"/>
      <c r="N194" s="20"/>
      <c r="O194" s="90" t="s">
        <v>270</v>
      </c>
      <c r="P194" s="20"/>
      <c r="Q194" s="87" t="s">
        <v>271</v>
      </c>
      <c r="R194" s="3"/>
    </row>
    <row r="195" spans="1:18">
      <c r="A195" s="14"/>
      <c r="B195" s="9"/>
      <c r="C195" s="10"/>
      <c r="D195" s="9"/>
      <c r="E195" s="9"/>
      <c r="F195" s="9"/>
      <c r="G195" s="3"/>
      <c r="H195" s="20"/>
      <c r="I195" s="90"/>
      <c r="J195" s="20"/>
      <c r="K195" s="87"/>
      <c r="L195" s="3"/>
      <c r="M195" s="8"/>
      <c r="N195" s="20"/>
      <c r="O195" s="90"/>
      <c r="P195" s="20"/>
      <c r="Q195" s="87"/>
      <c r="R195" s="3"/>
    </row>
    <row r="196" spans="1:18">
      <c r="A196" s="14"/>
      <c r="B196" s="9"/>
      <c r="C196" s="10" t="str">
        <f t="shared" ref="C196:C199" si="31">UPPER(I196)</f>
        <v>GROOMING ARTIST</v>
      </c>
      <c r="D196" s="9"/>
      <c r="E196" s="9" t="str">
        <f t="shared" ref="E196:E200" si="32">UPPER(K196)</f>
        <v>BUDSARAPORN WAICHUENCHORM</v>
      </c>
      <c r="F196" s="9"/>
      <c r="G196" s="3"/>
      <c r="H196" s="20"/>
      <c r="I196" s="90" t="s">
        <v>272</v>
      </c>
      <c r="J196" s="20"/>
      <c r="K196" s="87" t="s">
        <v>273</v>
      </c>
      <c r="L196" s="3"/>
      <c r="M196" s="8"/>
      <c r="N196" s="20"/>
      <c r="O196" s="90" t="s">
        <v>272</v>
      </c>
      <c r="P196" s="20"/>
      <c r="Q196" s="87" t="s">
        <v>273</v>
      </c>
      <c r="R196" s="3"/>
    </row>
    <row r="197" spans="1:18">
      <c r="A197" s="14"/>
      <c r="B197" s="9"/>
      <c r="C197" s="10" t="str">
        <f t="shared" si="31"/>
        <v/>
      </c>
      <c r="D197" s="9"/>
      <c r="E197" s="9" t="str">
        <f t="shared" si="32"/>
        <v>PRAEWPAN SAEPUNG</v>
      </c>
      <c r="F197" s="9"/>
      <c r="G197" s="3"/>
      <c r="H197" s="20"/>
      <c r="I197" s="21"/>
      <c r="J197" s="20"/>
      <c r="K197" s="91" t="s">
        <v>274</v>
      </c>
      <c r="L197" s="3"/>
      <c r="M197" s="8"/>
      <c r="N197" s="20"/>
      <c r="O197" s="21"/>
      <c r="P197" s="20"/>
      <c r="Q197" s="91" t="s">
        <v>274</v>
      </c>
      <c r="R197" s="3"/>
    </row>
    <row r="198" spans="1:18">
      <c r="A198" s="14"/>
      <c r="B198" s="9"/>
      <c r="C198" s="10" t="str">
        <f t="shared" si="31"/>
        <v/>
      </c>
      <c r="D198" s="9"/>
      <c r="E198" s="9" t="str">
        <f t="shared" si="32"/>
        <v>VANLIPHA KAEWKHAO</v>
      </c>
      <c r="F198" s="9"/>
      <c r="G198" s="3"/>
      <c r="H198" s="20"/>
      <c r="I198" s="21"/>
      <c r="J198" s="20"/>
      <c r="K198" s="87" t="s">
        <v>275</v>
      </c>
      <c r="L198" s="3"/>
      <c r="M198" s="8"/>
      <c r="N198" s="20"/>
      <c r="O198" s="21"/>
      <c r="P198" s="20"/>
      <c r="Q198" s="87" t="s">
        <v>275</v>
      </c>
      <c r="R198" s="3"/>
    </row>
    <row r="199" spans="1:18">
      <c r="A199" s="14"/>
      <c r="B199" s="9"/>
      <c r="C199" s="10" t="str">
        <f t="shared" si="31"/>
        <v/>
      </c>
      <c r="D199" s="9"/>
      <c r="E199" s="9" t="str">
        <f t="shared" si="32"/>
        <v>PATIPARN KAWINCHAN</v>
      </c>
      <c r="F199" s="9"/>
      <c r="G199" s="3"/>
      <c r="H199" s="20"/>
      <c r="I199" s="21"/>
      <c r="J199" s="20"/>
      <c r="K199" s="87" t="s">
        <v>276</v>
      </c>
      <c r="L199" s="3"/>
      <c r="M199" s="8"/>
      <c r="N199" s="20"/>
      <c r="O199" s="21"/>
      <c r="P199" s="20"/>
      <c r="Q199" s="87" t="s">
        <v>276</v>
      </c>
      <c r="R199" s="3"/>
    </row>
    <row r="200" spans="1:18">
      <c r="A200" s="14"/>
      <c r="B200" s="9"/>
      <c r="C200" s="10"/>
      <c r="D200" s="9"/>
      <c r="E200" s="9" t="str">
        <f t="shared" si="32"/>
        <v>YOTIN TONGBANTURNG</v>
      </c>
      <c r="F200" s="9"/>
      <c r="G200" s="3"/>
      <c r="H200" s="20"/>
      <c r="I200" s="21"/>
      <c r="J200" s="20"/>
      <c r="K200" s="87" t="s">
        <v>277</v>
      </c>
      <c r="L200" s="3"/>
      <c r="M200" s="8"/>
      <c r="N200" s="20"/>
      <c r="O200" s="21"/>
      <c r="P200" s="20"/>
      <c r="Q200" s="87" t="s">
        <v>277</v>
      </c>
      <c r="R200" s="3"/>
    </row>
    <row r="201" spans="1:18">
      <c r="A201" s="14"/>
      <c r="B201" s="9"/>
      <c r="C201" s="10"/>
      <c r="D201" s="9"/>
      <c r="E201" s="9"/>
      <c r="F201" s="9"/>
      <c r="G201" s="3"/>
      <c r="H201" s="20"/>
      <c r="I201" s="21"/>
      <c r="J201" s="20"/>
      <c r="K201" s="31"/>
      <c r="L201" s="3"/>
      <c r="M201" s="8"/>
      <c r="N201" s="8"/>
      <c r="O201" s="21"/>
      <c r="P201" s="3"/>
      <c r="Q201" s="3"/>
      <c r="R201" s="3"/>
    </row>
    <row r="202" spans="1:18">
      <c r="A202" s="14"/>
      <c r="B202" s="11"/>
      <c r="C202" s="12"/>
      <c r="D202" s="11"/>
      <c r="E202" s="11"/>
      <c r="F202" s="11"/>
      <c r="G202" s="3"/>
      <c r="H202" s="20"/>
      <c r="I202" s="21"/>
      <c r="J202" s="20"/>
      <c r="K202" s="31"/>
      <c r="L202" s="3"/>
      <c r="M202" s="8"/>
      <c r="N202" s="8"/>
      <c r="O202" s="21"/>
      <c r="P202" s="3"/>
      <c r="Q202" s="3"/>
      <c r="R202" s="3"/>
    </row>
    <row r="203" spans="1:18">
      <c r="A203" s="14"/>
      <c r="B203" s="9"/>
      <c r="C203" s="10"/>
      <c r="D203" s="9"/>
      <c r="E203" s="9"/>
      <c r="F203" s="9"/>
      <c r="G203" s="3"/>
      <c r="H203" s="20"/>
      <c r="I203" s="21"/>
      <c r="J203" s="20"/>
      <c r="K203" s="31"/>
      <c r="L203" s="3"/>
      <c r="M203" s="8"/>
      <c r="N203" s="8"/>
      <c r="O203" s="21"/>
      <c r="P203" s="3"/>
      <c r="Q203" s="3"/>
      <c r="R203" s="3"/>
    </row>
    <row r="204" spans="1:18">
      <c r="A204" s="14"/>
      <c r="B204" s="150" t="str">
        <f>UPPER(H204)</f>
        <v>LAYOUT</v>
      </c>
      <c r="C204" s="141"/>
      <c r="D204" s="141"/>
      <c r="E204" s="141"/>
      <c r="F204" s="141"/>
      <c r="G204" s="28"/>
      <c r="H204" s="148" t="s">
        <v>278</v>
      </c>
      <c r="I204" s="141"/>
      <c r="J204" s="141"/>
      <c r="K204" s="141"/>
      <c r="L204" s="141"/>
      <c r="M204" s="29"/>
      <c r="N204" s="149" t="s">
        <v>829</v>
      </c>
      <c r="O204" s="141"/>
      <c r="P204" s="141"/>
      <c r="Q204" s="141"/>
      <c r="R204" s="141"/>
    </row>
    <row r="205" spans="1:18">
      <c r="A205" s="14"/>
      <c r="B205" s="9"/>
      <c r="C205" s="10" t="str">
        <f>UPPER(I205)</f>
        <v>LAYOUT DIRECTOR</v>
      </c>
      <c r="D205" s="9"/>
      <c r="E205" s="9" t="str">
        <f>UPPER(K205)</f>
        <v>KYUNGMIN KIM</v>
      </c>
      <c r="F205" s="9"/>
      <c r="G205" s="3"/>
      <c r="H205" s="20"/>
      <c r="I205" s="21" t="s">
        <v>279</v>
      </c>
      <c r="J205" s="20"/>
      <c r="K205" s="3" t="s">
        <v>280</v>
      </c>
      <c r="L205" s="3"/>
      <c r="M205" s="8"/>
      <c r="N205" s="8"/>
      <c r="O205" s="21" t="s">
        <v>830</v>
      </c>
      <c r="P205" s="3"/>
      <c r="Q205" s="3" t="s">
        <v>831</v>
      </c>
      <c r="R205" s="3"/>
    </row>
    <row r="206" spans="1:18">
      <c r="A206" s="14"/>
      <c r="B206" s="9"/>
      <c r="C206" s="10"/>
      <c r="D206" s="9"/>
      <c r="E206" s="9"/>
      <c r="F206" s="9"/>
      <c r="G206" s="3"/>
      <c r="H206" s="20"/>
      <c r="I206" s="21"/>
      <c r="J206" s="20"/>
      <c r="K206" s="31"/>
      <c r="L206" s="3"/>
      <c r="M206" s="8"/>
      <c r="N206" s="8"/>
      <c r="O206" s="21"/>
      <c r="P206" s="3"/>
      <c r="Q206" s="3"/>
      <c r="R206" s="3"/>
    </row>
    <row r="207" spans="1:18">
      <c r="A207" s="14"/>
      <c r="B207" s="9"/>
      <c r="C207" s="10"/>
      <c r="D207" s="9"/>
      <c r="E207" s="9"/>
      <c r="F207" s="9"/>
      <c r="G207" s="3"/>
      <c r="H207" s="20"/>
      <c r="I207" s="21"/>
      <c r="J207" s="20"/>
      <c r="K207" s="31"/>
      <c r="L207" s="3"/>
      <c r="M207" s="8"/>
      <c r="N207" s="8"/>
      <c r="O207" s="21"/>
      <c r="P207" s="3"/>
      <c r="Q207" s="3"/>
      <c r="R207" s="3"/>
    </row>
    <row r="208" spans="1:18">
      <c r="A208" s="14"/>
      <c r="B208" s="146" t="str">
        <f>UPPER(H208)</f>
        <v>THE MONK STUDIOS</v>
      </c>
      <c r="C208" s="141"/>
      <c r="D208" s="141"/>
      <c r="E208" s="141"/>
      <c r="F208" s="141"/>
      <c r="G208" s="3"/>
      <c r="H208" s="147" t="s">
        <v>202</v>
      </c>
      <c r="I208" s="141"/>
      <c r="J208" s="141"/>
      <c r="K208" s="141"/>
      <c r="L208" s="141"/>
      <c r="M208" s="8"/>
      <c r="N208" s="149" t="s">
        <v>202</v>
      </c>
      <c r="O208" s="141"/>
      <c r="P208" s="141"/>
      <c r="Q208" s="141"/>
      <c r="R208" s="141"/>
    </row>
    <row r="209" spans="1:18">
      <c r="A209" s="14"/>
      <c r="B209" s="9"/>
      <c r="C209" s="10" t="str">
        <f>UPPER(I209)</f>
        <v>LAYOUT SUPERVISOR</v>
      </c>
      <c r="D209" s="9"/>
      <c r="E209" s="9" t="str">
        <f>UPPER(K209)</f>
        <v>NITAT WIMANJUNT</v>
      </c>
      <c r="F209" s="9"/>
      <c r="G209" s="3"/>
      <c r="H209" s="20"/>
      <c r="I209" s="90" t="s">
        <v>281</v>
      </c>
      <c r="J209" s="20"/>
      <c r="K209" s="87" t="s">
        <v>701</v>
      </c>
      <c r="L209" s="3"/>
      <c r="M209" s="8"/>
      <c r="N209" s="3"/>
      <c r="O209" s="90" t="s">
        <v>281</v>
      </c>
      <c r="P209" s="20"/>
      <c r="Q209" s="87" t="s">
        <v>701</v>
      </c>
      <c r="R209" s="3"/>
    </row>
    <row r="210" spans="1:18">
      <c r="A210" s="14"/>
      <c r="B210" s="9"/>
      <c r="C210" s="10"/>
      <c r="D210" s="9"/>
      <c r="E210" s="9"/>
      <c r="F210" s="9"/>
      <c r="G210" s="3"/>
      <c r="H210" s="20"/>
      <c r="I210" s="90"/>
      <c r="J210" s="20"/>
      <c r="K210" s="87"/>
      <c r="L210" s="3"/>
      <c r="M210" s="8"/>
      <c r="N210" s="3"/>
      <c r="O210" s="90"/>
      <c r="P210" s="20"/>
      <c r="Q210" s="87"/>
      <c r="R210" s="3"/>
    </row>
    <row r="211" spans="1:18">
      <c r="A211" s="14"/>
      <c r="B211" s="9"/>
      <c r="C211" s="10" t="str">
        <f t="shared" ref="C211:C216" si="33">UPPER(I211)</f>
        <v>LAYOUT ARTIST</v>
      </c>
      <c r="D211" s="9"/>
      <c r="E211" s="9" t="str">
        <f t="shared" ref="E211:E217" si="34">UPPER(K211)</f>
        <v>PIYAPHON SRIPHONGNGAM</v>
      </c>
      <c r="F211" s="9"/>
      <c r="G211" s="3"/>
      <c r="H211" s="20"/>
      <c r="I211" s="90" t="s">
        <v>283</v>
      </c>
      <c r="J211" s="20"/>
      <c r="K211" s="87" t="s">
        <v>702</v>
      </c>
      <c r="L211" s="3"/>
      <c r="M211" s="8"/>
      <c r="N211" s="3"/>
      <c r="O211" s="90" t="s">
        <v>283</v>
      </c>
      <c r="P211" s="20"/>
      <c r="Q211" s="87" t="s">
        <v>702</v>
      </c>
      <c r="R211" s="3"/>
    </row>
    <row r="212" spans="1:18">
      <c r="A212" s="14"/>
      <c r="B212" s="9"/>
      <c r="C212" s="10" t="str">
        <f t="shared" si="33"/>
        <v/>
      </c>
      <c r="D212" s="9"/>
      <c r="E212" s="9" t="str">
        <f t="shared" si="34"/>
        <v>PANYA NATEKOBKUA</v>
      </c>
      <c r="F212" s="9"/>
      <c r="G212" s="3"/>
      <c r="H212" s="20"/>
      <c r="I212" s="21"/>
      <c r="J212" s="20"/>
      <c r="K212" s="87" t="s">
        <v>703</v>
      </c>
      <c r="L212" s="3"/>
      <c r="M212" s="8"/>
      <c r="N212" s="3"/>
      <c r="O212" s="21"/>
      <c r="P212" s="20"/>
      <c r="Q212" s="87" t="s">
        <v>703</v>
      </c>
      <c r="R212" s="3"/>
    </row>
    <row r="213" spans="1:18">
      <c r="A213" s="14"/>
      <c r="B213" s="9"/>
      <c r="C213" s="10" t="str">
        <f t="shared" si="33"/>
        <v/>
      </c>
      <c r="D213" s="9"/>
      <c r="E213" s="9" t="str">
        <f t="shared" si="34"/>
        <v>CHONLATHORN PHUSRI</v>
      </c>
      <c r="F213" s="9"/>
      <c r="G213" s="3"/>
      <c r="H213" s="20"/>
      <c r="I213" s="21"/>
      <c r="J213" s="20"/>
      <c r="K213" s="87" t="s">
        <v>704</v>
      </c>
      <c r="L213" s="3"/>
      <c r="M213" s="8"/>
      <c r="N213" s="3"/>
      <c r="O213" s="21"/>
      <c r="P213" s="20"/>
      <c r="Q213" s="87" t="s">
        <v>704</v>
      </c>
      <c r="R213" s="3"/>
    </row>
    <row r="214" spans="1:18">
      <c r="A214" s="14"/>
      <c r="B214" s="9"/>
      <c r="C214" s="10" t="str">
        <f t="shared" si="33"/>
        <v/>
      </c>
      <c r="D214" s="9"/>
      <c r="E214" s="9" t="str">
        <f t="shared" si="34"/>
        <v>NOPPARAT WANGSIN</v>
      </c>
      <c r="F214" s="9"/>
      <c r="G214" s="3"/>
      <c r="H214" s="20"/>
      <c r="I214" s="21"/>
      <c r="J214" s="20"/>
      <c r="K214" s="87" t="s">
        <v>705</v>
      </c>
      <c r="L214" s="3"/>
      <c r="M214" s="8"/>
      <c r="N214" s="3"/>
      <c r="O214" s="21"/>
      <c r="P214" s="20"/>
      <c r="Q214" s="87" t="s">
        <v>705</v>
      </c>
      <c r="R214" s="3"/>
    </row>
    <row r="215" spans="1:18">
      <c r="A215" s="14"/>
      <c r="B215" s="9"/>
      <c r="C215" s="10" t="str">
        <f t="shared" si="33"/>
        <v/>
      </c>
      <c r="D215" s="9"/>
      <c r="E215" s="9" t="str">
        <f t="shared" si="34"/>
        <v>KANYANEE DUANGNAPA</v>
      </c>
      <c r="F215" s="9"/>
      <c r="G215" s="3"/>
      <c r="H215" s="20"/>
      <c r="I215" s="21"/>
      <c r="J215" s="20"/>
      <c r="K215" s="87" t="s">
        <v>706</v>
      </c>
      <c r="L215" s="3"/>
      <c r="M215" s="8"/>
      <c r="N215" s="3"/>
      <c r="O215" s="21"/>
      <c r="P215" s="20"/>
      <c r="Q215" s="87" t="s">
        <v>706</v>
      </c>
      <c r="R215" s="3"/>
    </row>
    <row r="216" spans="1:18">
      <c r="A216" s="14"/>
      <c r="B216" s="9"/>
      <c r="C216" s="10" t="str">
        <f t="shared" si="33"/>
        <v/>
      </c>
      <c r="D216" s="9"/>
      <c r="E216" s="9" t="str">
        <f t="shared" si="34"/>
        <v>PHIRAPHON PAKAPHONGPHAN</v>
      </c>
      <c r="F216" s="9"/>
      <c r="G216" s="3"/>
      <c r="H216" s="20"/>
      <c r="I216" s="21"/>
      <c r="J216" s="20"/>
      <c r="K216" s="87" t="s">
        <v>707</v>
      </c>
      <c r="L216" s="3"/>
      <c r="M216" s="8"/>
      <c r="N216" s="3"/>
      <c r="O216" s="21"/>
      <c r="P216" s="20"/>
      <c r="Q216" s="87" t="s">
        <v>707</v>
      </c>
      <c r="R216" s="3"/>
    </row>
    <row r="217" spans="1:18">
      <c r="A217" s="14"/>
      <c r="B217" s="9"/>
      <c r="C217" s="10"/>
      <c r="D217" s="9"/>
      <c r="E217" s="9" t="str">
        <f t="shared" si="34"/>
        <v>PASSAKORN BENJAPISUT</v>
      </c>
      <c r="F217" s="9"/>
      <c r="G217" s="3"/>
      <c r="H217" s="20"/>
      <c r="I217" s="21"/>
      <c r="J217" s="20"/>
      <c r="K217" s="87" t="s">
        <v>708</v>
      </c>
      <c r="L217" s="3"/>
      <c r="M217" s="8"/>
      <c r="N217" s="8"/>
      <c r="O217" s="21"/>
      <c r="P217" s="20"/>
      <c r="Q217" s="87" t="s">
        <v>708</v>
      </c>
      <c r="R217" s="3"/>
    </row>
    <row r="218" spans="1:18">
      <c r="A218" s="14"/>
      <c r="B218" s="9"/>
      <c r="C218" s="10"/>
      <c r="D218" s="9"/>
      <c r="E218" s="9"/>
      <c r="F218" s="9"/>
      <c r="G218" s="3"/>
      <c r="H218" s="20"/>
      <c r="I218" s="21"/>
      <c r="J218" s="20"/>
      <c r="K218" s="87"/>
      <c r="L218" s="3"/>
      <c r="M218" s="8"/>
      <c r="N218" s="8"/>
      <c r="O218" s="21"/>
      <c r="P218" s="3"/>
      <c r="Q218" s="3"/>
      <c r="R218" s="3"/>
    </row>
    <row r="219" spans="1:18">
      <c r="A219" s="14"/>
      <c r="B219" s="11"/>
      <c r="C219" s="12"/>
      <c r="D219" s="11"/>
      <c r="E219" s="11"/>
      <c r="F219" s="11"/>
      <c r="G219" s="3"/>
      <c r="H219" s="20"/>
      <c r="I219" s="21"/>
      <c r="J219" s="20"/>
      <c r="K219" s="13"/>
      <c r="L219" s="3"/>
      <c r="M219" s="8"/>
      <c r="N219" s="8"/>
      <c r="O219" s="21"/>
      <c r="P219" s="3"/>
      <c r="Q219" s="3"/>
      <c r="R219" s="3"/>
    </row>
    <row r="220" spans="1:18">
      <c r="A220" s="14"/>
      <c r="B220" s="6"/>
      <c r="C220" s="6"/>
      <c r="D220" s="6"/>
      <c r="E220" s="6"/>
      <c r="F220" s="6"/>
      <c r="G220" s="3"/>
      <c r="H220" s="27"/>
      <c r="I220" s="21"/>
      <c r="J220" s="27"/>
      <c r="K220" s="13"/>
      <c r="L220" s="7"/>
      <c r="M220" s="8"/>
      <c r="N220" s="8"/>
      <c r="O220" s="21"/>
      <c r="P220" s="3"/>
      <c r="Q220" s="3"/>
      <c r="R220" s="3"/>
    </row>
    <row r="221" spans="1:18">
      <c r="A221" s="14"/>
      <c r="B221" s="150" t="str">
        <f>UPPER(H221)</f>
        <v>ANIMATION</v>
      </c>
      <c r="C221" s="141"/>
      <c r="D221" s="141"/>
      <c r="E221" s="141"/>
      <c r="F221" s="141"/>
      <c r="G221" s="28"/>
      <c r="H221" s="148" t="s">
        <v>290</v>
      </c>
      <c r="I221" s="141"/>
      <c r="J221" s="141"/>
      <c r="K221" s="141"/>
      <c r="L221" s="141"/>
      <c r="M221" s="29"/>
      <c r="N221" s="149" t="s">
        <v>832</v>
      </c>
      <c r="O221" s="141"/>
      <c r="P221" s="141"/>
      <c r="Q221" s="141"/>
      <c r="R221" s="141"/>
    </row>
    <row r="222" spans="1:18">
      <c r="A222" s="14"/>
      <c r="B222" s="9"/>
      <c r="C222" s="10" t="str">
        <f>UPPER(I222)</f>
        <v>ANIMATION DIRECTOR</v>
      </c>
      <c r="D222" s="9"/>
      <c r="E222" s="9" t="str">
        <f>UPPER(K222)</f>
        <v>JONGEUN LEE</v>
      </c>
      <c r="F222" s="9"/>
      <c r="G222" s="3"/>
      <c r="H222" s="20"/>
      <c r="I222" s="21" t="s">
        <v>291</v>
      </c>
      <c r="J222" s="20"/>
      <c r="K222" s="3" t="s">
        <v>292</v>
      </c>
      <c r="L222" s="3"/>
      <c r="M222" s="8"/>
      <c r="N222" s="3"/>
      <c r="O222" s="8" t="s">
        <v>833</v>
      </c>
      <c r="P222" s="3"/>
      <c r="Q222" s="3" t="s">
        <v>834</v>
      </c>
      <c r="R222" s="3"/>
    </row>
    <row r="223" spans="1:18">
      <c r="A223" s="14"/>
      <c r="B223" s="9"/>
      <c r="C223" s="10"/>
      <c r="D223" s="9"/>
      <c r="E223" s="9"/>
      <c r="F223" s="9"/>
      <c r="G223" s="3"/>
      <c r="H223" s="20"/>
      <c r="I223" s="21"/>
      <c r="J223" s="20"/>
      <c r="K223" s="13"/>
      <c r="L223" s="3"/>
      <c r="M223" s="8"/>
      <c r="N223" s="8"/>
      <c r="O223" s="21"/>
      <c r="P223" s="3"/>
      <c r="Q223" s="3"/>
      <c r="R223" s="3"/>
    </row>
    <row r="224" spans="1:18">
      <c r="A224" s="14"/>
      <c r="B224" s="9"/>
      <c r="C224" s="10" t="str">
        <f>UPPER(I224)</f>
        <v/>
      </c>
      <c r="D224" s="9"/>
      <c r="E224" s="9" t="str">
        <f t="shared" ref="E224:E225" si="35">UPPER(K224)</f>
        <v/>
      </c>
      <c r="F224" s="9"/>
      <c r="G224" s="3"/>
      <c r="H224" s="20"/>
      <c r="I224" s="15"/>
      <c r="J224" s="15"/>
      <c r="K224" s="5"/>
      <c r="L224" s="3"/>
      <c r="M224" s="8"/>
      <c r="N224" s="8"/>
      <c r="O224" s="21"/>
      <c r="P224" s="3"/>
      <c r="Q224" s="3"/>
      <c r="R224" s="3"/>
    </row>
    <row r="225" spans="1:18">
      <c r="A225" s="14"/>
      <c r="B225" s="9"/>
      <c r="C225" s="10"/>
      <c r="D225" s="9"/>
      <c r="E225" s="9" t="str">
        <f t="shared" si="35"/>
        <v/>
      </c>
      <c r="F225" s="9"/>
      <c r="G225" s="3"/>
      <c r="H225" s="20"/>
      <c r="I225" s="15"/>
      <c r="J225" s="15"/>
      <c r="K225" s="5"/>
      <c r="L225" s="3"/>
      <c r="M225" s="8"/>
      <c r="N225" s="8"/>
      <c r="O225" s="21"/>
      <c r="P225" s="3"/>
      <c r="Q225" s="3"/>
      <c r="R225" s="3"/>
    </row>
    <row r="226" spans="1:18">
      <c r="A226" s="14"/>
      <c r="B226" s="146" t="str">
        <f>UPPER(H226)</f>
        <v>THE MONK STUDIOS</v>
      </c>
      <c r="C226" s="141"/>
      <c r="D226" s="141"/>
      <c r="E226" s="141"/>
      <c r="F226" s="141"/>
      <c r="G226" s="3"/>
      <c r="H226" s="147" t="s">
        <v>202</v>
      </c>
      <c r="I226" s="141"/>
      <c r="J226" s="141"/>
      <c r="K226" s="141"/>
      <c r="L226" s="141"/>
      <c r="M226" s="8"/>
      <c r="N226" s="147" t="s">
        <v>202</v>
      </c>
      <c r="O226" s="141"/>
      <c r="P226" s="141"/>
      <c r="Q226" s="141"/>
      <c r="R226" s="141"/>
    </row>
    <row r="227" spans="1:18">
      <c r="A227" s="14"/>
      <c r="B227" s="9"/>
      <c r="C227" s="10" t="str">
        <f t="shared" ref="C227:C233" si="36">UPPER(I227)</f>
        <v>ANIMATION DIRECTOR</v>
      </c>
      <c r="D227" s="9"/>
      <c r="E227" s="9" t="str">
        <f t="shared" ref="E227:E244" si="37">UPPER(K227)</f>
        <v>SUPAPORN KLONGPHAJONKIT</v>
      </c>
      <c r="F227" s="9"/>
      <c r="G227" s="3"/>
      <c r="H227" s="20"/>
      <c r="I227" s="90" t="s">
        <v>291</v>
      </c>
      <c r="J227" s="20"/>
      <c r="K227" s="87" t="s">
        <v>303</v>
      </c>
      <c r="L227" s="3"/>
      <c r="M227" s="8"/>
      <c r="N227" s="20"/>
      <c r="O227" s="90" t="s">
        <v>291</v>
      </c>
      <c r="P227" s="20"/>
      <c r="Q227" s="87" t="s">
        <v>303</v>
      </c>
      <c r="R227" s="3"/>
    </row>
    <row r="228" spans="1:18">
      <c r="A228" s="14"/>
      <c r="B228" s="9"/>
      <c r="C228" s="10" t="str">
        <f t="shared" si="36"/>
        <v/>
      </c>
      <c r="D228" s="9"/>
      <c r="E228" s="9" t="str">
        <f t="shared" si="37"/>
        <v/>
      </c>
      <c r="F228" s="9"/>
      <c r="G228" s="3"/>
      <c r="H228" s="20"/>
      <c r="I228" s="90"/>
      <c r="J228" s="20"/>
      <c r="K228" s="87"/>
      <c r="L228" s="3"/>
      <c r="M228" s="8"/>
      <c r="N228" s="20"/>
      <c r="O228" s="90"/>
      <c r="P228" s="20"/>
      <c r="Q228" s="87"/>
      <c r="R228" s="3"/>
    </row>
    <row r="229" spans="1:18">
      <c r="A229" s="14"/>
      <c r="B229" s="9"/>
      <c r="C229" s="10" t="str">
        <f t="shared" si="36"/>
        <v>ANIMATION SUPERVISOR</v>
      </c>
      <c r="D229" s="9"/>
      <c r="E229" s="9" t="str">
        <f t="shared" si="37"/>
        <v>CHET JEAMKITRUNG</v>
      </c>
      <c r="F229" s="9"/>
      <c r="G229" s="3"/>
      <c r="H229" s="20"/>
      <c r="I229" s="90" t="s">
        <v>293</v>
      </c>
      <c r="J229" s="20"/>
      <c r="K229" s="87" t="s">
        <v>304</v>
      </c>
      <c r="L229" s="3"/>
      <c r="M229" s="8"/>
      <c r="N229" s="20"/>
      <c r="O229" s="90" t="s">
        <v>293</v>
      </c>
      <c r="P229" s="20"/>
      <c r="Q229" s="87" t="s">
        <v>304</v>
      </c>
      <c r="R229" s="3"/>
    </row>
    <row r="230" spans="1:18">
      <c r="A230" s="14"/>
      <c r="B230" s="9"/>
      <c r="C230" s="10" t="str">
        <f t="shared" si="36"/>
        <v/>
      </c>
      <c r="D230" s="9"/>
      <c r="E230" s="9" t="str">
        <f t="shared" si="37"/>
        <v>DONNAPAT CHANTAVICHANUWONG</v>
      </c>
      <c r="F230" s="9"/>
      <c r="G230" s="3"/>
      <c r="H230" s="20"/>
      <c r="I230" s="90"/>
      <c r="J230" s="20"/>
      <c r="K230" s="87" t="s">
        <v>305</v>
      </c>
      <c r="L230" s="3"/>
      <c r="M230" s="8"/>
      <c r="N230" s="20"/>
      <c r="O230" s="90"/>
      <c r="P230" s="20"/>
      <c r="Q230" s="87" t="s">
        <v>305</v>
      </c>
      <c r="R230" s="3"/>
    </row>
    <row r="231" spans="1:18">
      <c r="A231" s="14"/>
      <c r="B231" s="9"/>
      <c r="C231" s="10" t="str">
        <f t="shared" si="36"/>
        <v/>
      </c>
      <c r="D231" s="9"/>
      <c r="E231" s="9" t="str">
        <f t="shared" si="37"/>
        <v/>
      </c>
      <c r="F231" s="9"/>
      <c r="G231" s="3"/>
      <c r="H231" s="20"/>
      <c r="I231" s="90"/>
      <c r="J231" s="20"/>
      <c r="K231" s="87"/>
      <c r="L231" s="3"/>
      <c r="M231" s="8"/>
      <c r="N231" s="20"/>
      <c r="O231" s="90"/>
      <c r="P231" s="20"/>
      <c r="Q231" s="87"/>
      <c r="R231" s="3"/>
    </row>
    <row r="232" spans="1:18">
      <c r="A232" s="14"/>
      <c r="B232" s="9"/>
      <c r="C232" s="10" t="str">
        <f t="shared" si="36"/>
        <v>ANIMATOR</v>
      </c>
      <c r="D232" s="9"/>
      <c r="E232" s="9" t="str">
        <f t="shared" si="37"/>
        <v>APIMUK UMNIT</v>
      </c>
      <c r="F232" s="9"/>
      <c r="G232" s="3"/>
      <c r="H232" s="20"/>
      <c r="I232" s="90" t="s">
        <v>296</v>
      </c>
      <c r="J232" s="20"/>
      <c r="K232" s="87" t="s">
        <v>764</v>
      </c>
      <c r="L232" s="3"/>
      <c r="M232" s="8"/>
      <c r="N232" s="20"/>
      <c r="O232" s="90" t="s">
        <v>296</v>
      </c>
      <c r="P232" s="20"/>
      <c r="Q232" s="87" t="s">
        <v>764</v>
      </c>
      <c r="R232" s="3"/>
    </row>
    <row r="233" spans="1:18">
      <c r="A233" s="14"/>
      <c r="B233" s="9"/>
      <c r="C233" s="10" t="str">
        <f t="shared" si="36"/>
        <v/>
      </c>
      <c r="D233" s="9"/>
      <c r="E233" s="9" t="str">
        <f t="shared" si="37"/>
        <v>CHATTRIYA THATAYU</v>
      </c>
      <c r="F233" s="9"/>
      <c r="G233" s="3"/>
      <c r="H233" s="20"/>
      <c r="I233" s="21"/>
      <c r="J233" s="20"/>
      <c r="K233" s="87" t="s">
        <v>306</v>
      </c>
      <c r="L233" s="3"/>
      <c r="M233" s="8"/>
      <c r="N233" s="20"/>
      <c r="O233" s="21"/>
      <c r="P233" s="20"/>
      <c r="Q233" s="87" t="s">
        <v>306</v>
      </c>
      <c r="R233" s="3"/>
    </row>
    <row r="234" spans="1:18">
      <c r="A234" s="14"/>
      <c r="B234" s="9"/>
      <c r="C234" s="10"/>
      <c r="D234" s="9"/>
      <c r="E234" s="9" t="str">
        <f t="shared" si="37"/>
        <v>CHITSANUPONG SUKKAMNERD</v>
      </c>
      <c r="F234" s="9"/>
      <c r="G234" s="3"/>
      <c r="H234" s="20"/>
      <c r="I234" s="21"/>
      <c r="J234" s="20"/>
      <c r="K234" s="87" t="s">
        <v>765</v>
      </c>
      <c r="L234" s="3"/>
      <c r="M234" s="8"/>
      <c r="N234" s="20"/>
      <c r="O234" s="21"/>
      <c r="P234" s="20"/>
      <c r="Q234" s="87" t="s">
        <v>765</v>
      </c>
      <c r="R234" s="3"/>
    </row>
    <row r="235" spans="1:18">
      <c r="A235" s="14"/>
      <c r="B235" s="9"/>
      <c r="C235" s="10"/>
      <c r="D235" s="9"/>
      <c r="E235" s="9" t="str">
        <f t="shared" si="37"/>
        <v>JATURATHEP KONGKHIAW</v>
      </c>
      <c r="F235" s="9"/>
      <c r="G235" s="3"/>
      <c r="H235" s="20"/>
      <c r="I235" s="21"/>
      <c r="J235" s="20"/>
      <c r="K235" s="87" t="s">
        <v>307</v>
      </c>
      <c r="L235" s="3"/>
      <c r="M235" s="8"/>
      <c r="N235" s="20"/>
      <c r="O235" s="21"/>
      <c r="P235" s="20"/>
      <c r="Q235" s="87" t="s">
        <v>307</v>
      </c>
      <c r="R235" s="3"/>
    </row>
    <row r="236" spans="1:18">
      <c r="A236" s="14"/>
      <c r="B236" s="9"/>
      <c r="C236" s="10"/>
      <c r="D236" s="9"/>
      <c r="E236" s="9" t="str">
        <f t="shared" si="37"/>
        <v>KAMPHON NGERNSONG</v>
      </c>
      <c r="F236" s="9"/>
      <c r="G236" s="3"/>
      <c r="H236" s="20"/>
      <c r="I236" s="21"/>
      <c r="J236" s="20"/>
      <c r="K236" s="87" t="s">
        <v>308</v>
      </c>
      <c r="L236" s="3"/>
      <c r="M236" s="8"/>
      <c r="N236" s="20"/>
      <c r="O236" s="21"/>
      <c r="P236" s="20"/>
      <c r="Q236" s="87" t="s">
        <v>308</v>
      </c>
      <c r="R236" s="3"/>
    </row>
    <row r="237" spans="1:18">
      <c r="A237" s="14"/>
      <c r="B237" s="9"/>
      <c r="C237" s="10"/>
      <c r="D237" s="9"/>
      <c r="E237" s="9" t="str">
        <f t="shared" si="37"/>
        <v>KHWANCHANOK LAEPET</v>
      </c>
      <c r="F237" s="9"/>
      <c r="G237" s="3"/>
      <c r="H237" s="20"/>
      <c r="I237" s="21"/>
      <c r="J237" s="20"/>
      <c r="K237" s="87" t="s">
        <v>309</v>
      </c>
      <c r="L237" s="3"/>
      <c r="M237" s="8"/>
      <c r="N237" s="20"/>
      <c r="O237" s="21"/>
      <c r="P237" s="20"/>
      <c r="Q237" s="87" t="s">
        <v>309</v>
      </c>
      <c r="R237" s="3"/>
    </row>
    <row r="238" spans="1:18">
      <c r="A238" s="14"/>
      <c r="B238" s="9"/>
      <c r="C238" s="10"/>
      <c r="D238" s="9"/>
      <c r="E238" s="9" t="str">
        <f t="shared" si="37"/>
        <v>KITTICHAI BOETBO</v>
      </c>
      <c r="F238" s="9"/>
      <c r="G238" s="3"/>
      <c r="H238" s="20"/>
      <c r="I238" s="21"/>
      <c r="J238" s="20"/>
      <c r="K238" s="87" t="s">
        <v>619</v>
      </c>
      <c r="L238" s="3"/>
      <c r="M238" s="8"/>
      <c r="N238" s="20"/>
      <c r="O238" s="21"/>
      <c r="P238" s="20"/>
      <c r="Q238" s="87" t="s">
        <v>619</v>
      </c>
      <c r="R238" s="3"/>
    </row>
    <row r="239" spans="1:18">
      <c r="A239" s="14"/>
      <c r="B239" s="9"/>
      <c r="C239" s="10"/>
      <c r="D239" s="9"/>
      <c r="E239" s="9" t="str">
        <f t="shared" si="37"/>
        <v>KORAPATH WUNCHUM</v>
      </c>
      <c r="F239" s="9"/>
      <c r="G239" s="3"/>
      <c r="H239" s="20"/>
      <c r="I239" s="21"/>
      <c r="J239" s="20"/>
      <c r="K239" s="87" t="s">
        <v>310</v>
      </c>
      <c r="L239" s="3"/>
      <c r="M239" s="8"/>
      <c r="N239" s="20"/>
      <c r="O239" s="21"/>
      <c r="P239" s="20"/>
      <c r="Q239" s="87" t="s">
        <v>310</v>
      </c>
      <c r="R239" s="3"/>
    </row>
    <row r="240" spans="1:18">
      <c r="A240" s="14"/>
      <c r="B240" s="9"/>
      <c r="C240" s="10"/>
      <c r="D240" s="9"/>
      <c r="E240" s="9" t="str">
        <f t="shared" si="37"/>
        <v>NANTATCHAPORN MATTARAS</v>
      </c>
      <c r="F240" s="9"/>
      <c r="G240" s="3"/>
      <c r="H240" s="20"/>
      <c r="I240" s="21"/>
      <c r="J240" s="20"/>
      <c r="K240" s="87" t="s">
        <v>311</v>
      </c>
      <c r="L240" s="3"/>
      <c r="M240" s="8"/>
      <c r="N240" s="20"/>
      <c r="O240" s="21"/>
      <c r="P240" s="20"/>
      <c r="Q240" s="87" t="s">
        <v>311</v>
      </c>
      <c r="R240" s="3"/>
    </row>
    <row r="241" spans="1:18">
      <c r="A241" s="14"/>
      <c r="B241" s="9"/>
      <c r="C241" s="10"/>
      <c r="D241" s="9"/>
      <c r="E241" s="9" t="str">
        <f t="shared" si="37"/>
        <v>NAPAT TEMSITTICHOK</v>
      </c>
      <c r="F241" s="9"/>
      <c r="G241" s="3"/>
      <c r="H241" s="20"/>
      <c r="I241" s="21"/>
      <c r="J241" s="20"/>
      <c r="K241" s="87" t="s">
        <v>689</v>
      </c>
      <c r="L241" s="3"/>
      <c r="M241" s="8"/>
      <c r="N241" s="20"/>
      <c r="O241" s="21"/>
      <c r="P241" s="20"/>
      <c r="Q241" s="87" t="s">
        <v>689</v>
      </c>
      <c r="R241" s="3"/>
    </row>
    <row r="242" spans="1:18">
      <c r="A242" s="14"/>
      <c r="B242" s="9"/>
      <c r="C242" s="10"/>
      <c r="D242" s="9"/>
      <c r="E242" s="9" t="str">
        <f t="shared" si="37"/>
        <v>NATTAWUT TONGPOR</v>
      </c>
      <c r="F242" s="9"/>
      <c r="G242" s="3"/>
      <c r="H242" s="20"/>
      <c r="I242" s="21"/>
      <c r="J242" s="20"/>
      <c r="K242" s="87" t="s">
        <v>314</v>
      </c>
      <c r="L242" s="3"/>
      <c r="M242" s="8"/>
      <c r="N242" s="20"/>
      <c r="O242" s="21"/>
      <c r="P242" s="20"/>
      <c r="Q242" s="87" t="s">
        <v>314</v>
      </c>
      <c r="R242" s="3"/>
    </row>
    <row r="243" spans="1:18">
      <c r="A243" s="14"/>
      <c r="B243" s="9"/>
      <c r="C243" s="10"/>
      <c r="D243" s="9"/>
      <c r="E243" s="9" t="str">
        <f t="shared" si="37"/>
        <v>NAVATEP DANKAO</v>
      </c>
      <c r="F243" s="9"/>
      <c r="G243" s="3"/>
      <c r="H243" s="20"/>
      <c r="I243" s="21"/>
      <c r="J243" s="20"/>
      <c r="K243" s="87" t="s">
        <v>315</v>
      </c>
      <c r="L243" s="3"/>
      <c r="M243" s="8"/>
      <c r="N243" s="20"/>
      <c r="O243" s="21"/>
      <c r="P243" s="20"/>
      <c r="Q243" s="87" t="s">
        <v>315</v>
      </c>
      <c r="R243" s="3"/>
    </row>
    <row r="244" spans="1:18">
      <c r="A244" s="14"/>
      <c r="B244" s="9"/>
      <c r="C244" s="10"/>
      <c r="D244" s="9"/>
      <c r="E244" s="9" t="str">
        <f t="shared" si="37"/>
        <v>PAKARACHON RODKLUM</v>
      </c>
      <c r="F244" s="9"/>
      <c r="G244" s="3"/>
      <c r="H244" s="20"/>
      <c r="I244" s="21"/>
      <c r="J244" s="20"/>
      <c r="K244" s="87" t="s">
        <v>622</v>
      </c>
      <c r="L244" s="3"/>
      <c r="M244" s="8"/>
      <c r="N244" s="20"/>
      <c r="O244" s="21"/>
      <c r="P244" s="20"/>
      <c r="Q244" s="87" t="s">
        <v>622</v>
      </c>
      <c r="R244" s="3"/>
    </row>
    <row r="245" spans="1:18">
      <c r="A245" s="14"/>
      <c r="B245" s="9"/>
      <c r="C245" s="10"/>
      <c r="D245" s="9"/>
      <c r="E245" s="9"/>
      <c r="F245" s="9"/>
      <c r="G245" s="3"/>
      <c r="H245" s="20"/>
      <c r="I245" s="21"/>
      <c r="J245" s="20"/>
      <c r="K245" s="87"/>
      <c r="L245" s="3"/>
      <c r="M245" s="8"/>
      <c r="N245" s="8"/>
      <c r="O245" s="21"/>
      <c r="P245" s="3"/>
      <c r="Q245" s="3"/>
      <c r="R245" s="3"/>
    </row>
    <row r="246" spans="1:18">
      <c r="A246" s="14"/>
      <c r="B246" s="26"/>
      <c r="C246" s="26"/>
      <c r="D246" s="26"/>
      <c r="E246" s="26"/>
      <c r="F246" s="26"/>
      <c r="G246" s="3"/>
      <c r="H246" s="15"/>
      <c r="I246" s="15"/>
      <c r="J246" s="15"/>
      <c r="K246" s="5"/>
      <c r="L246" s="15"/>
      <c r="M246" s="8"/>
      <c r="N246" s="8"/>
      <c r="O246" s="21"/>
      <c r="P246" s="3"/>
      <c r="Q246" s="3"/>
      <c r="R246" s="3"/>
    </row>
    <row r="247" spans="1:18">
      <c r="A247" s="14"/>
      <c r="B247" s="6"/>
      <c r="C247" s="6"/>
      <c r="D247" s="6"/>
      <c r="E247" s="6"/>
      <c r="F247" s="6"/>
      <c r="G247" s="3"/>
      <c r="H247" s="15"/>
      <c r="I247" s="15"/>
      <c r="J247" s="15"/>
      <c r="K247" s="5"/>
      <c r="L247" s="15"/>
      <c r="M247" s="8"/>
      <c r="N247" s="8"/>
      <c r="O247" s="21"/>
      <c r="P247" s="3"/>
      <c r="Q247" s="3"/>
      <c r="R247" s="3"/>
    </row>
    <row r="248" spans="1:18">
      <c r="A248" s="14"/>
      <c r="B248" s="150" t="str">
        <f t="shared" ref="B248:B249" si="38">UPPER(H248)</f>
        <v>ANIMATION</v>
      </c>
      <c r="C248" s="141"/>
      <c r="D248" s="141"/>
      <c r="E248" s="141"/>
      <c r="F248" s="141"/>
      <c r="G248" s="28"/>
      <c r="H248" s="148" t="s">
        <v>290</v>
      </c>
      <c r="I248" s="141"/>
      <c r="J248" s="141"/>
      <c r="K248" s="141"/>
      <c r="L248" s="141"/>
      <c r="M248" s="8"/>
      <c r="N248" s="149" t="s">
        <v>832</v>
      </c>
      <c r="O248" s="141"/>
      <c r="P248" s="141"/>
      <c r="Q248" s="141"/>
      <c r="R248" s="141"/>
    </row>
    <row r="249" spans="1:18">
      <c r="A249" s="14"/>
      <c r="B249" s="146" t="str">
        <f t="shared" si="38"/>
        <v>THE MONK STUDIOS</v>
      </c>
      <c r="C249" s="141"/>
      <c r="D249" s="141"/>
      <c r="E249" s="141"/>
      <c r="F249" s="141"/>
      <c r="G249" s="3"/>
      <c r="H249" s="147" t="s">
        <v>202</v>
      </c>
      <c r="I249" s="141"/>
      <c r="J249" s="141"/>
      <c r="K249" s="141"/>
      <c r="L249" s="141"/>
      <c r="M249" s="8"/>
      <c r="N249" s="147" t="s">
        <v>202</v>
      </c>
      <c r="O249" s="141"/>
      <c r="P249" s="141"/>
      <c r="Q249" s="141"/>
      <c r="R249" s="141"/>
    </row>
    <row r="250" spans="1:18">
      <c r="A250" s="14"/>
      <c r="B250" s="9"/>
      <c r="C250" s="10"/>
      <c r="D250" s="9"/>
      <c r="E250" s="9"/>
      <c r="F250" s="9"/>
      <c r="G250" s="3"/>
      <c r="H250" s="20"/>
      <c r="I250" s="90"/>
      <c r="J250" s="20"/>
      <c r="K250" s="87"/>
      <c r="L250" s="3"/>
      <c r="M250" s="8"/>
      <c r="N250" s="20"/>
      <c r="O250" s="90"/>
      <c r="P250" s="20"/>
      <c r="Q250" s="87"/>
      <c r="R250" s="3"/>
    </row>
    <row r="251" spans="1:18">
      <c r="A251" s="14"/>
      <c r="B251" s="9"/>
      <c r="C251" s="10" t="str">
        <f t="shared" ref="C251:C268" si="39">UPPER(I251)</f>
        <v>ANIMATOR</v>
      </c>
      <c r="D251" s="9"/>
      <c r="E251" s="9" t="str">
        <f t="shared" ref="E251:E270" si="40">UPPER(K251)</f>
        <v>PARINYA SUPANNO</v>
      </c>
      <c r="F251" s="9"/>
      <c r="G251" s="3"/>
      <c r="H251" s="20"/>
      <c r="I251" s="36" t="s">
        <v>296</v>
      </c>
      <c r="J251" s="20"/>
      <c r="K251" s="87" t="s">
        <v>316</v>
      </c>
      <c r="L251" s="3"/>
      <c r="M251" s="8"/>
      <c r="N251" s="20"/>
      <c r="O251" s="36" t="s">
        <v>296</v>
      </c>
      <c r="P251" s="20"/>
      <c r="Q251" s="87" t="s">
        <v>316</v>
      </c>
      <c r="R251" s="3"/>
    </row>
    <row r="252" spans="1:18">
      <c r="A252" s="14"/>
      <c r="B252" s="9"/>
      <c r="C252" s="10" t="str">
        <f t="shared" si="39"/>
        <v/>
      </c>
      <c r="D252" s="9"/>
      <c r="E252" s="9" t="str">
        <f t="shared" si="40"/>
        <v>PATTARAWUT JARUPRAMOTE</v>
      </c>
      <c r="F252" s="9"/>
      <c r="G252" s="3"/>
      <c r="H252" s="20"/>
      <c r="I252" s="36"/>
      <c r="J252" s="20"/>
      <c r="K252" s="87" t="s">
        <v>317</v>
      </c>
      <c r="L252" s="3"/>
      <c r="M252" s="8"/>
      <c r="N252" s="20"/>
      <c r="O252" s="36"/>
      <c r="P252" s="20"/>
      <c r="Q252" s="87" t="s">
        <v>317</v>
      </c>
      <c r="R252" s="3"/>
    </row>
    <row r="253" spans="1:18">
      <c r="A253" s="14"/>
      <c r="B253" s="9"/>
      <c r="C253" s="10" t="str">
        <f t="shared" si="39"/>
        <v/>
      </c>
      <c r="D253" s="9"/>
      <c r="E253" s="9" t="str">
        <f t="shared" si="40"/>
        <v>POKIN NAMAUDOMSIN</v>
      </c>
      <c r="F253" s="9"/>
      <c r="G253" s="3"/>
      <c r="H253" s="20"/>
      <c r="I253" s="36"/>
      <c r="J253" s="20"/>
      <c r="K253" s="87" t="s">
        <v>766</v>
      </c>
      <c r="L253" s="3"/>
      <c r="M253" s="8"/>
      <c r="N253" s="20"/>
      <c r="O253" s="36"/>
      <c r="P253" s="20"/>
      <c r="Q253" s="87" t="s">
        <v>766</v>
      </c>
      <c r="R253" s="3"/>
    </row>
    <row r="254" spans="1:18">
      <c r="A254" s="14"/>
      <c r="B254" s="9"/>
      <c r="C254" s="10" t="str">
        <f t="shared" si="39"/>
        <v/>
      </c>
      <c r="D254" s="9"/>
      <c r="E254" s="9" t="str">
        <f t="shared" si="40"/>
        <v>RATCHATA DADUANG</v>
      </c>
      <c r="F254" s="9"/>
      <c r="G254" s="3"/>
      <c r="H254" s="20"/>
      <c r="I254" s="21"/>
      <c r="J254" s="20"/>
      <c r="K254" s="87" t="s">
        <v>319</v>
      </c>
      <c r="L254" s="3"/>
      <c r="M254" s="8"/>
      <c r="N254" s="20"/>
      <c r="O254" s="21"/>
      <c r="P254" s="20"/>
      <c r="Q254" s="87" t="s">
        <v>319</v>
      </c>
      <c r="R254" s="3"/>
    </row>
    <row r="255" spans="1:18">
      <c r="A255" s="14"/>
      <c r="B255" s="9"/>
      <c r="C255" s="10" t="str">
        <f t="shared" si="39"/>
        <v/>
      </c>
      <c r="D255" s="9"/>
      <c r="E255" s="9" t="str">
        <f t="shared" si="40"/>
        <v>SARUT PONGSRI</v>
      </c>
      <c r="F255" s="9"/>
      <c r="G255" s="3"/>
      <c r="H255" s="20"/>
      <c r="I255" s="21"/>
      <c r="J255" s="20"/>
      <c r="K255" s="87" t="s">
        <v>321</v>
      </c>
      <c r="L255" s="3"/>
      <c r="M255" s="8"/>
      <c r="N255" s="20"/>
      <c r="O255" s="21"/>
      <c r="P255" s="20"/>
      <c r="Q255" s="87" t="s">
        <v>321</v>
      </c>
      <c r="R255" s="3"/>
    </row>
    <row r="256" spans="1:18">
      <c r="A256" s="14"/>
      <c r="B256" s="9"/>
      <c r="C256" s="10" t="str">
        <f t="shared" si="39"/>
        <v/>
      </c>
      <c r="D256" s="9"/>
      <c r="E256" s="9" t="str">
        <f t="shared" si="40"/>
        <v>TANADON SRISOMSONG</v>
      </c>
      <c r="F256" s="9"/>
      <c r="G256" s="3"/>
      <c r="H256" s="20"/>
      <c r="I256" s="36"/>
      <c r="J256" s="20"/>
      <c r="K256" s="87" t="s">
        <v>323</v>
      </c>
      <c r="L256" s="3"/>
      <c r="M256" s="8"/>
      <c r="N256" s="20"/>
      <c r="O256" s="36"/>
      <c r="P256" s="20"/>
      <c r="Q256" s="87" t="s">
        <v>323</v>
      </c>
      <c r="R256" s="3"/>
    </row>
    <row r="257" spans="1:18">
      <c r="A257" s="14"/>
      <c r="B257" s="9"/>
      <c r="C257" s="10" t="str">
        <f t="shared" si="39"/>
        <v/>
      </c>
      <c r="D257" s="9"/>
      <c r="E257" s="9" t="str">
        <f t="shared" si="40"/>
        <v>TANAKRIT CHANRUNGRUEANG</v>
      </c>
      <c r="F257" s="9"/>
      <c r="G257" s="3"/>
      <c r="H257" s="20"/>
      <c r="I257" s="36"/>
      <c r="J257" s="20"/>
      <c r="K257" s="87" t="s">
        <v>693</v>
      </c>
      <c r="L257" s="3"/>
      <c r="M257" s="8"/>
      <c r="N257" s="20"/>
      <c r="O257" s="36"/>
      <c r="P257" s="20"/>
      <c r="Q257" s="87" t="s">
        <v>693</v>
      </c>
      <c r="R257" s="3"/>
    </row>
    <row r="258" spans="1:18">
      <c r="A258" s="14"/>
      <c r="B258" s="9"/>
      <c r="C258" s="10" t="str">
        <f t="shared" si="39"/>
        <v/>
      </c>
      <c r="D258" s="9"/>
      <c r="E258" s="9" t="str">
        <f t="shared" si="40"/>
        <v>TANIN SENASUTTIPUN</v>
      </c>
      <c r="F258" s="9"/>
      <c r="G258" s="3"/>
      <c r="H258" s="20"/>
      <c r="I258" s="21"/>
      <c r="J258" s="20"/>
      <c r="K258" s="87" t="s">
        <v>734</v>
      </c>
      <c r="L258" s="3"/>
      <c r="M258" s="8"/>
      <c r="N258" s="20"/>
      <c r="O258" s="21"/>
      <c r="P258" s="20"/>
      <c r="Q258" s="87" t="s">
        <v>734</v>
      </c>
      <c r="R258" s="3"/>
    </row>
    <row r="259" spans="1:18">
      <c r="A259" s="14"/>
      <c r="B259" s="9"/>
      <c r="C259" s="10" t="str">
        <f t="shared" si="39"/>
        <v/>
      </c>
      <c r="D259" s="9"/>
      <c r="E259" s="9" t="str">
        <f t="shared" si="40"/>
        <v>TAWATCHAI RATTANASRI</v>
      </c>
      <c r="F259" s="9"/>
      <c r="G259" s="3"/>
      <c r="H259" s="20"/>
      <c r="I259" s="21"/>
      <c r="J259" s="20"/>
      <c r="K259" s="87" t="s">
        <v>767</v>
      </c>
      <c r="L259" s="3"/>
      <c r="M259" s="8"/>
      <c r="N259" s="20"/>
      <c r="O259" s="21"/>
      <c r="P259" s="20"/>
      <c r="Q259" s="87" t="s">
        <v>767</v>
      </c>
      <c r="R259" s="3"/>
    </row>
    <row r="260" spans="1:18">
      <c r="A260" s="14"/>
      <c r="B260" s="9"/>
      <c r="C260" s="10" t="str">
        <f t="shared" si="39"/>
        <v/>
      </c>
      <c r="D260" s="9"/>
      <c r="E260" s="9" t="str">
        <f t="shared" si="40"/>
        <v>THANAPHA YANA</v>
      </c>
      <c r="F260" s="9"/>
      <c r="G260" s="3"/>
      <c r="H260" s="20"/>
      <c r="I260" s="21"/>
      <c r="J260" s="20"/>
      <c r="K260" s="87" t="s">
        <v>326</v>
      </c>
      <c r="L260" s="3"/>
      <c r="M260" s="8"/>
      <c r="N260" s="20"/>
      <c r="O260" s="21"/>
      <c r="P260" s="20"/>
      <c r="Q260" s="87" t="s">
        <v>326</v>
      </c>
      <c r="R260" s="3"/>
    </row>
    <row r="261" spans="1:18">
      <c r="A261" s="14"/>
      <c r="B261" s="9"/>
      <c r="C261" s="10" t="str">
        <f t="shared" si="39"/>
        <v/>
      </c>
      <c r="D261" s="9"/>
      <c r="E261" s="9" t="str">
        <f t="shared" si="40"/>
        <v>THARADON KHONGTHUENG</v>
      </c>
      <c r="F261" s="9"/>
      <c r="G261" s="3"/>
      <c r="H261" s="20"/>
      <c r="I261" s="21"/>
      <c r="J261" s="20"/>
      <c r="K261" s="87" t="s">
        <v>327</v>
      </c>
      <c r="L261" s="3"/>
      <c r="M261" s="8"/>
      <c r="N261" s="20"/>
      <c r="O261" s="21"/>
      <c r="P261" s="20"/>
      <c r="Q261" s="87" t="s">
        <v>327</v>
      </c>
      <c r="R261" s="3"/>
    </row>
    <row r="262" spans="1:18">
      <c r="A262" s="14"/>
      <c r="B262" s="9"/>
      <c r="C262" s="10" t="str">
        <f t="shared" si="39"/>
        <v/>
      </c>
      <c r="D262" s="9"/>
      <c r="E262" s="9" t="str">
        <f t="shared" si="40"/>
        <v>PISIT KITTIPUTTAPIM</v>
      </c>
      <c r="F262" s="9"/>
      <c r="G262" s="3"/>
      <c r="H262" s="20"/>
      <c r="I262" s="21"/>
      <c r="J262" s="20"/>
      <c r="K262" s="87" t="s">
        <v>691</v>
      </c>
      <c r="L262" s="3"/>
      <c r="M262" s="8"/>
      <c r="N262" s="20"/>
      <c r="O262" s="21"/>
      <c r="P262" s="20"/>
      <c r="Q262" s="87" t="s">
        <v>691</v>
      </c>
      <c r="R262" s="3"/>
    </row>
    <row r="263" spans="1:18">
      <c r="A263" s="14"/>
      <c r="B263" s="9"/>
      <c r="C263" s="10" t="str">
        <f t="shared" si="39"/>
        <v/>
      </c>
      <c r="D263" s="9"/>
      <c r="E263" s="9" t="str">
        <f t="shared" si="40"/>
        <v>NAVARUJ PANYASING</v>
      </c>
      <c r="F263" s="9"/>
      <c r="G263" s="3"/>
      <c r="H263" s="20"/>
      <c r="I263" s="21"/>
      <c r="J263" s="20"/>
      <c r="K263" s="87" t="s">
        <v>690</v>
      </c>
      <c r="L263" s="3"/>
      <c r="M263" s="8"/>
      <c r="N263" s="20"/>
      <c r="O263" s="21"/>
      <c r="P263" s="20"/>
      <c r="Q263" s="87" t="s">
        <v>690</v>
      </c>
      <c r="R263" s="3"/>
    </row>
    <row r="264" spans="1:18">
      <c r="A264" s="14"/>
      <c r="B264" s="9"/>
      <c r="C264" s="10" t="str">
        <f t="shared" si="39"/>
        <v/>
      </c>
      <c r="D264" s="9"/>
      <c r="E264" s="9" t="str">
        <f t="shared" si="40"/>
        <v>MONNATEE KULPANUN</v>
      </c>
      <c r="F264" s="9"/>
      <c r="G264" s="3"/>
      <c r="H264" s="20"/>
      <c r="I264" s="21"/>
      <c r="J264" s="20"/>
      <c r="K264" s="87" t="s">
        <v>328</v>
      </c>
      <c r="L264" s="3"/>
      <c r="M264" s="8"/>
      <c r="N264" s="20"/>
      <c r="O264" s="21"/>
      <c r="P264" s="20"/>
      <c r="Q264" s="87" t="s">
        <v>328</v>
      </c>
      <c r="R264" s="3"/>
    </row>
    <row r="265" spans="1:18">
      <c r="A265" s="14"/>
      <c r="B265" s="9"/>
      <c r="C265" s="10" t="str">
        <f t="shared" si="39"/>
        <v/>
      </c>
      <c r="D265" s="9"/>
      <c r="E265" s="9" t="str">
        <f t="shared" si="40"/>
        <v>WORAPON PONCHAICHAROENKIT</v>
      </c>
      <c r="F265" s="9"/>
      <c r="G265" s="3"/>
      <c r="H265" s="20"/>
      <c r="I265" s="21"/>
      <c r="J265" s="20"/>
      <c r="K265" s="87" t="s">
        <v>325</v>
      </c>
      <c r="L265" s="3"/>
      <c r="M265" s="8"/>
      <c r="N265" s="20"/>
      <c r="O265" s="21"/>
      <c r="P265" s="20"/>
      <c r="Q265" s="87" t="s">
        <v>325</v>
      </c>
      <c r="R265" s="3"/>
    </row>
    <row r="266" spans="1:18">
      <c r="A266" s="14"/>
      <c r="B266" s="9"/>
      <c r="C266" s="10" t="str">
        <f t="shared" si="39"/>
        <v/>
      </c>
      <c r="D266" s="9"/>
      <c r="E266" s="9" t="str">
        <f t="shared" si="40"/>
        <v>CHANIDAPA SRISAWANG</v>
      </c>
      <c r="F266" s="9"/>
      <c r="G266" s="3"/>
      <c r="H266" s="20"/>
      <c r="I266" s="21"/>
      <c r="J266" s="20"/>
      <c r="K266" s="87" t="s">
        <v>687</v>
      </c>
      <c r="L266" s="3"/>
      <c r="M266" s="8"/>
      <c r="N266" s="20"/>
      <c r="O266" s="21"/>
      <c r="P266" s="20"/>
      <c r="Q266" s="87" t="s">
        <v>687</v>
      </c>
      <c r="R266" s="3"/>
    </row>
    <row r="267" spans="1:18">
      <c r="A267" s="14"/>
      <c r="B267" s="9"/>
      <c r="C267" s="10" t="str">
        <f t="shared" si="39"/>
        <v/>
      </c>
      <c r="D267" s="9"/>
      <c r="E267" s="9" t="str">
        <f t="shared" si="40"/>
        <v>SUTHIROJ JAYASANANON</v>
      </c>
      <c r="F267" s="9"/>
      <c r="G267" s="3"/>
      <c r="H267" s="20"/>
      <c r="I267" s="21"/>
      <c r="J267" s="20"/>
      <c r="K267" s="87" t="s">
        <v>324</v>
      </c>
      <c r="L267" s="3"/>
      <c r="M267" s="8"/>
      <c r="N267" s="20"/>
      <c r="O267" s="21"/>
      <c r="P267" s="20"/>
      <c r="Q267" s="87" t="s">
        <v>324</v>
      </c>
      <c r="R267" s="3"/>
    </row>
    <row r="268" spans="1:18">
      <c r="A268" s="14"/>
      <c r="B268" s="9"/>
      <c r="C268" s="10" t="str">
        <f t="shared" si="39"/>
        <v/>
      </c>
      <c r="D268" s="9"/>
      <c r="E268" s="9" t="str">
        <f t="shared" si="40"/>
        <v>JADSADAPONG CHUNTHP</v>
      </c>
      <c r="F268" s="9"/>
      <c r="G268" s="3"/>
      <c r="H268" s="20"/>
      <c r="I268" s="21"/>
      <c r="J268" s="20"/>
      <c r="K268" s="92" t="s">
        <v>736</v>
      </c>
      <c r="L268" s="3"/>
      <c r="M268" s="8"/>
      <c r="N268" s="20"/>
      <c r="O268" s="21"/>
      <c r="P268" s="20"/>
      <c r="Q268" s="92" t="s">
        <v>736</v>
      </c>
      <c r="R268" s="3"/>
    </row>
    <row r="269" spans="1:18">
      <c r="A269" s="14"/>
      <c r="B269" s="9"/>
      <c r="C269" s="10"/>
      <c r="D269" s="9"/>
      <c r="E269" s="9" t="str">
        <f t="shared" si="40"/>
        <v>PASIN NAKIN</v>
      </c>
      <c r="F269" s="9"/>
      <c r="G269" s="3"/>
      <c r="H269" s="20"/>
      <c r="I269" s="21"/>
      <c r="J269" s="20"/>
      <c r="K269" s="89" t="s">
        <v>626</v>
      </c>
      <c r="L269" s="3"/>
      <c r="M269" s="8"/>
      <c r="N269" s="20"/>
      <c r="O269" s="21"/>
      <c r="P269" s="20"/>
      <c r="Q269" s="89" t="s">
        <v>626</v>
      </c>
      <c r="R269" s="3"/>
    </row>
    <row r="270" spans="1:18">
      <c r="A270" s="14"/>
      <c r="B270" s="9"/>
      <c r="C270" s="10"/>
      <c r="D270" s="9"/>
      <c r="E270" s="9" t="str">
        <f t="shared" si="40"/>
        <v>WORAPOT PONCHAICHAROENKIT</v>
      </c>
      <c r="F270" s="9"/>
      <c r="G270" s="3"/>
      <c r="H270" s="20"/>
      <c r="I270" s="21"/>
      <c r="J270" s="20"/>
      <c r="K270" s="89" t="s">
        <v>631</v>
      </c>
      <c r="L270" s="3"/>
      <c r="M270" s="8"/>
      <c r="N270" s="20"/>
      <c r="O270" s="21"/>
      <c r="P270" s="20"/>
      <c r="Q270" s="89" t="s">
        <v>631</v>
      </c>
      <c r="R270" s="3"/>
    </row>
    <row r="271" spans="1:18">
      <c r="A271" s="14"/>
      <c r="B271" s="9"/>
      <c r="C271" s="10"/>
      <c r="D271" s="9"/>
      <c r="E271" s="9"/>
      <c r="F271" s="9"/>
      <c r="G271" s="3"/>
      <c r="H271" s="20"/>
      <c r="I271" s="21"/>
      <c r="J271" s="20"/>
      <c r="K271" s="87"/>
      <c r="L271" s="3"/>
      <c r="M271" s="8"/>
      <c r="N271" s="8"/>
      <c r="O271" s="21"/>
      <c r="P271" s="3"/>
      <c r="Q271" s="3"/>
      <c r="R271" s="3"/>
    </row>
    <row r="272" spans="1:18">
      <c r="A272" s="14"/>
      <c r="B272" s="11"/>
      <c r="C272" s="12" t="str">
        <f>UPPER(I272)</f>
        <v/>
      </c>
      <c r="D272" s="11"/>
      <c r="E272" s="11" t="str">
        <f>UPPER(K272)</f>
        <v/>
      </c>
      <c r="F272" s="11"/>
      <c r="G272" s="3"/>
      <c r="H272" s="20"/>
      <c r="I272" s="21"/>
      <c r="J272" s="20"/>
      <c r="K272" s="13"/>
      <c r="L272" s="3"/>
      <c r="M272" s="3"/>
      <c r="N272" s="3"/>
      <c r="O272" s="21"/>
      <c r="P272" s="3"/>
      <c r="Q272" s="3"/>
      <c r="R272" s="3"/>
    </row>
    <row r="273" spans="1:18">
      <c r="A273" s="14"/>
      <c r="B273" s="6"/>
      <c r="C273" s="6"/>
      <c r="D273" s="6"/>
      <c r="E273" s="6"/>
      <c r="F273" s="6"/>
      <c r="G273" s="3"/>
      <c r="H273" s="27"/>
      <c r="I273" s="21"/>
      <c r="J273" s="27"/>
      <c r="K273" s="13"/>
      <c r="L273" s="7"/>
      <c r="M273" s="8"/>
      <c r="N273" s="8"/>
      <c r="O273" s="21"/>
      <c r="P273" s="3"/>
      <c r="Q273" s="3"/>
      <c r="R273" s="3"/>
    </row>
    <row r="274" spans="1:18">
      <c r="A274" s="14"/>
      <c r="B274" s="150" t="str">
        <f>UPPER(H274)</f>
        <v>LIGHTING / VFX / COMPOSITING</v>
      </c>
      <c r="C274" s="141"/>
      <c r="D274" s="141"/>
      <c r="E274" s="141"/>
      <c r="F274" s="141"/>
      <c r="G274" s="28"/>
      <c r="H274" s="148" t="s">
        <v>330</v>
      </c>
      <c r="I274" s="141"/>
      <c r="J274" s="141"/>
      <c r="K274" s="141"/>
      <c r="L274" s="141"/>
      <c r="M274" s="29"/>
      <c r="N274" s="149" t="s">
        <v>845</v>
      </c>
      <c r="O274" s="141"/>
      <c r="P274" s="141"/>
      <c r="Q274" s="141"/>
      <c r="R274" s="141"/>
    </row>
    <row r="275" spans="1:18">
      <c r="A275" s="14"/>
      <c r="B275" s="9"/>
      <c r="C275" s="10" t="str">
        <f t="shared" ref="C275:C284" si="41">UPPER(I275)</f>
        <v>VFX SUPERVISOR</v>
      </c>
      <c r="D275" s="9"/>
      <c r="E275" s="9" t="str">
        <f t="shared" ref="E275:E284" si="42">UPPER(K275)</f>
        <v>HYEONGKI KIM</v>
      </c>
      <c r="F275" s="9"/>
      <c r="G275" s="3"/>
      <c r="H275" s="20"/>
      <c r="I275" s="21" t="s">
        <v>331</v>
      </c>
      <c r="J275" s="20"/>
      <c r="K275" s="13" t="s">
        <v>332</v>
      </c>
      <c r="L275" s="3"/>
      <c r="M275" s="8"/>
      <c r="N275" s="8"/>
      <c r="O275" s="8" t="s">
        <v>846</v>
      </c>
      <c r="P275" s="3"/>
      <c r="Q275" s="3" t="s">
        <v>847</v>
      </c>
      <c r="R275" s="3"/>
    </row>
    <row r="276" spans="1:18">
      <c r="A276" s="14"/>
      <c r="B276" s="9"/>
      <c r="C276" s="10" t="str">
        <f t="shared" si="41"/>
        <v/>
      </c>
      <c r="D276" s="9"/>
      <c r="E276" s="9" t="str">
        <f t="shared" si="42"/>
        <v/>
      </c>
      <c r="F276" s="9"/>
      <c r="G276" s="3"/>
      <c r="H276" s="20"/>
      <c r="I276" s="21"/>
      <c r="J276" s="20"/>
      <c r="K276" s="13"/>
      <c r="L276" s="3"/>
      <c r="M276" s="8"/>
      <c r="N276" s="8"/>
      <c r="O276" s="8"/>
      <c r="P276" s="3"/>
      <c r="Q276" s="3"/>
      <c r="R276" s="3"/>
    </row>
    <row r="277" spans="1:18">
      <c r="A277" s="14"/>
      <c r="B277" s="9"/>
      <c r="C277" s="10" t="str">
        <f t="shared" si="41"/>
        <v>LIGHTING SUPERVISOR</v>
      </c>
      <c r="D277" s="9"/>
      <c r="E277" s="9" t="str">
        <f t="shared" si="42"/>
        <v>TAE-IN LEE</v>
      </c>
      <c r="F277" s="9"/>
      <c r="G277" s="3"/>
      <c r="H277" s="20"/>
      <c r="I277" s="21" t="s">
        <v>333</v>
      </c>
      <c r="J277" s="20"/>
      <c r="K277" s="13" t="s">
        <v>334</v>
      </c>
      <c r="L277" s="3"/>
      <c r="M277" s="8"/>
      <c r="N277" s="8"/>
      <c r="O277" s="8" t="s">
        <v>848</v>
      </c>
      <c r="P277" s="3"/>
      <c r="Q277" s="3" t="s">
        <v>849</v>
      </c>
      <c r="R277" s="3"/>
    </row>
    <row r="278" spans="1:18">
      <c r="A278" s="14"/>
      <c r="B278" s="9"/>
      <c r="C278" s="10" t="str">
        <f t="shared" si="41"/>
        <v>LIGHTING ARTIST</v>
      </c>
      <c r="D278" s="9"/>
      <c r="E278" s="9" t="str">
        <f t="shared" si="42"/>
        <v>BYEONGHYEON HWANG</v>
      </c>
      <c r="F278" s="9"/>
      <c r="G278" s="3"/>
      <c r="H278" s="20"/>
      <c r="I278" s="21" t="s">
        <v>335</v>
      </c>
      <c r="J278" s="20"/>
      <c r="K278" s="13" t="s">
        <v>336</v>
      </c>
      <c r="L278" s="3"/>
      <c r="M278" s="8"/>
      <c r="N278" s="8"/>
      <c r="O278" s="8" t="s">
        <v>850</v>
      </c>
      <c r="P278" s="3"/>
      <c r="Q278" s="3" t="s">
        <v>851</v>
      </c>
      <c r="R278" s="3"/>
    </row>
    <row r="279" spans="1:18">
      <c r="A279" s="14"/>
      <c r="B279" s="9"/>
      <c r="C279" s="10" t="str">
        <f t="shared" si="41"/>
        <v/>
      </c>
      <c r="D279" s="9"/>
      <c r="E279" s="9" t="str">
        <f t="shared" si="42"/>
        <v/>
      </c>
      <c r="F279" s="9"/>
      <c r="G279" s="3"/>
      <c r="H279" s="20"/>
      <c r="I279" s="21"/>
      <c r="J279" s="20"/>
      <c r="K279" s="13"/>
      <c r="L279" s="3"/>
      <c r="M279" s="8"/>
      <c r="N279" s="8"/>
      <c r="O279" s="8"/>
      <c r="P279" s="3"/>
      <c r="Q279" s="3"/>
      <c r="R279" s="3"/>
    </row>
    <row r="280" spans="1:18">
      <c r="A280" s="14"/>
      <c r="B280" s="9"/>
      <c r="C280" s="10" t="str">
        <f t="shared" si="41"/>
        <v>FX SUPERVISOR</v>
      </c>
      <c r="D280" s="9"/>
      <c r="E280" s="9" t="str">
        <f t="shared" si="42"/>
        <v>SEWANG KIM</v>
      </c>
      <c r="F280" s="9"/>
      <c r="G280" s="3"/>
      <c r="H280" s="20"/>
      <c r="I280" s="21" t="s">
        <v>337</v>
      </c>
      <c r="J280" s="20"/>
      <c r="K280" s="13" t="s">
        <v>338</v>
      </c>
      <c r="L280" s="3"/>
      <c r="M280" s="8"/>
      <c r="N280" s="8"/>
      <c r="O280" s="8" t="s">
        <v>852</v>
      </c>
      <c r="P280" s="3"/>
      <c r="Q280" s="3" t="s">
        <v>853</v>
      </c>
      <c r="R280" s="3"/>
    </row>
    <row r="281" spans="1:18">
      <c r="A281" s="14"/>
      <c r="B281" s="9"/>
      <c r="C281" s="10" t="str">
        <f t="shared" si="41"/>
        <v>FX ARTIST</v>
      </c>
      <c r="D281" s="9"/>
      <c r="E281" s="9" t="str">
        <f t="shared" si="42"/>
        <v>SAEBOM OH</v>
      </c>
      <c r="F281" s="9"/>
      <c r="G281" s="3"/>
      <c r="H281" s="20"/>
      <c r="I281" s="21" t="s">
        <v>339</v>
      </c>
      <c r="J281" s="20"/>
      <c r="K281" s="13" t="s">
        <v>340</v>
      </c>
      <c r="L281" s="3"/>
      <c r="M281" s="8"/>
      <c r="N281" s="8"/>
      <c r="O281" s="8" t="s">
        <v>854</v>
      </c>
      <c r="P281" s="3"/>
      <c r="Q281" s="137" t="s">
        <v>855</v>
      </c>
      <c r="R281" s="3"/>
    </row>
    <row r="282" spans="1:18">
      <c r="A282" s="14"/>
      <c r="B282" s="9"/>
      <c r="C282" s="10" t="str">
        <f t="shared" si="41"/>
        <v/>
      </c>
      <c r="D282" s="9"/>
      <c r="E282" s="9" t="str">
        <f t="shared" si="42"/>
        <v/>
      </c>
      <c r="F282" s="9"/>
      <c r="G282" s="3"/>
      <c r="H282" s="20"/>
      <c r="I282" s="21"/>
      <c r="J282" s="20"/>
      <c r="K282" s="13"/>
      <c r="L282" s="3"/>
      <c r="M282" s="8"/>
      <c r="N282" s="8"/>
      <c r="O282" s="8"/>
      <c r="P282" s="3"/>
      <c r="Q282" s="3"/>
      <c r="R282" s="3"/>
    </row>
    <row r="283" spans="1:18">
      <c r="A283" s="14"/>
      <c r="B283" s="9"/>
      <c r="C283" s="10" t="str">
        <f t="shared" si="41"/>
        <v>COMPOSITING SUPERVISOR</v>
      </c>
      <c r="D283" s="9"/>
      <c r="E283" s="40" t="str">
        <f t="shared" si="42"/>
        <v>YOONHEE JUNG</v>
      </c>
      <c r="F283" s="9"/>
      <c r="G283" s="3"/>
      <c r="H283" s="20"/>
      <c r="I283" s="21" t="s">
        <v>341</v>
      </c>
      <c r="J283" s="20"/>
      <c r="K283" s="13" t="s">
        <v>342</v>
      </c>
      <c r="L283" s="3"/>
      <c r="M283" s="3"/>
      <c r="N283" s="3"/>
      <c r="O283" s="8" t="s">
        <v>856</v>
      </c>
      <c r="P283" s="3"/>
      <c r="Q283" s="3" t="s">
        <v>857</v>
      </c>
      <c r="R283" s="3"/>
    </row>
    <row r="284" spans="1:18">
      <c r="A284" s="14"/>
      <c r="B284" s="9"/>
      <c r="C284" s="10" t="str">
        <f t="shared" si="41"/>
        <v>COMPOSITING ARTIST</v>
      </c>
      <c r="D284" s="9"/>
      <c r="E284" s="9" t="str">
        <f t="shared" si="42"/>
        <v>NAMMIN KIM</v>
      </c>
      <c r="F284" s="9"/>
      <c r="G284" s="3"/>
      <c r="H284" s="20"/>
      <c r="I284" s="21" t="s">
        <v>343</v>
      </c>
      <c r="J284" s="20"/>
      <c r="K284" s="13" t="s">
        <v>344</v>
      </c>
      <c r="L284" s="3"/>
      <c r="M284" s="8"/>
      <c r="N284" s="8"/>
      <c r="O284" s="8" t="s">
        <v>858</v>
      </c>
      <c r="P284" s="3"/>
      <c r="Q284" s="3" t="s">
        <v>859</v>
      </c>
      <c r="R284" s="3"/>
    </row>
    <row r="285" spans="1:18">
      <c r="A285" s="14"/>
      <c r="B285" s="9"/>
      <c r="C285" s="10"/>
      <c r="D285" s="9"/>
      <c r="E285" s="9"/>
      <c r="F285" s="9"/>
      <c r="G285" s="3"/>
      <c r="H285" s="20"/>
      <c r="I285" s="21"/>
      <c r="J285" s="20"/>
      <c r="K285" s="13"/>
      <c r="L285" s="3"/>
      <c r="M285" s="8"/>
      <c r="N285" s="8"/>
      <c r="O285" s="21"/>
      <c r="P285" s="3"/>
      <c r="Q285" s="3"/>
      <c r="R285" s="3"/>
    </row>
    <row r="286" spans="1:18">
      <c r="A286" s="14"/>
      <c r="B286" s="26"/>
      <c r="C286" s="26"/>
      <c r="D286" s="26"/>
      <c r="E286" s="26"/>
      <c r="F286" s="26"/>
      <c r="G286" s="3"/>
      <c r="H286" s="15"/>
      <c r="I286" s="15"/>
      <c r="J286" s="15"/>
      <c r="K286" s="5"/>
      <c r="L286" s="15"/>
      <c r="M286" s="8"/>
      <c r="N286" s="8"/>
      <c r="O286" s="21"/>
      <c r="P286" s="3"/>
      <c r="Q286" s="3"/>
      <c r="R286" s="3"/>
    </row>
    <row r="287" spans="1:18">
      <c r="A287" s="14"/>
      <c r="B287" s="6"/>
      <c r="C287" s="6"/>
      <c r="D287" s="6"/>
      <c r="E287" s="6"/>
      <c r="F287" s="6"/>
      <c r="G287" s="3"/>
      <c r="H287" s="15"/>
      <c r="I287" s="15"/>
      <c r="J287" s="15"/>
      <c r="K287" s="5"/>
      <c r="L287" s="15"/>
      <c r="M287" s="8"/>
      <c r="N287" s="8"/>
      <c r="O287" s="21"/>
      <c r="P287" s="3"/>
      <c r="Q287" s="3"/>
      <c r="R287" s="3"/>
    </row>
    <row r="288" spans="1:18">
      <c r="A288" s="14"/>
      <c r="B288" s="150" t="str">
        <f t="shared" ref="B288:B289" si="43">UPPER(H288)</f>
        <v>LIGHTING / VFX / COMPOSITING</v>
      </c>
      <c r="C288" s="141"/>
      <c r="D288" s="141"/>
      <c r="E288" s="141"/>
      <c r="F288" s="141"/>
      <c r="G288" s="28"/>
      <c r="H288" s="148" t="s">
        <v>330</v>
      </c>
      <c r="I288" s="141"/>
      <c r="J288" s="141"/>
      <c r="K288" s="141"/>
      <c r="L288" s="141"/>
      <c r="M288" s="8"/>
      <c r="N288" s="149" t="s">
        <v>845</v>
      </c>
      <c r="O288" s="141"/>
      <c r="P288" s="141"/>
      <c r="Q288" s="141"/>
      <c r="R288" s="141"/>
    </row>
    <row r="289" spans="1:18">
      <c r="A289" s="14"/>
      <c r="B289" s="146" t="str">
        <f t="shared" si="43"/>
        <v>THE MONK STUDIOS</v>
      </c>
      <c r="C289" s="141"/>
      <c r="D289" s="141"/>
      <c r="E289" s="141"/>
      <c r="F289" s="141"/>
      <c r="G289" s="3"/>
      <c r="H289" s="147" t="s">
        <v>202</v>
      </c>
      <c r="I289" s="141"/>
      <c r="J289" s="141"/>
      <c r="K289" s="141"/>
      <c r="L289" s="141"/>
      <c r="M289" s="8"/>
      <c r="N289" s="147" t="s">
        <v>202</v>
      </c>
      <c r="O289" s="141"/>
      <c r="P289" s="141"/>
      <c r="Q289" s="141"/>
      <c r="R289" s="141"/>
    </row>
    <row r="290" spans="1:18">
      <c r="A290" s="14"/>
      <c r="B290" s="9"/>
      <c r="C290" s="10"/>
      <c r="D290" s="9"/>
      <c r="E290" s="9"/>
      <c r="F290" s="9"/>
      <c r="G290" s="3"/>
      <c r="H290" s="20"/>
      <c r="I290" s="90"/>
      <c r="J290" s="20"/>
      <c r="K290" s="89"/>
      <c r="L290" s="3"/>
      <c r="M290" s="8"/>
      <c r="N290" s="20"/>
      <c r="O290" s="90"/>
      <c r="P290" s="20"/>
      <c r="Q290" s="89"/>
      <c r="R290" s="3"/>
    </row>
    <row r="291" spans="1:18">
      <c r="A291" s="14"/>
      <c r="B291" s="9"/>
      <c r="C291" s="10" t="str">
        <f>UPPER(I291)</f>
        <v>CFX SUPERVISOR</v>
      </c>
      <c r="D291" s="9"/>
      <c r="E291" s="41" t="str">
        <f>UPPER(K291)</f>
        <v>THANAWAT PHUKUMCHAI</v>
      </c>
      <c r="F291" s="9"/>
      <c r="G291" s="3"/>
      <c r="H291" s="20"/>
      <c r="I291" s="90" t="s">
        <v>345</v>
      </c>
      <c r="J291" s="20"/>
      <c r="K291" s="89" t="s">
        <v>348</v>
      </c>
      <c r="L291" s="3"/>
      <c r="M291" s="8"/>
      <c r="N291" s="20"/>
      <c r="O291" s="90" t="s">
        <v>345</v>
      </c>
      <c r="P291" s="20"/>
      <c r="Q291" s="89" t="s">
        <v>348</v>
      </c>
      <c r="R291" s="3"/>
    </row>
    <row r="292" spans="1:18">
      <c r="A292" s="14"/>
      <c r="B292" s="9"/>
      <c r="C292" s="10"/>
      <c r="D292" s="9"/>
      <c r="E292" s="9"/>
      <c r="F292" s="9"/>
      <c r="G292" s="3"/>
      <c r="H292" s="20"/>
      <c r="I292" s="90"/>
      <c r="J292" s="20"/>
      <c r="K292" s="89"/>
      <c r="L292" s="3"/>
      <c r="M292" s="8"/>
      <c r="N292" s="20"/>
      <c r="O292" s="90"/>
      <c r="P292" s="20"/>
      <c r="Q292" s="89"/>
      <c r="R292" s="3"/>
    </row>
    <row r="293" spans="1:18">
      <c r="A293" s="14"/>
      <c r="B293" s="9"/>
      <c r="C293" s="10" t="str">
        <f>UPPER(I293)</f>
        <v>CFX ARTIST</v>
      </c>
      <c r="D293" s="9"/>
      <c r="E293" s="9" t="str">
        <f t="shared" ref="E293:E300" si="44">UPPER(K293)</f>
        <v>CHERMAR WITOONWUTTIKUL</v>
      </c>
      <c r="F293" s="9"/>
      <c r="G293" s="3"/>
      <c r="H293" s="20"/>
      <c r="I293" s="90" t="s">
        <v>349</v>
      </c>
      <c r="J293" s="20"/>
      <c r="K293" s="89" t="s">
        <v>350</v>
      </c>
      <c r="L293" s="3"/>
      <c r="M293" s="8"/>
      <c r="N293" s="20"/>
      <c r="O293" s="90" t="s">
        <v>349</v>
      </c>
      <c r="P293" s="20"/>
      <c r="Q293" s="89" t="s">
        <v>350</v>
      </c>
      <c r="R293" s="3"/>
    </row>
    <row r="294" spans="1:18">
      <c r="A294" s="14"/>
      <c r="B294" s="9"/>
      <c r="C294" s="10"/>
      <c r="D294" s="9"/>
      <c r="E294" s="9" t="str">
        <f t="shared" si="44"/>
        <v>KOMSON SEECHAN</v>
      </c>
      <c r="F294" s="9"/>
      <c r="G294" s="3"/>
      <c r="H294" s="20"/>
      <c r="I294" s="90"/>
      <c r="J294" s="20"/>
      <c r="K294" s="89" t="s">
        <v>351</v>
      </c>
      <c r="L294" s="3"/>
      <c r="M294" s="8"/>
      <c r="N294" s="20"/>
      <c r="O294" s="90"/>
      <c r="P294" s="20"/>
      <c r="Q294" s="89" t="s">
        <v>351</v>
      </c>
      <c r="R294" s="3"/>
    </row>
    <row r="295" spans="1:18">
      <c r="A295" s="14"/>
      <c r="B295" s="9"/>
      <c r="C295" s="10" t="str">
        <f t="shared" ref="C295:C300" si="45">UPPER(I295)</f>
        <v/>
      </c>
      <c r="D295" s="9"/>
      <c r="E295" s="9" t="str">
        <f t="shared" si="44"/>
        <v>PREECHAPONG NOPRUMPA</v>
      </c>
      <c r="F295" s="9"/>
      <c r="G295" s="3"/>
      <c r="H295" s="20"/>
      <c r="I295" s="90"/>
      <c r="J295" s="20"/>
      <c r="K295" s="89" t="s">
        <v>352</v>
      </c>
      <c r="L295" s="3"/>
      <c r="M295" s="8"/>
      <c r="N295" s="20"/>
      <c r="O295" s="90"/>
      <c r="P295" s="20"/>
      <c r="Q295" s="89" t="s">
        <v>352</v>
      </c>
      <c r="R295" s="3"/>
    </row>
    <row r="296" spans="1:18">
      <c r="A296" s="14"/>
      <c r="B296" s="9"/>
      <c r="C296" s="10" t="str">
        <f t="shared" si="45"/>
        <v/>
      </c>
      <c r="D296" s="9"/>
      <c r="E296" s="9" t="str">
        <f t="shared" si="44"/>
        <v>SUPPACHAI WONGSALINGKARN</v>
      </c>
      <c r="F296" s="9"/>
      <c r="G296" s="3"/>
      <c r="H296" s="20"/>
      <c r="I296" s="21"/>
      <c r="J296" s="20"/>
      <c r="K296" s="89" t="s">
        <v>353</v>
      </c>
      <c r="L296" s="3"/>
      <c r="M296" s="8"/>
      <c r="N296" s="20"/>
      <c r="O296" s="21"/>
      <c r="P296" s="20"/>
      <c r="Q296" s="89" t="s">
        <v>353</v>
      </c>
      <c r="R296" s="3"/>
    </row>
    <row r="297" spans="1:18">
      <c r="A297" s="14"/>
      <c r="B297" s="9"/>
      <c r="C297" s="10" t="str">
        <f t="shared" si="45"/>
        <v/>
      </c>
      <c r="D297" s="9"/>
      <c r="E297" s="9" t="str">
        <f t="shared" si="44"/>
        <v>THAWATCHAY KAEWPHUY</v>
      </c>
      <c r="F297" s="9"/>
      <c r="G297" s="3"/>
      <c r="H297" s="20"/>
      <c r="I297" s="21"/>
      <c r="J297" s="20"/>
      <c r="K297" s="89" t="s">
        <v>354</v>
      </c>
      <c r="L297" s="3"/>
      <c r="M297" s="8"/>
      <c r="N297" s="20"/>
      <c r="O297" s="21"/>
      <c r="P297" s="20"/>
      <c r="Q297" s="89" t="s">
        <v>354</v>
      </c>
      <c r="R297" s="3"/>
    </row>
    <row r="298" spans="1:18">
      <c r="A298" s="14"/>
      <c r="B298" s="9"/>
      <c r="C298" s="10" t="str">
        <f t="shared" si="45"/>
        <v/>
      </c>
      <c r="D298" s="9"/>
      <c r="E298" s="9" t="str">
        <f t="shared" si="44"/>
        <v>TITTAYANAN WANNUBOL</v>
      </c>
      <c r="F298" s="9"/>
      <c r="G298" s="3"/>
      <c r="H298" s="20"/>
      <c r="I298" s="21"/>
      <c r="J298" s="20"/>
      <c r="K298" s="89" t="s">
        <v>355</v>
      </c>
      <c r="L298" s="3"/>
      <c r="M298" s="8"/>
      <c r="N298" s="20"/>
      <c r="O298" s="21"/>
      <c r="P298" s="20"/>
      <c r="Q298" s="89" t="s">
        <v>355</v>
      </c>
      <c r="R298" s="3"/>
    </row>
    <row r="299" spans="1:18">
      <c r="A299" s="14"/>
      <c r="B299" s="9"/>
      <c r="C299" s="10" t="str">
        <f t="shared" si="45"/>
        <v/>
      </c>
      <c r="D299" s="9"/>
      <c r="E299" s="9" t="str">
        <f t="shared" si="44"/>
        <v>PORNNEEKA THAMWONG</v>
      </c>
      <c r="F299" s="9"/>
      <c r="G299" s="3"/>
      <c r="H299" s="20"/>
      <c r="I299" s="21"/>
      <c r="J299" s="20"/>
      <c r="K299" s="89" t="s">
        <v>356</v>
      </c>
      <c r="L299" s="3"/>
      <c r="M299" s="8"/>
      <c r="N299" s="20"/>
      <c r="O299" s="21"/>
      <c r="P299" s="20"/>
      <c r="Q299" s="89" t="s">
        <v>356</v>
      </c>
      <c r="R299" s="3"/>
    </row>
    <row r="300" spans="1:18">
      <c r="A300" s="14"/>
      <c r="B300" s="9"/>
      <c r="C300" s="10" t="str">
        <f t="shared" si="45"/>
        <v/>
      </c>
      <c r="D300" s="9"/>
      <c r="E300" s="9" t="str">
        <f t="shared" si="44"/>
        <v/>
      </c>
      <c r="F300" s="9"/>
      <c r="G300" s="3"/>
      <c r="H300" s="20"/>
      <c r="I300" s="21"/>
      <c r="J300" s="20"/>
      <c r="K300" s="89"/>
      <c r="L300" s="3"/>
      <c r="M300" s="8"/>
      <c r="N300" s="8"/>
      <c r="O300" s="21"/>
      <c r="P300" s="3"/>
      <c r="Q300" s="3"/>
      <c r="R300" s="3"/>
    </row>
    <row r="301" spans="1:18">
      <c r="A301" s="14"/>
      <c r="B301" s="11"/>
      <c r="C301" s="12"/>
      <c r="D301" s="11"/>
      <c r="E301" s="11"/>
      <c r="F301" s="11"/>
      <c r="G301" s="3"/>
      <c r="H301" s="20"/>
      <c r="I301" s="90"/>
      <c r="J301" s="20"/>
      <c r="K301" s="87"/>
      <c r="L301" s="3"/>
      <c r="M301" s="8"/>
      <c r="N301" s="8"/>
      <c r="O301" s="21"/>
      <c r="P301" s="3"/>
      <c r="Q301" s="3"/>
      <c r="R301" s="3"/>
    </row>
    <row r="302" spans="1:18">
      <c r="A302" s="14"/>
      <c r="B302" s="17"/>
      <c r="C302" s="17"/>
      <c r="D302" s="17"/>
      <c r="E302" s="17"/>
      <c r="F302" s="17"/>
      <c r="G302" s="28"/>
      <c r="H302" s="19"/>
      <c r="I302" s="19"/>
      <c r="J302" s="19"/>
      <c r="K302" s="18"/>
      <c r="L302" s="19"/>
      <c r="M302" s="8"/>
      <c r="N302" s="8"/>
      <c r="O302" s="21"/>
      <c r="P302" s="3"/>
      <c r="Q302" s="3"/>
      <c r="R302" s="3"/>
    </row>
    <row r="303" spans="1:18">
      <c r="A303" s="14"/>
      <c r="B303" s="150" t="str">
        <f t="shared" ref="B303:B304" si="46">UPPER(H303)</f>
        <v>LIGHTING / VFX / COMPOSITING</v>
      </c>
      <c r="C303" s="141"/>
      <c r="D303" s="141"/>
      <c r="E303" s="141"/>
      <c r="F303" s="141"/>
      <c r="G303" s="28"/>
      <c r="H303" s="148" t="s">
        <v>330</v>
      </c>
      <c r="I303" s="141"/>
      <c r="J303" s="141"/>
      <c r="K303" s="141"/>
      <c r="L303" s="141"/>
      <c r="M303" s="8"/>
      <c r="N303" s="149" t="s">
        <v>845</v>
      </c>
      <c r="O303" s="141"/>
      <c r="P303" s="141"/>
      <c r="Q303" s="141"/>
      <c r="R303" s="141"/>
    </row>
    <row r="304" spans="1:18">
      <c r="A304" s="14"/>
      <c r="B304" s="146" t="str">
        <f t="shared" si="46"/>
        <v>THE MONK STUDIOS</v>
      </c>
      <c r="C304" s="141"/>
      <c r="D304" s="141"/>
      <c r="E304" s="141"/>
      <c r="F304" s="141"/>
      <c r="G304" s="3"/>
      <c r="H304" s="147" t="s">
        <v>202</v>
      </c>
      <c r="I304" s="141"/>
      <c r="J304" s="141"/>
      <c r="K304" s="141"/>
      <c r="L304" s="141"/>
      <c r="M304" s="8"/>
      <c r="N304" s="147" t="s">
        <v>202</v>
      </c>
      <c r="O304" s="141"/>
      <c r="P304" s="141"/>
      <c r="Q304" s="141"/>
      <c r="R304" s="141"/>
    </row>
    <row r="305" spans="1:18">
      <c r="A305" s="14"/>
      <c r="B305" s="9"/>
      <c r="C305" s="10"/>
      <c r="D305" s="9"/>
      <c r="E305" s="9"/>
      <c r="F305" s="9"/>
      <c r="G305" s="3"/>
      <c r="H305" s="20"/>
      <c r="I305" s="90"/>
      <c r="J305" s="20"/>
      <c r="K305" s="87"/>
      <c r="L305" s="3"/>
      <c r="M305" s="8"/>
      <c r="N305" s="20"/>
      <c r="O305" s="90"/>
      <c r="P305" s="20"/>
      <c r="Q305" s="87"/>
      <c r="R305" s="3"/>
    </row>
    <row r="306" spans="1:18">
      <c r="A306" s="14"/>
      <c r="B306" s="9"/>
      <c r="C306" s="10" t="str">
        <f>UPPER(I306)</f>
        <v>EFFECT SUPERVISOR</v>
      </c>
      <c r="D306" s="9"/>
      <c r="E306" s="9" t="str">
        <f t="shared" ref="E306:E318" si="47">UPPER(K306)</f>
        <v>THACHAPONG RUANGROJ</v>
      </c>
      <c r="F306" s="9"/>
      <c r="G306" s="3"/>
      <c r="H306" s="20"/>
      <c r="I306" s="90" t="s">
        <v>737</v>
      </c>
      <c r="J306" s="20"/>
      <c r="K306" s="87" t="s">
        <v>358</v>
      </c>
      <c r="L306" s="3"/>
      <c r="M306" s="8"/>
      <c r="N306" s="20"/>
      <c r="O306" s="90" t="s">
        <v>737</v>
      </c>
      <c r="P306" s="20"/>
      <c r="Q306" s="87" t="s">
        <v>358</v>
      </c>
      <c r="R306" s="3"/>
    </row>
    <row r="307" spans="1:18">
      <c r="A307" s="14"/>
      <c r="B307" s="9"/>
      <c r="C307" s="10"/>
      <c r="D307" s="9"/>
      <c r="E307" s="9" t="str">
        <f t="shared" si="47"/>
        <v/>
      </c>
      <c r="F307" s="9"/>
      <c r="G307" s="3"/>
      <c r="H307" s="20"/>
      <c r="I307" s="90"/>
      <c r="J307" s="20"/>
      <c r="K307" s="87"/>
      <c r="L307" s="3"/>
      <c r="M307" s="8"/>
      <c r="N307" s="20"/>
      <c r="O307" s="90"/>
      <c r="P307" s="20"/>
      <c r="Q307" s="87"/>
      <c r="R307" s="3"/>
    </row>
    <row r="308" spans="1:18">
      <c r="A308" s="14"/>
      <c r="B308" s="9"/>
      <c r="C308" s="10" t="str">
        <f>UPPER(I308)</f>
        <v>VFX GENERALIST</v>
      </c>
      <c r="D308" s="9"/>
      <c r="E308" s="9" t="str">
        <f t="shared" si="47"/>
        <v>PHUONG THANH NAM</v>
      </c>
      <c r="F308" s="9"/>
      <c r="G308" s="3"/>
      <c r="H308" s="20"/>
      <c r="I308" s="90" t="s">
        <v>359</v>
      </c>
      <c r="J308" s="20"/>
      <c r="K308" s="87" t="s">
        <v>360</v>
      </c>
      <c r="L308" s="3"/>
      <c r="M308" s="8"/>
      <c r="N308" s="20"/>
      <c r="O308" s="90" t="s">
        <v>359</v>
      </c>
      <c r="P308" s="20"/>
      <c r="Q308" s="87" t="s">
        <v>360</v>
      </c>
      <c r="R308" s="3"/>
    </row>
    <row r="309" spans="1:18">
      <c r="A309" s="14"/>
      <c r="B309" s="9"/>
      <c r="C309" s="10"/>
      <c r="D309" s="9"/>
      <c r="E309" s="9" t="str">
        <f t="shared" si="47"/>
        <v/>
      </c>
      <c r="F309" s="9"/>
      <c r="G309" s="3"/>
      <c r="H309" s="20"/>
      <c r="I309" s="90"/>
      <c r="J309" s="20"/>
      <c r="K309" s="87"/>
      <c r="L309" s="3"/>
      <c r="M309" s="8"/>
      <c r="N309" s="20"/>
      <c r="O309" s="90"/>
      <c r="P309" s="20"/>
      <c r="Q309" s="87"/>
      <c r="R309" s="3"/>
    </row>
    <row r="310" spans="1:18">
      <c r="A310" s="14"/>
      <c r="B310" s="9"/>
      <c r="C310" s="10" t="str">
        <f t="shared" ref="C310:C318" si="48">UPPER(I310)</f>
        <v>EFFECTS ARTIST</v>
      </c>
      <c r="D310" s="9"/>
      <c r="E310" s="9" t="str">
        <f t="shared" si="47"/>
        <v>CHAIPAT WINYOOVIJIT</v>
      </c>
      <c r="F310" s="9"/>
      <c r="G310" s="3"/>
      <c r="H310" s="20"/>
      <c r="I310" s="90" t="s">
        <v>361</v>
      </c>
      <c r="J310" s="20"/>
      <c r="K310" s="87" t="s">
        <v>362</v>
      </c>
      <c r="L310" s="3"/>
      <c r="M310" s="8"/>
      <c r="N310" s="20"/>
      <c r="O310" s="90" t="s">
        <v>361</v>
      </c>
      <c r="P310" s="20"/>
      <c r="Q310" s="87" t="s">
        <v>362</v>
      </c>
      <c r="R310" s="3"/>
    </row>
    <row r="311" spans="1:18">
      <c r="A311" s="14"/>
      <c r="B311" s="9"/>
      <c r="C311" s="10" t="str">
        <f t="shared" si="48"/>
        <v/>
      </c>
      <c r="D311" s="9"/>
      <c r="E311" s="9" t="str">
        <f t="shared" si="47"/>
        <v>PIYAPONG JANHALUTAI</v>
      </c>
      <c r="F311" s="9"/>
      <c r="G311" s="3"/>
      <c r="H311" s="20"/>
      <c r="I311" s="21"/>
      <c r="J311" s="20"/>
      <c r="K311" s="87" t="s">
        <v>365</v>
      </c>
      <c r="L311" s="3"/>
      <c r="M311" s="8"/>
      <c r="N311" s="20"/>
      <c r="O311" s="21"/>
      <c r="P311" s="20"/>
      <c r="Q311" s="87" t="s">
        <v>365</v>
      </c>
      <c r="R311" s="3"/>
    </row>
    <row r="312" spans="1:18">
      <c r="A312" s="14"/>
      <c r="B312" s="9"/>
      <c r="C312" s="10" t="str">
        <f t="shared" si="48"/>
        <v/>
      </c>
      <c r="D312" s="9"/>
      <c r="E312" s="9" t="str">
        <f t="shared" si="47"/>
        <v>NATTAPON KRICHAVONG</v>
      </c>
      <c r="F312" s="9"/>
      <c r="G312" s="3"/>
      <c r="H312" s="20"/>
      <c r="I312" s="21"/>
      <c r="J312" s="20"/>
      <c r="K312" s="87" t="s">
        <v>364</v>
      </c>
      <c r="L312" s="3"/>
      <c r="M312" s="8"/>
      <c r="N312" s="20"/>
      <c r="O312" s="21"/>
      <c r="P312" s="20"/>
      <c r="Q312" s="87" t="s">
        <v>364</v>
      </c>
      <c r="R312" s="3"/>
    </row>
    <row r="313" spans="1:18">
      <c r="A313" s="14"/>
      <c r="B313" s="9"/>
      <c r="C313" s="10" t="str">
        <f t="shared" si="48"/>
        <v/>
      </c>
      <c r="D313" s="9"/>
      <c r="E313" s="9" t="str">
        <f t="shared" si="47"/>
        <v>SILAKORN KONGSUWAN</v>
      </c>
      <c r="F313" s="9"/>
      <c r="G313" s="3"/>
      <c r="H313" s="20"/>
      <c r="I313" s="21"/>
      <c r="J313" s="20"/>
      <c r="K313" s="87" t="s">
        <v>366</v>
      </c>
      <c r="L313" s="3"/>
      <c r="M313" s="8"/>
      <c r="N313" s="20"/>
      <c r="O313" s="21"/>
      <c r="P313" s="20"/>
      <c r="Q313" s="87" t="s">
        <v>366</v>
      </c>
      <c r="R313" s="3"/>
    </row>
    <row r="314" spans="1:18">
      <c r="A314" s="14"/>
      <c r="B314" s="9"/>
      <c r="C314" s="10" t="str">
        <f t="shared" si="48"/>
        <v/>
      </c>
      <c r="D314" s="9"/>
      <c r="E314" s="9" t="str">
        <f t="shared" si="47"/>
        <v>THANAKORN THAEVAKANJANAPHOKHIN</v>
      </c>
      <c r="F314" s="9"/>
      <c r="G314" s="3"/>
      <c r="H314" s="20"/>
      <c r="I314" s="21"/>
      <c r="J314" s="20"/>
      <c r="K314" s="92" t="s">
        <v>368</v>
      </c>
      <c r="L314" s="3"/>
      <c r="M314" s="8"/>
      <c r="N314" s="20"/>
      <c r="O314" s="21"/>
      <c r="P314" s="20"/>
      <c r="Q314" s="92" t="s">
        <v>368</v>
      </c>
      <c r="R314" s="3"/>
    </row>
    <row r="315" spans="1:18">
      <c r="A315" s="14"/>
      <c r="B315" s="9"/>
      <c r="C315" s="10" t="str">
        <f t="shared" si="48"/>
        <v/>
      </c>
      <c r="D315" s="9"/>
      <c r="E315" s="9" t="str">
        <f t="shared" si="47"/>
        <v>THANAWAT KAEWARSA</v>
      </c>
      <c r="F315" s="9"/>
      <c r="G315" s="3"/>
      <c r="H315" s="20"/>
      <c r="I315" s="21"/>
      <c r="J315" s="20"/>
      <c r="K315" s="87" t="s">
        <v>369</v>
      </c>
      <c r="L315" s="3"/>
      <c r="M315" s="8"/>
      <c r="N315" s="20"/>
      <c r="O315" s="21"/>
      <c r="P315" s="20"/>
      <c r="Q315" s="87" t="s">
        <v>369</v>
      </c>
      <c r="R315" s="3"/>
    </row>
    <row r="316" spans="1:18">
      <c r="A316" s="14"/>
      <c r="B316" s="9"/>
      <c r="C316" s="10" t="str">
        <f t="shared" si="48"/>
        <v/>
      </c>
      <c r="D316" s="9"/>
      <c r="E316" s="9" t="str">
        <f t="shared" si="47"/>
        <v>CHINNAWAT ASVINJAIPETCH</v>
      </c>
      <c r="F316" s="9"/>
      <c r="G316" s="3"/>
      <c r="H316" s="20"/>
      <c r="I316" s="21"/>
      <c r="J316" s="20"/>
      <c r="K316" s="87" t="s">
        <v>363</v>
      </c>
      <c r="L316" s="3"/>
      <c r="M316" s="8"/>
      <c r="N316" s="20"/>
      <c r="O316" s="21"/>
      <c r="P316" s="20"/>
      <c r="Q316" s="87" t="s">
        <v>363</v>
      </c>
      <c r="R316" s="3"/>
    </row>
    <row r="317" spans="1:18">
      <c r="A317" s="14"/>
      <c r="B317" s="9"/>
      <c r="C317" s="10" t="str">
        <f t="shared" si="48"/>
        <v/>
      </c>
      <c r="D317" s="9"/>
      <c r="E317" s="9" t="str">
        <f t="shared" si="47"/>
        <v>THITIKON SAIMPAT</v>
      </c>
      <c r="F317" s="9"/>
      <c r="G317" s="3"/>
      <c r="H317" s="20"/>
      <c r="I317" s="21"/>
      <c r="J317" s="20"/>
      <c r="K317" s="87" t="s">
        <v>768</v>
      </c>
      <c r="L317" s="3"/>
      <c r="M317" s="8"/>
      <c r="N317" s="20"/>
      <c r="O317" s="21"/>
      <c r="P317" s="20"/>
      <c r="Q317" s="87" t="s">
        <v>768</v>
      </c>
      <c r="R317" s="3"/>
    </row>
    <row r="318" spans="1:18">
      <c r="A318" s="14"/>
      <c r="B318" s="9"/>
      <c r="C318" s="10" t="str">
        <f t="shared" si="48"/>
        <v/>
      </c>
      <c r="D318" s="9"/>
      <c r="E318" s="9" t="str">
        <f t="shared" si="47"/>
        <v/>
      </c>
      <c r="F318" s="9"/>
      <c r="G318" s="3"/>
      <c r="H318" s="20"/>
      <c r="I318" s="21"/>
      <c r="J318" s="20"/>
      <c r="K318" s="13"/>
      <c r="L318" s="3"/>
      <c r="M318" s="8"/>
      <c r="N318" s="8"/>
      <c r="O318" s="21"/>
      <c r="P318" s="3"/>
      <c r="Q318" s="3"/>
      <c r="R318" s="3"/>
    </row>
    <row r="319" spans="1:18">
      <c r="A319" s="14"/>
      <c r="B319" s="11"/>
      <c r="C319" s="12"/>
      <c r="D319" s="11"/>
      <c r="E319" s="11"/>
      <c r="F319" s="11"/>
      <c r="G319" s="3"/>
      <c r="H319" s="20"/>
      <c r="I319" s="21"/>
      <c r="J319" s="20"/>
      <c r="K319" s="13"/>
      <c r="L319" s="3"/>
      <c r="M319" s="8"/>
      <c r="N319" s="8"/>
      <c r="O319" s="21"/>
      <c r="P319" s="3"/>
      <c r="Q319" s="3"/>
      <c r="R319" s="3"/>
    </row>
    <row r="320" spans="1:18">
      <c r="A320" s="14"/>
      <c r="B320" s="9"/>
      <c r="C320" s="10"/>
      <c r="D320" s="9"/>
      <c r="E320" s="9"/>
      <c r="F320" s="9"/>
      <c r="G320" s="3"/>
      <c r="H320" s="20"/>
      <c r="I320" s="21"/>
      <c r="J320" s="20"/>
      <c r="K320" s="13"/>
      <c r="L320" s="3"/>
      <c r="M320" s="8"/>
      <c r="N320" s="8"/>
      <c r="O320" s="21"/>
      <c r="P320" s="3"/>
      <c r="Q320" s="3"/>
      <c r="R320" s="3"/>
    </row>
    <row r="321" spans="1:18">
      <c r="A321" s="14"/>
      <c r="B321" s="150" t="str">
        <f t="shared" ref="B321:B322" si="49">UPPER(H321)</f>
        <v>LIGHTING / VFX / COMPOSITING</v>
      </c>
      <c r="C321" s="141"/>
      <c r="D321" s="141"/>
      <c r="E321" s="141"/>
      <c r="F321" s="141"/>
      <c r="G321" s="28"/>
      <c r="H321" s="148" t="s">
        <v>330</v>
      </c>
      <c r="I321" s="141"/>
      <c r="J321" s="141"/>
      <c r="K321" s="141"/>
      <c r="L321" s="141"/>
      <c r="M321" s="8"/>
      <c r="N321" s="149" t="s">
        <v>845</v>
      </c>
      <c r="O321" s="141"/>
      <c r="P321" s="141"/>
      <c r="Q321" s="141"/>
      <c r="R321" s="141"/>
    </row>
    <row r="322" spans="1:18">
      <c r="A322" s="14"/>
      <c r="B322" s="146" t="str">
        <f t="shared" si="49"/>
        <v>THE MONK STUDIOS</v>
      </c>
      <c r="C322" s="141"/>
      <c r="D322" s="141"/>
      <c r="E322" s="141"/>
      <c r="F322" s="141"/>
      <c r="G322" s="3"/>
      <c r="H322" s="147" t="s">
        <v>202</v>
      </c>
      <c r="I322" s="141"/>
      <c r="J322" s="141"/>
      <c r="K322" s="141"/>
      <c r="L322" s="141"/>
      <c r="M322" s="8"/>
      <c r="N322" s="147" t="s">
        <v>202</v>
      </c>
      <c r="O322" s="141"/>
      <c r="P322" s="141"/>
      <c r="Q322" s="141"/>
      <c r="R322" s="141"/>
    </row>
    <row r="323" spans="1:18">
      <c r="A323" s="14"/>
      <c r="B323" s="9"/>
      <c r="C323" s="10"/>
      <c r="D323" s="9"/>
      <c r="E323" s="9"/>
      <c r="F323" s="9"/>
      <c r="G323" s="3"/>
      <c r="H323" s="20"/>
      <c r="I323" s="90"/>
      <c r="J323" s="20"/>
      <c r="K323" s="87"/>
      <c r="L323" s="3"/>
      <c r="M323" s="8"/>
      <c r="N323" s="20"/>
      <c r="O323" s="90"/>
      <c r="P323" s="20"/>
      <c r="Q323" s="87"/>
      <c r="R323" s="3"/>
    </row>
    <row r="324" spans="1:18">
      <c r="A324" s="14"/>
      <c r="B324" s="9"/>
      <c r="C324" s="10" t="str">
        <f>UPPER(I324)</f>
        <v>LIGHTING SUPERVISOR</v>
      </c>
      <c r="D324" s="9"/>
      <c r="E324" s="9" t="str">
        <f>UPPER(K324)</f>
        <v>TIKUMPORN SRISANG-NGAM</v>
      </c>
      <c r="F324" s="9"/>
      <c r="G324" s="3"/>
      <c r="H324" s="20"/>
      <c r="I324" s="90" t="s">
        <v>371</v>
      </c>
      <c r="J324" s="20"/>
      <c r="K324" s="87" t="s">
        <v>372</v>
      </c>
      <c r="L324" s="3"/>
      <c r="M324" s="8"/>
      <c r="N324" s="20"/>
      <c r="O324" s="90" t="s">
        <v>371</v>
      </c>
      <c r="P324" s="20"/>
      <c r="Q324" s="87" t="s">
        <v>372</v>
      </c>
      <c r="R324" s="3"/>
    </row>
    <row r="325" spans="1:18">
      <c r="A325" s="14"/>
      <c r="B325" s="9"/>
      <c r="C325" s="10"/>
      <c r="D325" s="9"/>
      <c r="E325" s="9"/>
      <c r="F325" s="9"/>
      <c r="G325" s="3"/>
      <c r="H325" s="20"/>
      <c r="I325" s="90"/>
      <c r="J325" s="20"/>
      <c r="K325" s="87"/>
      <c r="L325" s="3"/>
      <c r="M325" s="8"/>
      <c r="N325" s="20"/>
      <c r="O325" s="90"/>
      <c r="P325" s="20"/>
      <c r="Q325" s="87"/>
      <c r="R325" s="3"/>
    </row>
    <row r="326" spans="1:18">
      <c r="A326" s="14"/>
      <c r="B326" s="9"/>
      <c r="C326" s="10" t="str">
        <f>UPPER(I326)</f>
        <v>LEAD LIGHTING ARTIST</v>
      </c>
      <c r="D326" s="9"/>
      <c r="E326" s="9" t="str">
        <f t="shared" ref="E326:E341" si="50">UPPER(K326)</f>
        <v>METEE PALAPHAN</v>
      </c>
      <c r="F326" s="9"/>
      <c r="G326" s="3"/>
      <c r="H326" s="20"/>
      <c r="I326" s="90" t="s">
        <v>373</v>
      </c>
      <c r="J326" s="20"/>
      <c r="K326" s="87" t="s">
        <v>632</v>
      </c>
      <c r="L326" s="3"/>
      <c r="M326" s="8"/>
      <c r="N326" s="20"/>
      <c r="O326" s="90" t="s">
        <v>373</v>
      </c>
      <c r="P326" s="20"/>
      <c r="Q326" s="87" t="s">
        <v>632</v>
      </c>
      <c r="R326" s="3"/>
    </row>
    <row r="327" spans="1:18">
      <c r="A327" s="14"/>
      <c r="B327" s="9"/>
      <c r="C327" s="10"/>
      <c r="D327" s="9"/>
      <c r="E327" s="9" t="str">
        <f t="shared" si="50"/>
        <v/>
      </c>
      <c r="F327" s="9"/>
      <c r="G327" s="3"/>
      <c r="H327" s="20"/>
      <c r="I327" s="90"/>
      <c r="J327" s="20"/>
      <c r="K327" s="87"/>
      <c r="L327" s="3"/>
      <c r="M327" s="8"/>
      <c r="N327" s="20"/>
      <c r="O327" s="90"/>
      <c r="P327" s="20"/>
      <c r="Q327" s="87"/>
      <c r="R327" s="3"/>
    </row>
    <row r="328" spans="1:18">
      <c r="A328" s="14"/>
      <c r="B328" s="9"/>
      <c r="C328" s="10" t="str">
        <f t="shared" ref="C328:C339" si="51">UPPER(I328)</f>
        <v>LIGHTING ARTIST</v>
      </c>
      <c r="D328" s="9"/>
      <c r="E328" s="9" t="str">
        <f t="shared" si="50"/>
        <v>TITIKAMON NANRUDON</v>
      </c>
      <c r="F328" s="9"/>
      <c r="G328" s="3"/>
      <c r="H328" s="20"/>
      <c r="I328" s="90" t="s">
        <v>335</v>
      </c>
      <c r="J328" s="20"/>
      <c r="K328" s="87" t="s">
        <v>375</v>
      </c>
      <c r="L328" s="3"/>
      <c r="M328" s="8"/>
      <c r="N328" s="20"/>
      <c r="O328" s="90" t="s">
        <v>335</v>
      </c>
      <c r="P328" s="20"/>
      <c r="Q328" s="87" t="s">
        <v>375</v>
      </c>
      <c r="R328" s="3"/>
    </row>
    <row r="329" spans="1:18">
      <c r="A329" s="14"/>
      <c r="B329" s="9"/>
      <c r="C329" s="10" t="str">
        <f t="shared" si="51"/>
        <v/>
      </c>
      <c r="D329" s="9"/>
      <c r="E329" s="9" t="str">
        <f t="shared" si="50"/>
        <v>PRADTANA KARALOP</v>
      </c>
      <c r="F329" s="9"/>
      <c r="G329" s="3"/>
      <c r="H329" s="20"/>
      <c r="I329" s="90"/>
      <c r="J329" s="20"/>
      <c r="K329" s="87" t="s">
        <v>376</v>
      </c>
      <c r="L329" s="3"/>
      <c r="M329" s="8"/>
      <c r="N329" s="20"/>
      <c r="O329" s="90"/>
      <c r="P329" s="20"/>
      <c r="Q329" s="87" t="s">
        <v>376</v>
      </c>
      <c r="R329" s="3"/>
    </row>
    <row r="330" spans="1:18">
      <c r="A330" s="14"/>
      <c r="B330" s="9"/>
      <c r="C330" s="10" t="str">
        <f t="shared" si="51"/>
        <v/>
      </c>
      <c r="D330" s="9"/>
      <c r="E330" s="9" t="str">
        <f t="shared" si="50"/>
        <v>WORRAPAT YIMSUKPAITOON</v>
      </c>
      <c r="F330" s="9"/>
      <c r="G330" s="3"/>
      <c r="H330" s="20"/>
      <c r="I330" s="21"/>
      <c r="J330" s="20"/>
      <c r="K330" s="87" t="s">
        <v>377</v>
      </c>
      <c r="L330" s="3"/>
      <c r="M330" s="8"/>
      <c r="N330" s="20"/>
      <c r="O330" s="21"/>
      <c r="P330" s="20"/>
      <c r="Q330" s="87" t="s">
        <v>377</v>
      </c>
      <c r="R330" s="3"/>
    </row>
    <row r="331" spans="1:18">
      <c r="A331" s="14"/>
      <c r="B331" s="9"/>
      <c r="C331" s="10" t="str">
        <f t="shared" si="51"/>
        <v/>
      </c>
      <c r="D331" s="9"/>
      <c r="E331" s="9" t="str">
        <f t="shared" si="50"/>
        <v>VITTAWAT KITTISUPAT</v>
      </c>
      <c r="F331" s="9"/>
      <c r="G331" s="3"/>
      <c r="H331" s="20"/>
      <c r="I331" s="21"/>
      <c r="J331" s="20"/>
      <c r="K331" s="87" t="s">
        <v>633</v>
      </c>
      <c r="L331" s="3"/>
      <c r="M331" s="8"/>
      <c r="N331" s="20"/>
      <c r="O331" s="21"/>
      <c r="P331" s="20"/>
      <c r="Q331" s="87" t="s">
        <v>633</v>
      </c>
      <c r="R331" s="3"/>
    </row>
    <row r="332" spans="1:18">
      <c r="A332" s="14"/>
      <c r="B332" s="9"/>
      <c r="C332" s="10" t="str">
        <f t="shared" si="51"/>
        <v/>
      </c>
      <c r="D332" s="9"/>
      <c r="E332" s="9" t="str">
        <f t="shared" si="50"/>
        <v>PHANATHON WARATHIP</v>
      </c>
      <c r="F332" s="9"/>
      <c r="G332" s="3"/>
      <c r="H332" s="20"/>
      <c r="I332" s="21"/>
      <c r="J332" s="20"/>
      <c r="K332" s="87" t="s">
        <v>378</v>
      </c>
      <c r="L332" s="3"/>
      <c r="M332" s="8"/>
      <c r="N332" s="20"/>
      <c r="O332" s="21"/>
      <c r="P332" s="20"/>
      <c r="Q332" s="87" t="s">
        <v>378</v>
      </c>
      <c r="R332" s="3"/>
    </row>
    <row r="333" spans="1:18">
      <c r="A333" s="14"/>
      <c r="B333" s="9"/>
      <c r="C333" s="10" t="str">
        <f t="shared" si="51"/>
        <v/>
      </c>
      <c r="D333" s="9"/>
      <c r="E333" s="9" t="str">
        <f t="shared" si="50"/>
        <v>BOONYARAT PONOMCHOENG</v>
      </c>
      <c r="F333" s="9"/>
      <c r="G333" s="3"/>
      <c r="H333" s="20"/>
      <c r="I333" s="21"/>
      <c r="J333" s="20"/>
      <c r="K333" s="87" t="s">
        <v>379</v>
      </c>
      <c r="L333" s="3"/>
      <c r="M333" s="8"/>
      <c r="N333" s="20"/>
      <c r="O333" s="21"/>
      <c r="P333" s="20"/>
      <c r="Q333" s="87" t="s">
        <v>379</v>
      </c>
      <c r="R333" s="3"/>
    </row>
    <row r="334" spans="1:18">
      <c r="A334" s="14"/>
      <c r="B334" s="9"/>
      <c r="C334" s="10" t="str">
        <f t="shared" si="51"/>
        <v/>
      </c>
      <c r="D334" s="9"/>
      <c r="E334" s="9" t="str">
        <f t="shared" si="50"/>
        <v>NUTCHAWEE SREWAI</v>
      </c>
      <c r="F334" s="9"/>
      <c r="G334" s="3"/>
      <c r="H334" s="20"/>
      <c r="I334" s="21"/>
      <c r="J334" s="20"/>
      <c r="K334" s="87" t="s">
        <v>380</v>
      </c>
      <c r="L334" s="3"/>
      <c r="M334" s="8"/>
      <c r="N334" s="20"/>
      <c r="O334" s="21"/>
      <c r="P334" s="20"/>
      <c r="Q334" s="87" t="s">
        <v>380</v>
      </c>
      <c r="R334" s="3"/>
    </row>
    <row r="335" spans="1:18">
      <c r="A335" s="14"/>
      <c r="B335" s="9"/>
      <c r="C335" s="10" t="str">
        <f t="shared" si="51"/>
        <v/>
      </c>
      <c r="D335" s="9"/>
      <c r="E335" s="9" t="str">
        <f t="shared" si="50"/>
        <v>CHANIPORN PORSEELA</v>
      </c>
      <c r="F335" s="9"/>
      <c r="G335" s="3"/>
      <c r="H335" s="20"/>
      <c r="I335" s="21"/>
      <c r="J335" s="20"/>
      <c r="K335" s="87" t="s">
        <v>381</v>
      </c>
      <c r="L335" s="3"/>
      <c r="M335" s="8"/>
      <c r="N335" s="20"/>
      <c r="O335" s="21"/>
      <c r="P335" s="20"/>
      <c r="Q335" s="87" t="s">
        <v>381</v>
      </c>
      <c r="R335" s="3"/>
    </row>
    <row r="336" spans="1:18">
      <c r="A336" s="14"/>
      <c r="B336" s="9"/>
      <c r="C336" s="10" t="str">
        <f t="shared" si="51"/>
        <v/>
      </c>
      <c r="D336" s="9"/>
      <c r="E336" s="9" t="str">
        <f t="shared" si="50"/>
        <v>KITTISAK SOPAKUL</v>
      </c>
      <c r="F336" s="9"/>
      <c r="G336" s="3"/>
      <c r="H336" s="20"/>
      <c r="I336" s="21"/>
      <c r="J336" s="20"/>
      <c r="K336" s="87" t="s">
        <v>382</v>
      </c>
      <c r="L336" s="3"/>
      <c r="M336" s="8"/>
      <c r="N336" s="20"/>
      <c r="O336" s="21"/>
      <c r="P336" s="20"/>
      <c r="Q336" s="87" t="s">
        <v>382</v>
      </c>
      <c r="R336" s="3"/>
    </row>
    <row r="337" spans="1:18">
      <c r="A337" s="14"/>
      <c r="B337" s="9"/>
      <c r="C337" s="10" t="str">
        <f t="shared" si="51"/>
        <v/>
      </c>
      <c r="D337" s="9"/>
      <c r="E337" s="9" t="str">
        <f t="shared" si="50"/>
        <v>KORRAPHAT PONGPAIBOON</v>
      </c>
      <c r="F337" s="9"/>
      <c r="G337" s="3"/>
      <c r="H337" s="20"/>
      <c r="I337" s="21"/>
      <c r="J337" s="20"/>
      <c r="K337" s="87" t="s">
        <v>383</v>
      </c>
      <c r="L337" s="3"/>
      <c r="M337" s="8"/>
      <c r="N337" s="20"/>
      <c r="O337" s="21"/>
      <c r="P337" s="20"/>
      <c r="Q337" s="87" t="s">
        <v>383</v>
      </c>
      <c r="R337" s="3"/>
    </row>
    <row r="338" spans="1:18">
      <c r="A338" s="14"/>
      <c r="B338" s="9"/>
      <c r="C338" s="10" t="str">
        <f t="shared" si="51"/>
        <v/>
      </c>
      <c r="D338" s="9"/>
      <c r="E338" s="9" t="str">
        <f t="shared" si="50"/>
        <v>SUPHATCHA NUAMTHONG</v>
      </c>
      <c r="F338" s="9"/>
      <c r="G338" s="3"/>
      <c r="H338" s="20"/>
      <c r="I338" s="21"/>
      <c r="J338" s="20"/>
      <c r="K338" s="87" t="s">
        <v>384</v>
      </c>
      <c r="L338" s="3"/>
      <c r="M338" s="8"/>
      <c r="N338" s="20"/>
      <c r="O338" s="21"/>
      <c r="P338" s="20"/>
      <c r="Q338" s="87" t="s">
        <v>384</v>
      </c>
      <c r="R338" s="3"/>
    </row>
    <row r="339" spans="1:18">
      <c r="A339" s="14"/>
      <c r="B339" s="9"/>
      <c r="C339" s="10" t="str">
        <f t="shared" si="51"/>
        <v/>
      </c>
      <c r="D339" s="9"/>
      <c r="E339" s="9" t="str">
        <f t="shared" si="50"/>
        <v>SUPANIDA KOSIN</v>
      </c>
      <c r="F339" s="9"/>
      <c r="G339" s="3"/>
      <c r="H339" s="20"/>
      <c r="I339" s="21"/>
      <c r="J339" s="20"/>
      <c r="K339" s="87" t="s">
        <v>635</v>
      </c>
      <c r="L339" s="3"/>
      <c r="M339" s="8"/>
      <c r="N339" s="20"/>
      <c r="O339" s="21"/>
      <c r="P339" s="20"/>
      <c r="Q339" s="87" t="s">
        <v>635</v>
      </c>
      <c r="R339" s="3"/>
    </row>
    <row r="340" spans="1:18">
      <c r="A340" s="14"/>
      <c r="B340" s="9"/>
      <c r="C340" s="10"/>
      <c r="D340" s="9"/>
      <c r="E340" s="9" t="str">
        <f t="shared" si="50"/>
        <v>VARAT SITTINUNTAWAT</v>
      </c>
      <c r="F340" s="9"/>
      <c r="G340" s="3"/>
      <c r="H340" s="20"/>
      <c r="I340" s="21"/>
      <c r="J340" s="20"/>
      <c r="K340" s="87" t="s">
        <v>636</v>
      </c>
      <c r="L340" s="3"/>
      <c r="M340" s="8"/>
      <c r="N340" s="20"/>
      <c r="O340" s="21"/>
      <c r="P340" s="20"/>
      <c r="Q340" s="87" t="s">
        <v>636</v>
      </c>
      <c r="R340" s="3"/>
    </row>
    <row r="341" spans="1:18">
      <c r="A341" s="14"/>
      <c r="B341" s="9"/>
      <c r="C341" s="10" t="str">
        <f>UPPER(I341)</f>
        <v/>
      </c>
      <c r="D341" s="9"/>
      <c r="E341" s="9" t="str">
        <f t="shared" si="50"/>
        <v>SUTTIDA BUTMATA</v>
      </c>
      <c r="F341" s="9"/>
      <c r="G341" s="3"/>
      <c r="H341" s="20"/>
      <c r="I341" s="21"/>
      <c r="J341" s="20"/>
      <c r="K341" s="87" t="s">
        <v>637</v>
      </c>
      <c r="L341" s="3"/>
      <c r="M341" s="8"/>
      <c r="N341" s="20"/>
      <c r="O341" s="21"/>
      <c r="P341" s="20"/>
      <c r="Q341" s="87" t="s">
        <v>637</v>
      </c>
      <c r="R341" s="3"/>
    </row>
    <row r="342" spans="1:18">
      <c r="A342" s="14"/>
      <c r="B342" s="9"/>
      <c r="C342" s="10"/>
      <c r="D342" s="9"/>
      <c r="E342" s="9"/>
      <c r="F342" s="9"/>
      <c r="G342" s="3"/>
      <c r="H342" s="20"/>
      <c r="I342" s="21"/>
      <c r="J342" s="20"/>
      <c r="K342" s="13"/>
      <c r="L342" s="3"/>
      <c r="M342" s="8"/>
      <c r="N342" s="8"/>
      <c r="O342" s="21"/>
      <c r="P342" s="3"/>
      <c r="Q342" s="3"/>
      <c r="R342" s="3"/>
    </row>
    <row r="343" spans="1:18">
      <c r="A343" s="14"/>
      <c r="B343" s="11"/>
      <c r="C343" s="12"/>
      <c r="D343" s="11"/>
      <c r="E343" s="11"/>
      <c r="F343" s="11"/>
      <c r="G343" s="3"/>
      <c r="H343" s="20"/>
      <c r="I343" s="21"/>
      <c r="J343" s="20"/>
      <c r="K343" s="13"/>
      <c r="L343" s="3"/>
      <c r="M343" s="8"/>
      <c r="N343" s="8"/>
      <c r="O343" s="21"/>
      <c r="P343" s="3"/>
      <c r="Q343" s="3"/>
      <c r="R343" s="3"/>
    </row>
    <row r="344" spans="1:18">
      <c r="A344" s="14"/>
      <c r="B344" s="9"/>
      <c r="C344" s="10"/>
      <c r="D344" s="9"/>
      <c r="E344" s="9"/>
      <c r="F344" s="9"/>
      <c r="G344" s="3"/>
      <c r="H344" s="20"/>
      <c r="I344" s="21"/>
      <c r="J344" s="20"/>
      <c r="K344" s="13"/>
      <c r="L344" s="3"/>
      <c r="M344" s="8"/>
      <c r="N344" s="8"/>
      <c r="O344" s="21"/>
      <c r="P344" s="3"/>
      <c r="Q344" s="3"/>
      <c r="R344" s="3"/>
    </row>
    <row r="345" spans="1:18">
      <c r="A345" s="14"/>
      <c r="B345" s="150" t="str">
        <f t="shared" ref="B345:B346" si="52">UPPER(H345)</f>
        <v>LIGHTING / VFX / COMPOSITING</v>
      </c>
      <c r="C345" s="141"/>
      <c r="D345" s="141"/>
      <c r="E345" s="141"/>
      <c r="F345" s="141"/>
      <c r="G345" s="28"/>
      <c r="H345" s="148" t="s">
        <v>330</v>
      </c>
      <c r="I345" s="141"/>
      <c r="J345" s="141"/>
      <c r="K345" s="141"/>
      <c r="L345" s="141"/>
      <c r="M345" s="8"/>
      <c r="N345" s="149" t="s">
        <v>845</v>
      </c>
      <c r="O345" s="141"/>
      <c r="P345" s="141"/>
      <c r="Q345" s="141"/>
      <c r="R345" s="141"/>
    </row>
    <row r="346" spans="1:18">
      <c r="A346" s="14"/>
      <c r="B346" s="146" t="str">
        <f t="shared" si="52"/>
        <v>THE MONK STUDIOS</v>
      </c>
      <c r="C346" s="141"/>
      <c r="D346" s="141"/>
      <c r="E346" s="141"/>
      <c r="F346" s="141"/>
      <c r="G346" s="3"/>
      <c r="H346" s="147" t="s">
        <v>202</v>
      </c>
      <c r="I346" s="141"/>
      <c r="J346" s="141"/>
      <c r="K346" s="141"/>
      <c r="L346" s="141"/>
      <c r="M346" s="8"/>
      <c r="N346" s="147" t="s">
        <v>202</v>
      </c>
      <c r="O346" s="141"/>
      <c r="P346" s="141"/>
      <c r="Q346" s="141"/>
      <c r="R346" s="141"/>
    </row>
    <row r="347" spans="1:18">
      <c r="A347" s="14"/>
      <c r="B347" s="9"/>
      <c r="C347" s="10"/>
      <c r="D347" s="9"/>
      <c r="E347" s="9"/>
      <c r="F347" s="9"/>
      <c r="G347" s="3"/>
      <c r="H347" s="20"/>
      <c r="I347" s="90"/>
      <c r="J347" s="20"/>
      <c r="K347" s="87"/>
      <c r="L347" s="3"/>
      <c r="M347" s="8"/>
      <c r="N347" s="20"/>
      <c r="O347" s="90"/>
      <c r="P347" s="20"/>
      <c r="Q347" s="87"/>
      <c r="R347" s="3"/>
    </row>
    <row r="348" spans="1:18">
      <c r="A348" s="14"/>
      <c r="B348" s="9"/>
      <c r="C348" s="10" t="str">
        <f>UPPER(I348)</f>
        <v>LIGHTING ARTIST</v>
      </c>
      <c r="D348" s="9"/>
      <c r="E348" s="9" t="str">
        <f t="shared" ref="E348:E360" si="53">UPPER(K348)</f>
        <v>CHAIYAVUDH BURANASONGGRAM</v>
      </c>
      <c r="F348" s="9"/>
      <c r="G348" s="3"/>
      <c r="H348" s="20"/>
      <c r="I348" s="90" t="s">
        <v>335</v>
      </c>
      <c r="J348" s="20"/>
      <c r="K348" s="87" t="s">
        <v>385</v>
      </c>
      <c r="L348" s="3"/>
      <c r="M348" s="8"/>
      <c r="N348" s="20"/>
      <c r="O348" s="90" t="s">
        <v>335</v>
      </c>
      <c r="P348" s="20"/>
      <c r="Q348" s="87" t="s">
        <v>385</v>
      </c>
      <c r="R348" s="3"/>
    </row>
    <row r="349" spans="1:18">
      <c r="A349" s="14"/>
      <c r="B349" s="9"/>
      <c r="C349" s="10"/>
      <c r="D349" s="9"/>
      <c r="E349" s="9" t="str">
        <f t="shared" si="53"/>
        <v>PHUWADON KHAYANYIAM</v>
      </c>
      <c r="F349" s="9"/>
      <c r="G349" s="3"/>
      <c r="H349" s="20"/>
      <c r="I349" s="90"/>
      <c r="J349" s="20"/>
      <c r="K349" s="87" t="s">
        <v>386</v>
      </c>
      <c r="L349" s="3"/>
      <c r="M349" s="8"/>
      <c r="N349" s="20"/>
      <c r="O349" s="90"/>
      <c r="P349" s="20"/>
      <c r="Q349" s="87" t="s">
        <v>386</v>
      </c>
      <c r="R349" s="3"/>
    </row>
    <row r="350" spans="1:18">
      <c r="A350" s="14"/>
      <c r="B350" s="9"/>
      <c r="C350" s="10" t="str">
        <f>UPPER(I350)</f>
        <v/>
      </c>
      <c r="D350" s="9"/>
      <c r="E350" s="9" t="str">
        <f t="shared" si="53"/>
        <v>TANCHANOK SONGSANG</v>
      </c>
      <c r="F350" s="9"/>
      <c r="G350" s="3"/>
      <c r="H350" s="20"/>
      <c r="I350" s="90"/>
      <c r="J350" s="20"/>
      <c r="K350" s="87" t="s">
        <v>638</v>
      </c>
      <c r="L350" s="3"/>
      <c r="M350" s="8"/>
      <c r="N350" s="20"/>
      <c r="O350" s="90"/>
      <c r="P350" s="20"/>
      <c r="Q350" s="87" t="s">
        <v>638</v>
      </c>
      <c r="R350" s="3"/>
    </row>
    <row r="351" spans="1:18">
      <c r="A351" s="14"/>
      <c r="B351" s="9"/>
      <c r="C351" s="10"/>
      <c r="D351" s="9"/>
      <c r="E351" s="9" t="str">
        <f t="shared" si="53"/>
        <v>SIRAPOB KOSITCHAIMONGKHON</v>
      </c>
      <c r="F351" s="9"/>
      <c r="G351" s="3"/>
      <c r="H351" s="20"/>
      <c r="I351" s="90"/>
      <c r="J351" s="20"/>
      <c r="K351" s="87" t="s">
        <v>663</v>
      </c>
      <c r="L351" s="3"/>
      <c r="M351" s="8"/>
      <c r="N351" s="20"/>
      <c r="O351" s="90"/>
      <c r="P351" s="20"/>
      <c r="Q351" s="87" t="s">
        <v>663</v>
      </c>
      <c r="R351" s="3"/>
    </row>
    <row r="352" spans="1:18">
      <c r="A352" s="14"/>
      <c r="B352" s="9"/>
      <c r="C352" s="10" t="str">
        <f t="shared" ref="C352:C360" si="54">UPPER(I352)</f>
        <v/>
      </c>
      <c r="D352" s="9"/>
      <c r="E352" s="9" t="str">
        <f t="shared" si="53"/>
        <v>TANAWAN JAMSRI</v>
      </c>
      <c r="F352" s="9"/>
      <c r="G352" s="3"/>
      <c r="H352" s="20"/>
      <c r="I352" s="90"/>
      <c r="J352" s="20"/>
      <c r="K352" s="87" t="s">
        <v>664</v>
      </c>
      <c r="L352" s="3"/>
      <c r="M352" s="8"/>
      <c r="N352" s="20"/>
      <c r="O352" s="90"/>
      <c r="P352" s="20"/>
      <c r="Q352" s="87" t="s">
        <v>664</v>
      </c>
      <c r="R352" s="3"/>
    </row>
    <row r="353" spans="1:18">
      <c r="A353" s="14"/>
      <c r="B353" s="9"/>
      <c r="C353" s="10" t="str">
        <f t="shared" si="54"/>
        <v/>
      </c>
      <c r="D353" s="9"/>
      <c r="E353" s="9" t="str">
        <f t="shared" si="53"/>
        <v>CHANCHOL JANTARAT</v>
      </c>
      <c r="F353" s="9"/>
      <c r="G353" s="3"/>
      <c r="H353" s="20"/>
      <c r="I353" s="21"/>
      <c r="J353" s="20"/>
      <c r="K353" s="87" t="s">
        <v>665</v>
      </c>
      <c r="L353" s="3"/>
      <c r="M353" s="8"/>
      <c r="N353" s="20"/>
      <c r="O353" s="21"/>
      <c r="P353" s="20"/>
      <c r="Q353" s="87" t="s">
        <v>665</v>
      </c>
      <c r="R353" s="3"/>
    </row>
    <row r="354" spans="1:18">
      <c r="A354" s="14"/>
      <c r="B354" s="9"/>
      <c r="C354" s="10" t="str">
        <f t="shared" si="54"/>
        <v/>
      </c>
      <c r="D354" s="9"/>
      <c r="E354" s="9" t="str">
        <f t="shared" si="53"/>
        <v>SIRUNDA SUWANNAPRACHA</v>
      </c>
      <c r="F354" s="9"/>
      <c r="G354" s="3"/>
      <c r="H354" s="20"/>
      <c r="I354" s="21"/>
      <c r="J354" s="20"/>
      <c r="K354" s="87" t="s">
        <v>666</v>
      </c>
      <c r="L354" s="3"/>
      <c r="M354" s="8"/>
      <c r="N354" s="20"/>
      <c r="O354" s="21"/>
      <c r="P354" s="20"/>
      <c r="Q354" s="87" t="s">
        <v>666</v>
      </c>
      <c r="R354" s="3"/>
    </row>
    <row r="355" spans="1:18">
      <c r="A355" s="14"/>
      <c r="B355" s="9"/>
      <c r="C355" s="10" t="str">
        <f t="shared" si="54"/>
        <v/>
      </c>
      <c r="D355" s="9"/>
      <c r="E355" s="9" t="str">
        <f t="shared" si="53"/>
        <v>KASET REABREANG</v>
      </c>
      <c r="F355" s="9"/>
      <c r="G355" s="3"/>
      <c r="H355" s="20"/>
      <c r="I355" s="21"/>
      <c r="J355" s="20"/>
      <c r="K355" s="87" t="s">
        <v>667</v>
      </c>
      <c r="L355" s="3"/>
      <c r="M355" s="8"/>
      <c r="N355" s="20"/>
      <c r="O355" s="21"/>
      <c r="P355" s="20"/>
      <c r="Q355" s="87" t="s">
        <v>667</v>
      </c>
      <c r="R355" s="3"/>
    </row>
    <row r="356" spans="1:18">
      <c r="A356" s="14"/>
      <c r="B356" s="9"/>
      <c r="C356" s="10" t="str">
        <f t="shared" si="54"/>
        <v/>
      </c>
      <c r="D356" s="9"/>
      <c r="E356" s="9" t="str">
        <f t="shared" si="53"/>
        <v>LALITA CHINTHAWAN</v>
      </c>
      <c r="F356" s="9"/>
      <c r="G356" s="3"/>
      <c r="H356" s="20"/>
      <c r="I356" s="21"/>
      <c r="J356" s="20"/>
      <c r="K356" s="87" t="s">
        <v>668</v>
      </c>
      <c r="L356" s="3"/>
      <c r="M356" s="8"/>
      <c r="N356" s="20"/>
      <c r="O356" s="21"/>
      <c r="P356" s="20"/>
      <c r="Q356" s="87" t="s">
        <v>668</v>
      </c>
      <c r="R356" s="3"/>
    </row>
    <row r="357" spans="1:18">
      <c r="A357" s="14"/>
      <c r="B357" s="9"/>
      <c r="C357" s="10" t="str">
        <f t="shared" si="54"/>
        <v/>
      </c>
      <c r="D357" s="9"/>
      <c r="E357" s="9" t="str">
        <f t="shared" si="53"/>
        <v>SONGSAK JANSAWANG</v>
      </c>
      <c r="F357" s="9"/>
      <c r="G357" s="3"/>
      <c r="H357" s="20"/>
      <c r="I357" s="21"/>
      <c r="J357" s="20"/>
      <c r="K357" s="87" t="s">
        <v>669</v>
      </c>
      <c r="L357" s="3"/>
      <c r="M357" s="8"/>
      <c r="N357" s="20"/>
      <c r="O357" s="21"/>
      <c r="P357" s="20"/>
      <c r="Q357" s="87" t="s">
        <v>669</v>
      </c>
      <c r="R357" s="3"/>
    </row>
    <row r="358" spans="1:18">
      <c r="A358" s="14"/>
      <c r="B358" s="9"/>
      <c r="C358" s="10" t="str">
        <f t="shared" si="54"/>
        <v/>
      </c>
      <c r="D358" s="9"/>
      <c r="E358" s="9" t="str">
        <f t="shared" si="53"/>
        <v>NITHIRUT JIRAKANGVANPHAT</v>
      </c>
      <c r="F358" s="9"/>
      <c r="G358" s="3"/>
      <c r="H358" s="20"/>
      <c r="I358" s="21"/>
      <c r="J358" s="20"/>
      <c r="K358" s="87" t="s">
        <v>670</v>
      </c>
      <c r="L358" s="3"/>
      <c r="M358" s="8"/>
      <c r="N358" s="20"/>
      <c r="O358" s="21"/>
      <c r="P358" s="20"/>
      <c r="Q358" s="87" t="s">
        <v>670</v>
      </c>
      <c r="R358" s="3"/>
    </row>
    <row r="359" spans="1:18">
      <c r="A359" s="14"/>
      <c r="B359" s="9"/>
      <c r="C359" s="10" t="str">
        <f t="shared" si="54"/>
        <v/>
      </c>
      <c r="D359" s="9"/>
      <c r="E359" s="9" t="str">
        <f t="shared" si="53"/>
        <v>CHITAWADEE SRIRUK</v>
      </c>
      <c r="F359" s="9"/>
      <c r="G359" s="3"/>
      <c r="H359" s="20"/>
      <c r="I359" s="21"/>
      <c r="J359" s="20"/>
      <c r="K359" s="87" t="s">
        <v>671</v>
      </c>
      <c r="L359" s="3"/>
      <c r="M359" s="8"/>
      <c r="N359" s="20"/>
      <c r="O359" s="21"/>
      <c r="P359" s="20"/>
      <c r="Q359" s="87" t="s">
        <v>671</v>
      </c>
      <c r="R359" s="3"/>
    </row>
    <row r="360" spans="1:18">
      <c r="A360" s="14"/>
      <c r="B360" s="9"/>
      <c r="C360" s="10" t="str">
        <f t="shared" si="54"/>
        <v/>
      </c>
      <c r="D360" s="9"/>
      <c r="E360" s="9" t="str">
        <f t="shared" si="53"/>
        <v>SIRAWAT PUNYARIT</v>
      </c>
      <c r="F360" s="9"/>
      <c r="G360" s="3"/>
      <c r="H360" s="20"/>
      <c r="I360" s="21"/>
      <c r="J360" s="20"/>
      <c r="K360" s="87" t="s">
        <v>672</v>
      </c>
      <c r="L360" s="3"/>
      <c r="M360" s="8"/>
      <c r="N360" s="20"/>
      <c r="O360" s="21"/>
      <c r="P360" s="20"/>
      <c r="Q360" s="87" t="s">
        <v>672</v>
      </c>
      <c r="R360" s="3"/>
    </row>
    <row r="361" spans="1:18">
      <c r="A361" s="14"/>
      <c r="B361" s="9"/>
      <c r="C361" s="10"/>
      <c r="D361" s="9"/>
      <c r="E361" s="9"/>
      <c r="F361" s="9"/>
      <c r="G361" s="3"/>
      <c r="H361" s="20"/>
      <c r="I361" s="21"/>
      <c r="J361" s="20"/>
      <c r="K361" s="13"/>
      <c r="L361" s="3"/>
      <c r="M361" s="8"/>
      <c r="N361" s="8"/>
      <c r="O361" s="21"/>
      <c r="P361" s="3"/>
      <c r="Q361" s="3"/>
      <c r="R361" s="3"/>
    </row>
    <row r="362" spans="1:18">
      <c r="A362" s="14"/>
      <c r="B362" s="11"/>
      <c r="C362" s="12"/>
      <c r="D362" s="11"/>
      <c r="E362" s="11"/>
      <c r="F362" s="11"/>
      <c r="G362" s="3"/>
      <c r="H362" s="20"/>
      <c r="I362" s="21"/>
      <c r="J362" s="20"/>
      <c r="K362" s="13"/>
      <c r="L362" s="3"/>
      <c r="M362" s="8"/>
      <c r="N362" s="8"/>
      <c r="O362" s="21"/>
      <c r="P362" s="3"/>
      <c r="Q362" s="3"/>
      <c r="R362" s="3"/>
    </row>
    <row r="363" spans="1:18">
      <c r="A363" s="14"/>
      <c r="B363" s="6"/>
      <c r="C363" s="6"/>
      <c r="D363" s="6"/>
      <c r="E363" s="6"/>
      <c r="F363" s="6"/>
      <c r="G363" s="3"/>
      <c r="H363" s="15"/>
      <c r="I363" s="15"/>
      <c r="J363" s="15"/>
      <c r="K363" s="5"/>
      <c r="L363" s="15"/>
      <c r="M363" s="8"/>
      <c r="N363" s="15"/>
      <c r="O363" s="15"/>
      <c r="P363" s="15"/>
      <c r="Q363" s="15"/>
      <c r="R363" s="15"/>
    </row>
    <row r="364" spans="1:18">
      <c r="A364" s="14"/>
      <c r="B364" s="150" t="str">
        <f>UPPER(H364)</f>
        <v>PIPELINE &amp; SYSTEM</v>
      </c>
      <c r="C364" s="141"/>
      <c r="D364" s="141"/>
      <c r="E364" s="141"/>
      <c r="F364" s="141"/>
      <c r="G364" s="28"/>
      <c r="H364" s="148" t="s">
        <v>387</v>
      </c>
      <c r="I364" s="141"/>
      <c r="J364" s="141"/>
      <c r="K364" s="141"/>
      <c r="L364" s="141"/>
      <c r="M364" s="29"/>
      <c r="N364" s="149" t="s">
        <v>860</v>
      </c>
      <c r="O364" s="141"/>
      <c r="P364" s="141"/>
      <c r="Q364" s="141"/>
      <c r="R364" s="141"/>
    </row>
    <row r="365" spans="1:18">
      <c r="A365" s="14"/>
      <c r="B365" s="9"/>
      <c r="C365" s="10"/>
      <c r="D365" s="9"/>
      <c r="E365" s="9"/>
      <c r="F365" s="9"/>
      <c r="G365" s="3"/>
      <c r="H365" s="20"/>
      <c r="I365" s="21"/>
      <c r="J365" s="20"/>
      <c r="K365" s="13"/>
      <c r="L365" s="3"/>
      <c r="M365" s="8"/>
      <c r="N365" s="3"/>
      <c r="O365" s="8"/>
      <c r="P365" s="3"/>
      <c r="Q365" s="3"/>
      <c r="R365" s="3"/>
    </row>
    <row r="366" spans="1:18">
      <c r="A366" s="14"/>
      <c r="B366" s="9"/>
      <c r="C366" s="10" t="str">
        <f t="shared" ref="C366:C369" si="55">UPPER(I366)</f>
        <v>PIPELINE SUPERVISOR</v>
      </c>
      <c r="D366" s="9"/>
      <c r="E366" s="9" t="str">
        <f t="shared" ref="E366:E369" si="56">UPPER(K366)</f>
        <v>HYUNKYU PARK</v>
      </c>
      <c r="F366" s="9"/>
      <c r="G366" s="3"/>
      <c r="H366" s="20"/>
      <c r="I366" s="21" t="s">
        <v>388</v>
      </c>
      <c r="J366" s="20"/>
      <c r="K366" s="13" t="s">
        <v>389</v>
      </c>
      <c r="L366" s="3"/>
      <c r="M366" s="8"/>
      <c r="N366" s="3"/>
      <c r="O366" s="8" t="s">
        <v>861</v>
      </c>
      <c r="P366" s="3"/>
      <c r="Q366" s="3" t="s">
        <v>862</v>
      </c>
      <c r="R366" s="3"/>
    </row>
    <row r="367" spans="1:18">
      <c r="A367" s="14"/>
      <c r="B367" s="9"/>
      <c r="C367" s="10" t="str">
        <f t="shared" si="55"/>
        <v/>
      </c>
      <c r="D367" s="9"/>
      <c r="E367" s="9" t="str">
        <f t="shared" si="56"/>
        <v/>
      </c>
      <c r="F367" s="9"/>
      <c r="G367" s="3"/>
      <c r="H367" s="20"/>
      <c r="I367" s="21"/>
      <c r="J367" s="20"/>
      <c r="K367" s="13"/>
      <c r="L367" s="3"/>
      <c r="M367" s="8"/>
      <c r="N367" s="3"/>
      <c r="O367" s="8"/>
      <c r="P367" s="3"/>
      <c r="Q367" s="3"/>
      <c r="R367" s="3"/>
    </row>
    <row r="368" spans="1:18">
      <c r="A368" s="14"/>
      <c r="B368" s="9"/>
      <c r="C368" s="10" t="str">
        <f t="shared" si="55"/>
        <v>SYSTEM MANAGER</v>
      </c>
      <c r="D368" s="9"/>
      <c r="E368" s="9" t="str">
        <f t="shared" si="56"/>
        <v>JIWOONG RYU</v>
      </c>
      <c r="F368" s="9"/>
      <c r="G368" s="3"/>
      <c r="H368" s="20"/>
      <c r="I368" s="21" t="s">
        <v>390</v>
      </c>
      <c r="J368" s="20"/>
      <c r="K368" s="13" t="s">
        <v>391</v>
      </c>
      <c r="L368" s="3"/>
      <c r="M368" s="8"/>
      <c r="N368" s="3"/>
      <c r="O368" s="8" t="s">
        <v>863</v>
      </c>
      <c r="P368" s="3"/>
      <c r="Q368" s="3" t="s">
        <v>864</v>
      </c>
      <c r="R368" s="3"/>
    </row>
    <row r="369" spans="1:18">
      <c r="A369" s="14"/>
      <c r="B369" s="9"/>
      <c r="C369" s="10" t="str">
        <f t="shared" si="55"/>
        <v/>
      </c>
      <c r="D369" s="9"/>
      <c r="E369" s="9" t="str">
        <f t="shared" si="56"/>
        <v/>
      </c>
      <c r="F369" s="9"/>
      <c r="G369" s="3"/>
      <c r="H369" s="20"/>
      <c r="I369" s="21"/>
      <c r="J369" s="20"/>
      <c r="K369" s="13"/>
      <c r="L369" s="3"/>
      <c r="M369" s="8"/>
      <c r="N369" s="8"/>
      <c r="O369" s="21"/>
      <c r="P369" s="3"/>
      <c r="Q369" s="3"/>
      <c r="R369" s="3"/>
    </row>
    <row r="370" spans="1:18">
      <c r="A370" s="14"/>
      <c r="B370" s="150" t="str">
        <f>UPPER(H370)</f>
        <v>MANAGEMENT</v>
      </c>
      <c r="C370" s="141"/>
      <c r="D370" s="141"/>
      <c r="E370" s="141"/>
      <c r="F370" s="141"/>
      <c r="G370" s="28"/>
      <c r="H370" s="148" t="s">
        <v>392</v>
      </c>
      <c r="I370" s="141"/>
      <c r="J370" s="141"/>
      <c r="K370" s="141"/>
      <c r="L370" s="141"/>
      <c r="M370" s="29"/>
      <c r="N370" s="149" t="s">
        <v>865</v>
      </c>
      <c r="O370" s="141"/>
      <c r="P370" s="141"/>
      <c r="Q370" s="141"/>
      <c r="R370" s="141"/>
    </row>
    <row r="371" spans="1:18">
      <c r="A371" s="14"/>
      <c r="B371" s="9"/>
      <c r="C371" s="10"/>
      <c r="D371" s="9"/>
      <c r="E371" s="9"/>
      <c r="F371" s="9"/>
      <c r="G371" s="3"/>
      <c r="H371" s="20"/>
      <c r="I371" s="21"/>
      <c r="J371" s="20"/>
      <c r="K371" s="3"/>
      <c r="L371" s="3"/>
      <c r="M371" s="3"/>
      <c r="N371" s="3"/>
      <c r="O371" s="8"/>
      <c r="P371" s="3"/>
      <c r="Q371" s="3"/>
      <c r="R371" s="3"/>
    </row>
    <row r="372" spans="1:18">
      <c r="A372" s="14"/>
      <c r="B372" s="9"/>
      <c r="C372" s="10" t="str">
        <f>UPPER(I372)</f>
        <v>STUDIO MANAGEMENT</v>
      </c>
      <c r="D372" s="9"/>
      <c r="E372" s="9" t="str">
        <f>UPPER(K372)</f>
        <v>SANGWAN SEOK</v>
      </c>
      <c r="F372" s="9"/>
      <c r="G372" s="3"/>
      <c r="H372" s="20"/>
      <c r="I372" s="21" t="s">
        <v>393</v>
      </c>
      <c r="J372" s="20"/>
      <c r="K372" s="3" t="s">
        <v>394</v>
      </c>
      <c r="L372" s="3"/>
      <c r="M372" s="3"/>
      <c r="N372" s="3"/>
      <c r="O372" s="8" t="s">
        <v>866</v>
      </c>
      <c r="P372" s="3"/>
      <c r="Q372" s="3" t="s">
        <v>867</v>
      </c>
      <c r="R372" s="3"/>
    </row>
    <row r="373" spans="1:18">
      <c r="A373" s="14"/>
      <c r="B373" s="146" t="str">
        <f>UPPER(H373)</f>
        <v/>
      </c>
      <c r="C373" s="141"/>
      <c r="D373" s="141"/>
      <c r="E373" s="141"/>
      <c r="F373" s="141"/>
      <c r="G373" s="3"/>
      <c r="H373" s="20"/>
      <c r="I373" s="21"/>
      <c r="J373" s="20"/>
      <c r="K373" s="93"/>
      <c r="L373" s="3"/>
      <c r="M373" s="3"/>
      <c r="N373" s="3"/>
      <c r="O373" s="8"/>
      <c r="P373" s="3"/>
      <c r="Q373" s="3"/>
      <c r="R373" s="3"/>
    </row>
    <row r="374" spans="1:18">
      <c r="A374" s="14"/>
      <c r="B374" s="9"/>
      <c r="C374" s="10" t="str">
        <f t="shared" ref="C374:C378" si="57">UPPER(I374)</f>
        <v>SUPERVISING PRODUCER</v>
      </c>
      <c r="D374" s="9"/>
      <c r="E374" s="9" t="str">
        <f t="shared" ref="E374:E378" si="58">UPPER(K374)</f>
        <v>JARIN SOHN</v>
      </c>
      <c r="F374" s="9"/>
      <c r="G374" s="3"/>
      <c r="H374" s="20"/>
      <c r="I374" s="21" t="s">
        <v>395</v>
      </c>
      <c r="J374" s="20"/>
      <c r="K374" s="93" t="s">
        <v>396</v>
      </c>
      <c r="L374" s="3"/>
      <c r="M374" s="8"/>
      <c r="N374" s="3"/>
      <c r="O374" s="8" t="s">
        <v>868</v>
      </c>
      <c r="P374" s="3"/>
      <c r="Q374" s="3" t="s">
        <v>869</v>
      </c>
      <c r="R374" s="3"/>
    </row>
    <row r="375" spans="1:18">
      <c r="A375" s="14"/>
      <c r="B375" s="9"/>
      <c r="C375" s="10" t="str">
        <f t="shared" si="57"/>
        <v/>
      </c>
      <c r="D375" s="9"/>
      <c r="E375" s="9" t="str">
        <f t="shared" si="58"/>
        <v/>
      </c>
      <c r="F375" s="9"/>
      <c r="G375" s="3"/>
      <c r="H375" s="20"/>
      <c r="I375" s="21"/>
      <c r="J375" s="20"/>
      <c r="K375" s="93"/>
      <c r="L375" s="3"/>
      <c r="M375" s="8"/>
      <c r="N375" s="3"/>
      <c r="O375" s="8"/>
      <c r="P375" s="3"/>
      <c r="Q375" s="3"/>
      <c r="R375" s="3"/>
    </row>
    <row r="376" spans="1:18">
      <c r="A376" s="14"/>
      <c r="B376" s="6"/>
      <c r="C376" s="10" t="str">
        <f t="shared" si="57"/>
        <v>IP BUSINESS</v>
      </c>
      <c r="D376" s="9"/>
      <c r="E376" s="9" t="str">
        <f t="shared" si="58"/>
        <v>YEOMIN YOON</v>
      </c>
      <c r="F376" s="6"/>
      <c r="G376" s="3"/>
      <c r="H376" s="20"/>
      <c r="I376" s="21" t="s">
        <v>397</v>
      </c>
      <c r="J376" s="20"/>
      <c r="K376" s="93" t="s">
        <v>398</v>
      </c>
      <c r="L376" s="3"/>
      <c r="M376" s="8"/>
      <c r="N376" s="3"/>
      <c r="O376" s="8" t="s">
        <v>870</v>
      </c>
      <c r="P376" s="3"/>
      <c r="Q376" s="3" t="s">
        <v>871</v>
      </c>
      <c r="R376" s="3"/>
    </row>
    <row r="377" spans="1:18">
      <c r="A377" s="14"/>
      <c r="B377" s="9"/>
      <c r="C377" s="10" t="str">
        <f t="shared" si="57"/>
        <v/>
      </c>
      <c r="D377" s="9"/>
      <c r="E377" s="9" t="str">
        <f t="shared" si="58"/>
        <v>SANGWON NAM</v>
      </c>
      <c r="F377" s="9"/>
      <c r="G377" s="3"/>
      <c r="H377" s="20"/>
      <c r="I377" s="21"/>
      <c r="J377" s="20"/>
      <c r="K377" s="93" t="s">
        <v>399</v>
      </c>
      <c r="L377" s="3"/>
      <c r="M377" s="8"/>
      <c r="N377" s="3"/>
      <c r="O377" s="8"/>
      <c r="P377" s="3"/>
      <c r="Q377" s="3" t="s">
        <v>872</v>
      </c>
      <c r="R377" s="3"/>
    </row>
    <row r="378" spans="1:18">
      <c r="A378" s="14"/>
      <c r="B378" s="9"/>
      <c r="C378" s="10" t="str">
        <f t="shared" si="57"/>
        <v/>
      </c>
      <c r="D378" s="9"/>
      <c r="E378" s="9" t="str">
        <f t="shared" si="58"/>
        <v xml:space="preserve">GAHYUN BAIK </v>
      </c>
      <c r="F378" s="9"/>
      <c r="G378" s="3"/>
      <c r="H378" s="20"/>
      <c r="I378" s="21"/>
      <c r="J378" s="20"/>
      <c r="K378" s="93" t="s">
        <v>400</v>
      </c>
      <c r="L378" s="3"/>
      <c r="M378" s="8"/>
      <c r="N378" s="3"/>
      <c r="O378" s="8"/>
      <c r="P378" s="3"/>
      <c r="Q378" s="3" t="s">
        <v>873</v>
      </c>
      <c r="R378" s="3"/>
    </row>
    <row r="379" spans="1:18">
      <c r="A379" s="14"/>
      <c r="B379" s="9"/>
      <c r="C379" s="10"/>
      <c r="D379" s="9"/>
      <c r="E379" s="9"/>
      <c r="F379" s="9"/>
      <c r="G379" s="3"/>
      <c r="H379" s="20"/>
      <c r="I379" s="21"/>
      <c r="J379" s="20"/>
      <c r="K379" s="93" t="s">
        <v>874</v>
      </c>
      <c r="L379" s="3"/>
      <c r="M379" s="8"/>
      <c r="N379" s="3"/>
      <c r="O379" s="8"/>
      <c r="P379" s="3"/>
      <c r="Q379" s="3" t="s">
        <v>875</v>
      </c>
      <c r="R379" s="3"/>
    </row>
    <row r="380" spans="1:18">
      <c r="A380" s="14"/>
      <c r="B380" s="9"/>
      <c r="C380" s="10" t="str">
        <f t="shared" ref="C380:C384" si="59">UPPER(I380)</f>
        <v/>
      </c>
      <c r="D380" s="9"/>
      <c r="E380" s="9" t="str">
        <f t="shared" ref="E380:E384" si="60">UPPER(K380)</f>
        <v/>
      </c>
      <c r="F380" s="9"/>
      <c r="G380" s="3"/>
      <c r="H380" s="20"/>
      <c r="I380" s="21"/>
      <c r="J380" s="20"/>
      <c r="K380" s="3"/>
      <c r="L380" s="3"/>
      <c r="M380" s="8"/>
      <c r="N380" s="3"/>
      <c r="O380" s="8"/>
      <c r="P380" s="3"/>
      <c r="Q380" s="3"/>
      <c r="R380" s="3"/>
    </row>
    <row r="381" spans="1:18">
      <c r="A381" s="14"/>
      <c r="B381" s="9"/>
      <c r="C381" s="10" t="str">
        <f t="shared" si="59"/>
        <v>ACCOUNTING</v>
      </c>
      <c r="D381" s="9"/>
      <c r="E381" s="9" t="str">
        <f t="shared" si="60"/>
        <v>JAEHWAN SHIN</v>
      </c>
      <c r="F381" s="9"/>
      <c r="G381" s="3"/>
      <c r="H381" s="20"/>
      <c r="I381" s="21" t="s">
        <v>401</v>
      </c>
      <c r="J381" s="20"/>
      <c r="K381" s="3" t="s">
        <v>402</v>
      </c>
      <c r="L381" s="3"/>
      <c r="M381" s="8"/>
      <c r="N381" s="3"/>
      <c r="O381" s="8" t="s">
        <v>876</v>
      </c>
      <c r="P381" s="3"/>
      <c r="Q381" s="3" t="s">
        <v>877</v>
      </c>
      <c r="R381" s="3"/>
    </row>
    <row r="382" spans="1:18">
      <c r="A382" s="14"/>
      <c r="B382" s="9"/>
      <c r="C382" s="10" t="str">
        <f t="shared" si="59"/>
        <v/>
      </c>
      <c r="D382" s="9"/>
      <c r="E382" s="9" t="str">
        <f t="shared" si="60"/>
        <v/>
      </c>
      <c r="F382" s="9"/>
      <c r="G382" s="3"/>
      <c r="H382" s="20"/>
      <c r="I382" s="21"/>
      <c r="J382" s="20"/>
      <c r="K382" s="3"/>
      <c r="L382" s="3"/>
      <c r="M382" s="8"/>
      <c r="N382" s="8"/>
      <c r="O382" s="21"/>
      <c r="P382" s="3"/>
      <c r="Q382" s="3"/>
      <c r="R382" s="3"/>
    </row>
    <row r="383" spans="1:18">
      <c r="A383" s="14"/>
      <c r="B383" s="9"/>
      <c r="C383" s="10" t="str">
        <f t="shared" si="59"/>
        <v>HUMAN RESOURCES</v>
      </c>
      <c r="D383" s="9"/>
      <c r="E383" s="9" t="str">
        <f t="shared" si="60"/>
        <v>JIN KIM</v>
      </c>
      <c r="F383" s="9"/>
      <c r="G383" s="3"/>
      <c r="H383" s="20"/>
      <c r="I383" s="21" t="s">
        <v>403</v>
      </c>
      <c r="J383" s="20"/>
      <c r="K383" s="3" t="s">
        <v>404</v>
      </c>
      <c r="L383" s="3"/>
      <c r="M383" s="8"/>
      <c r="N383" s="8"/>
      <c r="O383" s="8" t="s">
        <v>878</v>
      </c>
      <c r="P383" s="3"/>
      <c r="Q383" s="3" t="s">
        <v>879</v>
      </c>
      <c r="R383" s="3"/>
    </row>
    <row r="384" spans="1:18">
      <c r="A384" s="14"/>
      <c r="B384" s="9"/>
      <c r="C384" s="10" t="str">
        <f t="shared" si="59"/>
        <v/>
      </c>
      <c r="D384" s="9"/>
      <c r="E384" s="9" t="str">
        <f t="shared" si="60"/>
        <v/>
      </c>
      <c r="F384" s="9"/>
      <c r="G384" s="3"/>
      <c r="H384" s="20"/>
      <c r="I384" s="21"/>
      <c r="J384" s="20"/>
      <c r="K384" s="3"/>
      <c r="L384" s="20"/>
      <c r="M384" s="8"/>
      <c r="N384" s="20"/>
      <c r="O384" s="21"/>
      <c r="P384" s="20"/>
      <c r="Q384" s="20"/>
      <c r="R384" s="20"/>
    </row>
    <row r="385" spans="1:18">
      <c r="A385" s="14"/>
      <c r="B385" s="11"/>
      <c r="C385" s="12"/>
      <c r="D385" s="11"/>
      <c r="E385" s="11"/>
      <c r="F385" s="11"/>
      <c r="G385" s="3"/>
      <c r="H385" s="20"/>
      <c r="I385" s="21"/>
      <c r="J385" s="20"/>
      <c r="K385" s="13"/>
      <c r="L385" s="3"/>
      <c r="M385" s="3"/>
      <c r="N385" s="3"/>
      <c r="O385" s="21"/>
      <c r="P385" s="3"/>
      <c r="Q385" s="3"/>
      <c r="R385" s="3"/>
    </row>
    <row r="386" spans="1:18">
      <c r="A386" s="14"/>
      <c r="B386" s="42"/>
      <c r="C386" s="10" t="str">
        <f>UPPER(I386)</f>
        <v/>
      </c>
      <c r="D386" s="9"/>
      <c r="E386" s="9" t="str">
        <f>UPPER(K386)</f>
        <v/>
      </c>
      <c r="F386" s="42"/>
      <c r="G386" s="3"/>
      <c r="H386" s="21"/>
      <c r="I386" s="21"/>
      <c r="J386" s="21"/>
      <c r="K386" s="13"/>
      <c r="L386" s="12"/>
      <c r="M386" s="12"/>
      <c r="N386" s="12"/>
      <c r="O386" s="21"/>
      <c r="P386" s="3"/>
      <c r="Q386" s="3"/>
      <c r="R386" s="3"/>
    </row>
    <row r="387" spans="1:18">
      <c r="A387" s="14"/>
      <c r="B387" s="150" t="str">
        <f t="shared" ref="B387:B388" si="61">UPPER(H387)</f>
        <v>ADDITIONAL ARTISTS</v>
      </c>
      <c r="C387" s="141"/>
      <c r="D387" s="141"/>
      <c r="E387" s="141"/>
      <c r="F387" s="141"/>
      <c r="G387" s="28"/>
      <c r="H387" s="148" t="s">
        <v>405</v>
      </c>
      <c r="I387" s="141"/>
      <c r="J387" s="141"/>
      <c r="K387" s="141"/>
      <c r="L387" s="141"/>
      <c r="M387" s="43"/>
      <c r="N387" s="149" t="s">
        <v>880</v>
      </c>
      <c r="O387" s="141"/>
      <c r="P387" s="141"/>
      <c r="Q387" s="141"/>
      <c r="R387" s="141"/>
    </row>
    <row r="388" spans="1:18">
      <c r="A388" s="14"/>
      <c r="B388" s="165" t="str">
        <f t="shared" si="61"/>
        <v>YGGDRAZIL GROUP PUBLIC CO., LTD.</v>
      </c>
      <c r="C388" s="141"/>
      <c r="D388" s="141"/>
      <c r="E388" s="141"/>
      <c r="F388" s="141"/>
      <c r="G388" s="44"/>
      <c r="H388" s="166" t="s">
        <v>406</v>
      </c>
      <c r="I388" s="141"/>
      <c r="J388" s="141"/>
      <c r="K388" s="141"/>
      <c r="L388" s="141"/>
      <c r="M388" s="45"/>
      <c r="N388" s="166" t="s">
        <v>406</v>
      </c>
      <c r="O388" s="141"/>
      <c r="P388" s="141"/>
      <c r="Q388" s="141"/>
      <c r="R388" s="141"/>
    </row>
    <row r="389" spans="1:18">
      <c r="A389" s="14"/>
      <c r="B389" s="9"/>
      <c r="C389" s="10"/>
      <c r="D389" s="9"/>
      <c r="E389" s="9"/>
      <c r="F389" s="9"/>
      <c r="G389" s="3"/>
      <c r="H389" s="47"/>
      <c r="I389" s="21"/>
      <c r="J389" s="20"/>
      <c r="K389" s="3"/>
      <c r="L389" s="3"/>
      <c r="M389" s="12"/>
      <c r="N389" s="47"/>
      <c r="O389" s="21"/>
      <c r="P389" s="20"/>
      <c r="Q389" s="3"/>
      <c r="R389" s="3"/>
    </row>
    <row r="390" spans="1:18">
      <c r="A390" s="14"/>
      <c r="B390" s="9"/>
      <c r="C390" s="10" t="str">
        <f>UPPER(I390)</f>
        <v>ANIMATION DIRECTOR</v>
      </c>
      <c r="D390" s="9"/>
      <c r="E390" s="9" t="str">
        <f>UPPER(K390)</f>
        <v>PAIRATCH LERTKAJORNWONG</v>
      </c>
      <c r="F390" s="9"/>
      <c r="G390" s="3"/>
      <c r="H390" s="47"/>
      <c r="I390" s="21" t="s">
        <v>291</v>
      </c>
      <c r="J390" s="20"/>
      <c r="K390" s="3" t="s">
        <v>407</v>
      </c>
      <c r="L390" s="3"/>
      <c r="M390" s="12"/>
      <c r="N390" s="47"/>
      <c r="O390" s="21" t="s">
        <v>291</v>
      </c>
      <c r="P390" s="20"/>
      <c r="Q390" s="3" t="s">
        <v>407</v>
      </c>
      <c r="R390" s="3"/>
    </row>
    <row r="391" spans="1:18">
      <c r="A391" s="14"/>
      <c r="B391" s="6"/>
      <c r="C391" s="6"/>
      <c r="D391" s="6"/>
      <c r="E391" s="6"/>
      <c r="F391" s="6"/>
      <c r="G391" s="3"/>
      <c r="H391" s="15"/>
      <c r="I391" s="15"/>
      <c r="J391" s="15"/>
      <c r="K391" s="5"/>
      <c r="L391" s="5"/>
      <c r="M391" s="12"/>
      <c r="N391" s="15"/>
      <c r="O391" s="15"/>
      <c r="P391" s="15"/>
      <c r="Q391" s="5"/>
      <c r="R391" s="5"/>
    </row>
    <row r="392" spans="1:18">
      <c r="A392" s="14"/>
      <c r="B392" s="42"/>
      <c r="C392" s="10" t="str">
        <f t="shared" ref="C392:C408" si="62">UPPER(I392)</f>
        <v>ASSET SUPERVISOR</v>
      </c>
      <c r="D392" s="9"/>
      <c r="E392" s="9" t="str">
        <f t="shared" ref="E392:E409" si="63">UPPER(K392)</f>
        <v>PANUWAT BOVORNSIRISARP</v>
      </c>
      <c r="F392" s="42"/>
      <c r="G392" s="3"/>
      <c r="H392" s="21"/>
      <c r="I392" s="21" t="s">
        <v>209</v>
      </c>
      <c r="J392" s="21"/>
      <c r="K392" s="2" t="s">
        <v>408</v>
      </c>
      <c r="L392" s="8"/>
      <c r="M392" s="12"/>
      <c r="N392" s="21"/>
      <c r="O392" s="21" t="s">
        <v>209</v>
      </c>
      <c r="P392" s="21"/>
      <c r="Q392" s="2" t="s">
        <v>408</v>
      </c>
      <c r="R392" s="8"/>
    </row>
    <row r="393" spans="1:18">
      <c r="A393" s="14"/>
      <c r="B393" s="42"/>
      <c r="C393" s="10" t="str">
        <f t="shared" si="62"/>
        <v>LEAD ASSET</v>
      </c>
      <c r="D393" s="9"/>
      <c r="E393" s="9" t="str">
        <f t="shared" si="63"/>
        <v>PRADTANA TARWONG</v>
      </c>
      <c r="F393" s="42"/>
      <c r="G393" s="3"/>
      <c r="H393" s="21"/>
      <c r="I393" s="21" t="s">
        <v>409</v>
      </c>
      <c r="J393" s="21"/>
      <c r="K393" s="2" t="s">
        <v>410</v>
      </c>
      <c r="L393" s="8"/>
      <c r="M393" s="12"/>
      <c r="N393" s="21"/>
      <c r="O393" s="21" t="s">
        <v>409</v>
      </c>
      <c r="P393" s="21"/>
      <c r="Q393" s="2" t="s">
        <v>410</v>
      </c>
      <c r="R393" s="8"/>
    </row>
    <row r="394" spans="1:18">
      <c r="A394" s="14"/>
      <c r="B394" s="42"/>
      <c r="C394" s="10" t="str">
        <f t="shared" si="62"/>
        <v>ASSET ARTIST</v>
      </c>
      <c r="D394" s="9"/>
      <c r="E394" s="9" t="str">
        <f t="shared" si="63"/>
        <v>PUCHIT YOTWICHAI</v>
      </c>
      <c r="F394" s="42"/>
      <c r="G394" s="3"/>
      <c r="H394" s="21"/>
      <c r="I394" s="21" t="s">
        <v>411</v>
      </c>
      <c r="J394" s="21"/>
      <c r="K394" s="2" t="s">
        <v>412</v>
      </c>
      <c r="L394" s="8"/>
      <c r="M394" s="12"/>
      <c r="N394" s="21"/>
      <c r="O394" s="21" t="s">
        <v>411</v>
      </c>
      <c r="P394" s="21"/>
      <c r="Q394" s="2" t="s">
        <v>412</v>
      </c>
      <c r="R394" s="8"/>
    </row>
    <row r="395" spans="1:18">
      <c r="A395" s="14"/>
      <c r="B395" s="42"/>
      <c r="C395" s="10" t="str">
        <f t="shared" si="62"/>
        <v/>
      </c>
      <c r="D395" s="9"/>
      <c r="E395" s="9" t="str">
        <f t="shared" si="63"/>
        <v>RITHIKEAT TEACHO</v>
      </c>
      <c r="F395" s="42"/>
      <c r="G395" s="3"/>
      <c r="H395" s="21"/>
      <c r="I395" s="21"/>
      <c r="J395" s="21"/>
      <c r="K395" s="2" t="s">
        <v>413</v>
      </c>
      <c r="L395" s="8"/>
      <c r="M395" s="12"/>
      <c r="N395" s="21"/>
      <c r="O395" s="21"/>
      <c r="P395" s="21"/>
      <c r="Q395" s="2" t="s">
        <v>413</v>
      </c>
      <c r="R395" s="8"/>
    </row>
    <row r="396" spans="1:18">
      <c r="A396" s="14"/>
      <c r="B396" s="42"/>
      <c r="C396" s="10" t="str">
        <f t="shared" si="62"/>
        <v/>
      </c>
      <c r="D396" s="9"/>
      <c r="E396" s="9" t="str">
        <f t="shared" si="63"/>
        <v>JAKKRIT JAROENSUK</v>
      </c>
      <c r="F396" s="42"/>
      <c r="G396" s="3"/>
      <c r="H396" s="21"/>
      <c r="I396" s="21"/>
      <c r="J396" s="21"/>
      <c r="K396" s="2" t="s">
        <v>414</v>
      </c>
      <c r="L396" s="8"/>
      <c r="M396" s="12"/>
      <c r="N396" s="21"/>
      <c r="O396" s="21"/>
      <c r="P396" s="21"/>
      <c r="Q396" s="2" t="s">
        <v>414</v>
      </c>
      <c r="R396" s="8"/>
    </row>
    <row r="397" spans="1:18">
      <c r="A397" s="14"/>
      <c r="B397" s="42"/>
      <c r="C397" s="10" t="str">
        <f t="shared" si="62"/>
        <v/>
      </c>
      <c r="D397" s="9"/>
      <c r="E397" s="9" t="str">
        <f t="shared" si="63"/>
        <v>NAWAPAS MAINKOON</v>
      </c>
      <c r="F397" s="42"/>
      <c r="G397" s="3"/>
      <c r="H397" s="21"/>
      <c r="I397" s="21"/>
      <c r="J397" s="21"/>
      <c r="K397" s="2" t="s">
        <v>415</v>
      </c>
      <c r="L397" s="8"/>
      <c r="M397" s="12"/>
      <c r="N397" s="21"/>
      <c r="O397" s="21"/>
      <c r="P397" s="21"/>
      <c r="Q397" s="2" t="s">
        <v>415</v>
      </c>
      <c r="R397" s="8"/>
    </row>
    <row r="398" spans="1:18">
      <c r="A398" s="14"/>
      <c r="B398" s="42"/>
      <c r="C398" s="10" t="str">
        <f t="shared" si="62"/>
        <v/>
      </c>
      <c r="D398" s="9"/>
      <c r="E398" s="9" t="str">
        <f t="shared" si="63"/>
        <v>THARIT BANCHANURAT</v>
      </c>
      <c r="F398" s="42"/>
      <c r="G398" s="3"/>
      <c r="H398" s="21"/>
      <c r="I398" s="21"/>
      <c r="J398" s="20"/>
      <c r="K398" s="2" t="s">
        <v>416</v>
      </c>
      <c r="L398" s="8"/>
      <c r="M398" s="12"/>
      <c r="N398" s="21"/>
      <c r="O398" s="21"/>
      <c r="P398" s="20"/>
      <c r="Q398" s="2" t="s">
        <v>416</v>
      </c>
      <c r="R398" s="8"/>
    </row>
    <row r="399" spans="1:18">
      <c r="A399" s="14"/>
      <c r="B399" s="42"/>
      <c r="C399" s="10" t="str">
        <f t="shared" si="62"/>
        <v/>
      </c>
      <c r="D399" s="9"/>
      <c r="E399" s="9" t="str">
        <f t="shared" si="63"/>
        <v>PALINEE ANURATANAPRASIT</v>
      </c>
      <c r="F399" s="42"/>
      <c r="G399" s="3"/>
      <c r="H399" s="21"/>
      <c r="I399" s="21"/>
      <c r="J399" s="20"/>
      <c r="K399" s="2" t="s">
        <v>417</v>
      </c>
      <c r="L399" s="8"/>
      <c r="M399" s="12"/>
      <c r="N399" s="21"/>
      <c r="O399" s="21"/>
      <c r="P399" s="20"/>
      <c r="Q399" s="2" t="s">
        <v>417</v>
      </c>
      <c r="R399" s="8"/>
    </row>
    <row r="400" spans="1:18">
      <c r="A400" s="14"/>
      <c r="B400" s="42"/>
      <c r="C400" s="10" t="str">
        <f t="shared" si="62"/>
        <v/>
      </c>
      <c r="D400" s="9"/>
      <c r="E400" s="9" t="str">
        <f t="shared" si="63"/>
        <v>PHARUNYOO PROMKORN</v>
      </c>
      <c r="F400" s="42"/>
      <c r="G400" s="3"/>
      <c r="H400" s="21"/>
      <c r="I400" s="21"/>
      <c r="J400" s="20"/>
      <c r="K400" s="2" t="s">
        <v>418</v>
      </c>
      <c r="L400" s="8"/>
      <c r="M400" s="12"/>
      <c r="N400" s="21"/>
      <c r="O400" s="21"/>
      <c r="P400" s="20"/>
      <c r="Q400" s="2" t="s">
        <v>418</v>
      </c>
      <c r="R400" s="8"/>
    </row>
    <row r="401" spans="1:18">
      <c r="A401" s="14"/>
      <c r="B401" s="42"/>
      <c r="C401" s="10" t="str">
        <f t="shared" si="62"/>
        <v/>
      </c>
      <c r="D401" s="9"/>
      <c r="E401" s="9" t="str">
        <f t="shared" si="63"/>
        <v>CHANANKARN KANTA</v>
      </c>
      <c r="F401" s="42"/>
      <c r="G401" s="3"/>
      <c r="H401" s="21"/>
      <c r="I401" s="21"/>
      <c r="J401" s="20"/>
      <c r="K401" s="2" t="s">
        <v>419</v>
      </c>
      <c r="L401" s="8"/>
      <c r="M401" s="12"/>
      <c r="N401" s="21"/>
      <c r="O401" s="21"/>
      <c r="P401" s="20"/>
      <c r="Q401" s="2" t="s">
        <v>419</v>
      </c>
      <c r="R401" s="8"/>
    </row>
    <row r="402" spans="1:18">
      <c r="A402" s="14"/>
      <c r="B402" s="42"/>
      <c r="C402" s="10" t="str">
        <f t="shared" si="62"/>
        <v/>
      </c>
      <c r="D402" s="9"/>
      <c r="E402" s="9" t="str">
        <f t="shared" si="63"/>
        <v>CHANAPAT THUETRONG</v>
      </c>
      <c r="F402" s="42"/>
      <c r="G402" s="3"/>
      <c r="H402" s="21"/>
      <c r="I402" s="21"/>
      <c r="J402" s="20"/>
      <c r="K402" s="2" t="s">
        <v>420</v>
      </c>
      <c r="L402" s="8"/>
      <c r="M402" s="12"/>
      <c r="N402" s="21"/>
      <c r="O402" s="21"/>
      <c r="P402" s="20"/>
      <c r="Q402" s="2" t="s">
        <v>420</v>
      </c>
      <c r="R402" s="8"/>
    </row>
    <row r="403" spans="1:18">
      <c r="A403" s="14"/>
      <c r="B403" s="42"/>
      <c r="C403" s="10" t="str">
        <f t="shared" si="62"/>
        <v/>
      </c>
      <c r="D403" s="9"/>
      <c r="E403" s="9" t="str">
        <f t="shared" si="63"/>
        <v>TARIGAN SUKONTAGON</v>
      </c>
      <c r="F403" s="42"/>
      <c r="G403" s="3"/>
      <c r="H403" s="21"/>
      <c r="I403" s="21"/>
      <c r="J403" s="20"/>
      <c r="K403" s="2" t="s">
        <v>421</v>
      </c>
      <c r="L403" s="8"/>
      <c r="M403" s="12"/>
      <c r="N403" s="21"/>
      <c r="O403" s="21"/>
      <c r="P403" s="20"/>
      <c r="Q403" s="2" t="s">
        <v>421</v>
      </c>
      <c r="R403" s="8"/>
    </row>
    <row r="404" spans="1:18">
      <c r="A404" s="14"/>
      <c r="B404" s="42"/>
      <c r="C404" s="10" t="str">
        <f t="shared" si="62"/>
        <v/>
      </c>
      <c r="D404" s="9"/>
      <c r="E404" s="9" t="str">
        <f t="shared" si="63"/>
        <v>WATCHARAPOL PANYAPITAKKUL</v>
      </c>
      <c r="F404" s="42"/>
      <c r="G404" s="3"/>
      <c r="H404" s="21"/>
      <c r="I404" s="21"/>
      <c r="J404" s="20"/>
      <c r="K404" s="2" t="s">
        <v>422</v>
      </c>
      <c r="L404" s="8"/>
      <c r="M404" s="12"/>
      <c r="N404" s="21"/>
      <c r="O404" s="21"/>
      <c r="P404" s="20"/>
      <c r="Q404" s="2" t="s">
        <v>422</v>
      </c>
      <c r="R404" s="8"/>
    </row>
    <row r="405" spans="1:18">
      <c r="A405" s="14"/>
      <c r="B405" s="42"/>
      <c r="C405" s="10" t="str">
        <f t="shared" si="62"/>
        <v/>
      </c>
      <c r="D405" s="9"/>
      <c r="E405" s="9" t="str">
        <f t="shared" si="63"/>
        <v>PRAPABHORN POOMSIRI</v>
      </c>
      <c r="F405" s="42"/>
      <c r="G405" s="3"/>
      <c r="H405" s="21"/>
      <c r="I405" s="21"/>
      <c r="J405" s="20"/>
      <c r="K405" s="2" t="s">
        <v>423</v>
      </c>
      <c r="L405" s="8"/>
      <c r="M405" s="12"/>
      <c r="N405" s="21"/>
      <c r="O405" s="21"/>
      <c r="P405" s="20"/>
      <c r="Q405" s="2" t="s">
        <v>423</v>
      </c>
      <c r="R405" s="8"/>
    </row>
    <row r="406" spans="1:18">
      <c r="A406" s="14"/>
      <c r="B406" s="42"/>
      <c r="C406" s="10" t="str">
        <f t="shared" si="62"/>
        <v/>
      </c>
      <c r="D406" s="9"/>
      <c r="E406" s="9" t="str">
        <f t="shared" si="63"/>
        <v>BAVORNSAK UDOMCHIMPLEE</v>
      </c>
      <c r="F406" s="42"/>
      <c r="G406" s="3"/>
      <c r="H406" s="21"/>
      <c r="I406" s="21"/>
      <c r="J406" s="20"/>
      <c r="K406" s="2" t="s">
        <v>424</v>
      </c>
      <c r="L406" s="8"/>
      <c r="M406" s="12"/>
      <c r="N406" s="21"/>
      <c r="O406" s="21"/>
      <c r="P406" s="20"/>
      <c r="Q406" s="2" t="s">
        <v>424</v>
      </c>
      <c r="R406" s="8"/>
    </row>
    <row r="407" spans="1:18">
      <c r="A407" s="14"/>
      <c r="B407" s="42"/>
      <c r="C407" s="10" t="str">
        <f t="shared" si="62"/>
        <v/>
      </c>
      <c r="D407" s="9"/>
      <c r="E407" s="9" t="str">
        <f t="shared" si="63"/>
        <v/>
      </c>
      <c r="F407" s="42"/>
      <c r="G407" s="3"/>
      <c r="H407" s="21"/>
      <c r="I407" s="21"/>
      <c r="J407" s="20"/>
      <c r="K407" s="3"/>
      <c r="L407" s="8"/>
      <c r="M407" s="12"/>
      <c r="N407" s="12"/>
      <c r="O407" s="21"/>
      <c r="P407" s="3"/>
      <c r="Q407" s="3"/>
      <c r="R407" s="3"/>
    </row>
    <row r="408" spans="1:18">
      <c r="A408" s="14"/>
      <c r="B408" s="11"/>
      <c r="C408" s="12" t="str">
        <f t="shared" si="62"/>
        <v/>
      </c>
      <c r="D408" s="11"/>
      <c r="E408" s="11" t="str">
        <f t="shared" si="63"/>
        <v/>
      </c>
      <c r="F408" s="11"/>
      <c r="G408" s="3"/>
      <c r="H408" s="20"/>
      <c r="I408" s="21"/>
      <c r="J408" s="20"/>
      <c r="K408" s="13"/>
      <c r="L408" s="3"/>
      <c r="M408" s="3"/>
      <c r="N408" s="3"/>
      <c r="O408" s="21"/>
      <c r="P408" s="3"/>
      <c r="Q408" s="3"/>
      <c r="R408" s="3"/>
    </row>
    <row r="409" spans="1:18">
      <c r="A409" s="14"/>
      <c r="B409" s="9" t="str">
        <f t="shared" ref="B409:C409" si="64">UPPER(H409)</f>
        <v/>
      </c>
      <c r="C409" s="10" t="str">
        <f t="shared" si="64"/>
        <v/>
      </c>
      <c r="D409" s="9"/>
      <c r="E409" s="9" t="str">
        <f t="shared" si="63"/>
        <v/>
      </c>
      <c r="F409" s="9"/>
      <c r="G409" s="3"/>
      <c r="H409" s="20"/>
      <c r="I409" s="21"/>
      <c r="J409" s="20"/>
      <c r="K409" s="13"/>
      <c r="L409" s="3"/>
      <c r="M409" s="8"/>
      <c r="N409" s="8"/>
      <c r="O409" s="21"/>
      <c r="P409" s="3"/>
      <c r="Q409" s="3"/>
      <c r="R409" s="3"/>
    </row>
    <row r="410" spans="1:18">
      <c r="A410" s="14"/>
      <c r="B410" s="150" t="str">
        <f>UPPER(H410)</f>
        <v>VOICE RECORDING</v>
      </c>
      <c r="C410" s="141"/>
      <c r="D410" s="141"/>
      <c r="E410" s="141"/>
      <c r="F410" s="141"/>
      <c r="G410" s="28"/>
      <c r="H410" s="148" t="s">
        <v>425</v>
      </c>
      <c r="I410" s="141"/>
      <c r="J410" s="141"/>
      <c r="K410" s="141"/>
      <c r="L410" s="141"/>
      <c r="M410" s="29"/>
      <c r="N410" s="149" t="s">
        <v>881</v>
      </c>
      <c r="O410" s="141"/>
      <c r="P410" s="141"/>
      <c r="Q410" s="141"/>
      <c r="R410" s="141"/>
    </row>
    <row r="411" spans="1:18">
      <c r="A411" s="14"/>
      <c r="B411" s="9"/>
      <c r="C411" s="10" t="str">
        <f t="shared" ref="C411:C422" si="65">UPPER(I411)</f>
        <v>VOICE DIRECTOR</v>
      </c>
      <c r="D411" s="9"/>
      <c r="E411" s="9" t="str">
        <f t="shared" ref="E411:E422" si="66">UPPER(K411)</f>
        <v>TOM WAYLAND</v>
      </c>
      <c r="F411" s="9"/>
      <c r="G411" s="3"/>
      <c r="H411" s="20"/>
      <c r="I411" s="36" t="s">
        <v>426</v>
      </c>
      <c r="J411" s="2"/>
      <c r="K411" s="2" t="s">
        <v>58</v>
      </c>
      <c r="L411" s="3"/>
      <c r="M411" s="8"/>
      <c r="N411" s="3"/>
      <c r="O411" s="8" t="s">
        <v>882</v>
      </c>
      <c r="P411" s="3"/>
      <c r="Q411" s="3" t="s">
        <v>883</v>
      </c>
      <c r="R411" s="3"/>
    </row>
    <row r="412" spans="1:18">
      <c r="A412" s="14"/>
      <c r="B412" s="9"/>
      <c r="C412" s="10" t="str">
        <f t="shared" si="65"/>
        <v/>
      </c>
      <c r="D412" s="9"/>
      <c r="E412" s="9" t="str">
        <f t="shared" si="66"/>
        <v/>
      </c>
      <c r="F412" s="9"/>
      <c r="G412" s="3"/>
      <c r="H412" s="20"/>
      <c r="I412" s="2"/>
      <c r="J412" s="2"/>
      <c r="K412" s="2"/>
      <c r="L412" s="3"/>
      <c r="M412" s="8"/>
      <c r="N412" s="3"/>
      <c r="O412" s="8"/>
      <c r="P412" s="3"/>
      <c r="Q412" s="3"/>
      <c r="R412" s="3"/>
    </row>
    <row r="413" spans="1:18">
      <c r="A413" s="14"/>
      <c r="B413" s="9"/>
      <c r="C413" s="10" t="str">
        <f t="shared" si="65"/>
        <v>RECORDING ENGINEER</v>
      </c>
      <c r="D413" s="9"/>
      <c r="E413" s="9" t="str">
        <f t="shared" si="66"/>
        <v>DOMINIC DUNN</v>
      </c>
      <c r="F413" s="9"/>
      <c r="G413" s="3"/>
      <c r="H413" s="20"/>
      <c r="I413" s="36" t="s">
        <v>427</v>
      </c>
      <c r="J413" s="2"/>
      <c r="K413" s="2" t="s">
        <v>428</v>
      </c>
      <c r="L413" s="3"/>
      <c r="M413" s="8"/>
      <c r="N413" s="3"/>
      <c r="O413" s="8" t="s">
        <v>884</v>
      </c>
      <c r="P413" s="3"/>
      <c r="Q413" s="3" t="s">
        <v>885</v>
      </c>
      <c r="R413" s="3"/>
    </row>
    <row r="414" spans="1:18">
      <c r="A414" s="14"/>
      <c r="B414" s="9"/>
      <c r="C414" s="10" t="str">
        <f t="shared" si="65"/>
        <v/>
      </c>
      <c r="D414" s="9"/>
      <c r="E414" s="9" t="str">
        <f t="shared" si="66"/>
        <v>FAHAD RAHMAN</v>
      </c>
      <c r="F414" s="9"/>
      <c r="G414" s="3"/>
      <c r="H414" s="20"/>
      <c r="I414" s="2"/>
      <c r="J414" s="2"/>
      <c r="K414" s="2" t="s">
        <v>429</v>
      </c>
      <c r="L414" s="3"/>
      <c r="M414" s="8"/>
      <c r="N414" s="3"/>
      <c r="O414" s="8"/>
      <c r="P414" s="3"/>
      <c r="Q414" s="3"/>
      <c r="R414" s="3"/>
    </row>
    <row r="415" spans="1:18">
      <c r="A415" s="14"/>
      <c r="B415" s="9"/>
      <c r="C415" s="10" t="str">
        <f t="shared" si="65"/>
        <v/>
      </c>
      <c r="D415" s="9"/>
      <c r="E415" s="9" t="str">
        <f t="shared" si="66"/>
        <v>TOM WAYLAND</v>
      </c>
      <c r="F415" s="9"/>
      <c r="G415" s="3"/>
      <c r="H415" s="20"/>
      <c r="I415" s="2"/>
      <c r="J415" s="2"/>
      <c r="K415" s="2" t="s">
        <v>58</v>
      </c>
      <c r="L415" s="3"/>
      <c r="M415" s="8"/>
      <c r="N415" s="3"/>
      <c r="O415" s="8" t="s">
        <v>886</v>
      </c>
      <c r="P415" s="3"/>
      <c r="Q415" s="3" t="s">
        <v>885</v>
      </c>
      <c r="R415" s="3"/>
    </row>
    <row r="416" spans="1:18">
      <c r="A416" s="14"/>
      <c r="B416" s="9"/>
      <c r="C416" s="10" t="str">
        <f t="shared" si="65"/>
        <v/>
      </c>
      <c r="D416" s="9"/>
      <c r="E416" s="9" t="str">
        <f t="shared" si="66"/>
        <v/>
      </c>
      <c r="F416" s="9"/>
      <c r="G416" s="3"/>
      <c r="H416" s="20"/>
      <c r="I416" s="2"/>
      <c r="J416" s="2"/>
      <c r="K416" s="2"/>
      <c r="L416" s="3"/>
      <c r="M416" s="8"/>
      <c r="N416" s="3"/>
      <c r="O416" s="8"/>
      <c r="P416" s="3"/>
      <c r="Q416" s="3"/>
      <c r="R416" s="3"/>
    </row>
    <row r="417" spans="1:18">
      <c r="A417" s="14"/>
      <c r="B417" s="9"/>
      <c r="C417" s="10" t="str">
        <f t="shared" si="65"/>
        <v>VOICE CASTING</v>
      </c>
      <c r="D417" s="9"/>
      <c r="E417" s="9" t="str">
        <f t="shared" si="66"/>
        <v>TOM WAYLAND</v>
      </c>
      <c r="F417" s="9"/>
      <c r="G417" s="3"/>
      <c r="H417" s="20"/>
      <c r="I417" s="36" t="s">
        <v>430</v>
      </c>
      <c r="J417" s="2"/>
      <c r="K417" s="2" t="s">
        <v>58</v>
      </c>
      <c r="L417" s="3"/>
      <c r="M417" s="8"/>
      <c r="N417" s="3"/>
      <c r="O417" s="8" t="s">
        <v>887</v>
      </c>
      <c r="P417" s="3"/>
      <c r="Q417" s="3" t="s">
        <v>885</v>
      </c>
      <c r="R417" s="3"/>
    </row>
    <row r="418" spans="1:18">
      <c r="A418" s="14"/>
      <c r="B418" s="9"/>
      <c r="C418" s="10" t="str">
        <f t="shared" si="65"/>
        <v/>
      </c>
      <c r="D418" s="9"/>
      <c r="E418" s="9" t="str">
        <f t="shared" si="66"/>
        <v/>
      </c>
      <c r="F418" s="9"/>
      <c r="G418" s="3"/>
      <c r="H418" s="20"/>
      <c r="I418" s="2"/>
      <c r="J418" s="2"/>
      <c r="K418" s="2"/>
      <c r="L418" s="3"/>
      <c r="M418" s="8"/>
      <c r="N418" s="20"/>
      <c r="O418" s="21"/>
      <c r="P418" s="20"/>
      <c r="Q418" s="47"/>
      <c r="R418" s="3"/>
    </row>
    <row r="419" spans="1:18">
      <c r="A419" s="14"/>
      <c r="B419" s="9"/>
      <c r="C419" s="10" t="str">
        <f t="shared" si="65"/>
        <v>RECORDED BY</v>
      </c>
      <c r="D419" s="9"/>
      <c r="E419" s="9" t="str">
        <f t="shared" si="66"/>
        <v>3BEEP, NYC</v>
      </c>
      <c r="F419" s="9"/>
      <c r="G419" s="3"/>
      <c r="H419" s="20"/>
      <c r="I419" s="36" t="s">
        <v>431</v>
      </c>
      <c r="J419" s="2"/>
      <c r="K419" s="2" t="s">
        <v>432</v>
      </c>
      <c r="L419" s="3"/>
      <c r="M419" s="8"/>
      <c r="N419" s="20"/>
      <c r="O419" s="21"/>
      <c r="P419" s="20"/>
      <c r="Q419" s="47"/>
      <c r="R419" s="3"/>
    </row>
    <row r="420" spans="1:18">
      <c r="A420" s="14"/>
      <c r="B420" s="9"/>
      <c r="C420" s="10" t="str">
        <f t="shared" si="65"/>
        <v/>
      </c>
      <c r="D420" s="9"/>
      <c r="E420" s="9" t="str">
        <f t="shared" si="66"/>
        <v/>
      </c>
      <c r="F420" s="9"/>
      <c r="G420" s="3"/>
      <c r="H420" s="20"/>
      <c r="I420" s="2"/>
      <c r="J420" s="2"/>
      <c r="K420" s="2"/>
      <c r="L420" s="3"/>
      <c r="M420" s="8"/>
      <c r="N420" s="20"/>
      <c r="O420" s="21"/>
      <c r="P420" s="20"/>
      <c r="Q420" s="47"/>
      <c r="R420" s="3"/>
    </row>
    <row r="421" spans="1:18">
      <c r="A421" s="14"/>
      <c r="B421" s="9"/>
      <c r="C421" s="10" t="str">
        <f t="shared" si="65"/>
        <v>PRODUCER FOR  3BEEP</v>
      </c>
      <c r="D421" s="9"/>
      <c r="E421" s="9" t="str">
        <f t="shared" si="66"/>
        <v>TIM WERENKO</v>
      </c>
      <c r="F421" s="9"/>
      <c r="G421" s="3"/>
      <c r="H421" s="20"/>
      <c r="I421" s="36" t="s">
        <v>433</v>
      </c>
      <c r="J421" s="2"/>
      <c r="K421" s="2" t="s">
        <v>434</v>
      </c>
      <c r="L421" s="3"/>
      <c r="M421" s="8"/>
      <c r="N421" s="20"/>
      <c r="O421" s="21"/>
      <c r="P421" s="20"/>
      <c r="Q421" s="47"/>
      <c r="R421" s="3"/>
    </row>
    <row r="422" spans="1:18">
      <c r="A422" s="14"/>
      <c r="B422" s="9"/>
      <c r="C422" s="10" t="str">
        <f t="shared" si="65"/>
        <v/>
      </c>
      <c r="D422" s="9"/>
      <c r="E422" s="9" t="str">
        <f t="shared" si="66"/>
        <v>TOM WAYLAND</v>
      </c>
      <c r="F422" s="9"/>
      <c r="G422" s="3"/>
      <c r="H422" s="20"/>
      <c r="I422" s="2"/>
      <c r="J422" s="2"/>
      <c r="K422" s="2" t="s">
        <v>58</v>
      </c>
      <c r="L422" s="3"/>
      <c r="M422" s="8"/>
      <c r="N422" s="20"/>
      <c r="O422" s="21"/>
      <c r="P422" s="20"/>
      <c r="Q422" s="47"/>
      <c r="R422" s="3"/>
    </row>
    <row r="423" spans="1:18">
      <c r="A423" s="14"/>
      <c r="B423" s="9"/>
      <c r="C423" s="10"/>
      <c r="D423" s="9"/>
      <c r="E423" s="9"/>
      <c r="F423" s="9"/>
      <c r="G423" s="3"/>
      <c r="H423" s="20"/>
      <c r="I423" s="21"/>
      <c r="J423" s="20"/>
      <c r="K423" s="13"/>
      <c r="L423" s="3"/>
      <c r="M423" s="8"/>
      <c r="N423" s="20"/>
      <c r="O423" s="21"/>
      <c r="P423" s="20"/>
      <c r="Q423" s="47"/>
      <c r="R423" s="3"/>
    </row>
    <row r="424" spans="1:18">
      <c r="A424" s="14"/>
      <c r="B424" s="11"/>
      <c r="C424" s="12"/>
      <c r="D424" s="11"/>
      <c r="E424" s="11"/>
      <c r="F424" s="11"/>
      <c r="G424" s="3"/>
      <c r="H424" s="20"/>
      <c r="I424" s="21"/>
      <c r="J424" s="20"/>
      <c r="K424" s="13"/>
      <c r="L424" s="3"/>
      <c r="M424" s="3"/>
      <c r="N424" s="3"/>
      <c r="O424" s="21"/>
      <c r="P424" s="3"/>
      <c r="Q424" s="3"/>
      <c r="R424" s="3"/>
    </row>
    <row r="425" spans="1:18">
      <c r="A425" s="14"/>
      <c r="B425" s="6"/>
      <c r="C425" s="6"/>
      <c r="D425" s="6"/>
      <c r="E425" s="6"/>
      <c r="F425" s="6"/>
      <c r="G425" s="3"/>
      <c r="H425" s="15"/>
      <c r="I425" s="15"/>
      <c r="J425" s="15"/>
      <c r="K425" s="5"/>
      <c r="L425" s="15"/>
      <c r="M425" s="8"/>
      <c r="N425" s="8"/>
      <c r="O425" s="21"/>
      <c r="P425" s="3"/>
      <c r="Q425" s="3"/>
      <c r="R425" s="3"/>
    </row>
    <row r="426" spans="1:18">
      <c r="A426" s="14"/>
      <c r="B426" s="150" t="str">
        <f>UPPER(H426)</f>
        <v>POST PRODUCTION / ORIGINAL SCORES &amp; SONGS</v>
      </c>
      <c r="C426" s="141"/>
      <c r="D426" s="141"/>
      <c r="E426" s="141"/>
      <c r="F426" s="141"/>
      <c r="G426" s="28"/>
      <c r="H426" s="148" t="s">
        <v>435</v>
      </c>
      <c r="I426" s="141"/>
      <c r="J426" s="141"/>
      <c r="K426" s="141"/>
      <c r="L426" s="141"/>
      <c r="M426" s="29"/>
      <c r="N426" s="149" t="s">
        <v>888</v>
      </c>
      <c r="O426" s="141"/>
      <c r="P426" s="141"/>
      <c r="Q426" s="141"/>
      <c r="R426" s="141"/>
    </row>
    <row r="427" spans="1:18">
      <c r="A427" s="14"/>
      <c r="B427" s="9"/>
      <c r="C427" s="10" t="str">
        <f t="shared" ref="C427:C429" si="67">UPPER(I427)</f>
        <v>AUDIO POST PRODUCTION</v>
      </c>
      <c r="D427" s="9"/>
      <c r="E427" s="9" t="str">
        <f t="shared" ref="E427:E429" si="68">UPPER(K427)</f>
        <v>DOONG SOUND</v>
      </c>
      <c r="F427" s="9"/>
      <c r="G427" s="3"/>
      <c r="H427" s="20"/>
      <c r="I427" s="21" t="s">
        <v>436</v>
      </c>
      <c r="J427" s="20"/>
      <c r="K427" s="3" t="s">
        <v>437</v>
      </c>
      <c r="L427" s="3"/>
      <c r="M427" s="8"/>
      <c r="N427" s="3"/>
      <c r="O427" s="8" t="s">
        <v>889</v>
      </c>
      <c r="P427" s="3"/>
      <c r="Q427" s="3" t="s">
        <v>883</v>
      </c>
      <c r="R427" s="3"/>
    </row>
    <row r="428" spans="1:18">
      <c r="A428" s="14"/>
      <c r="B428" s="6"/>
      <c r="C428" s="10" t="str">
        <f t="shared" si="67"/>
        <v>SOUND SUPERVISOR</v>
      </c>
      <c r="D428" s="9"/>
      <c r="E428" s="9" t="str">
        <f t="shared" si="68"/>
        <v>JEONGYOUNG PARK</v>
      </c>
      <c r="F428" s="6"/>
      <c r="G428" s="3"/>
      <c r="H428" s="20"/>
      <c r="I428" s="21" t="s">
        <v>438</v>
      </c>
      <c r="J428" s="20"/>
      <c r="K428" s="3" t="s">
        <v>439</v>
      </c>
      <c r="L428" s="3"/>
      <c r="M428" s="8"/>
      <c r="N428" s="3"/>
      <c r="O428" s="8" t="s">
        <v>890</v>
      </c>
      <c r="P428" s="3"/>
      <c r="Q428" s="3" t="s">
        <v>891</v>
      </c>
      <c r="R428" s="3"/>
    </row>
    <row r="429" spans="1:18">
      <c r="A429" s="14"/>
      <c r="B429" s="6"/>
      <c r="C429" s="10" t="str">
        <f t="shared" si="67"/>
        <v>SOUND PRODUCTION MANAGER</v>
      </c>
      <c r="D429" s="9"/>
      <c r="E429" s="9" t="str">
        <f t="shared" si="68"/>
        <v>HYEJEONG HWANG</v>
      </c>
      <c r="F429" s="6"/>
      <c r="G429" s="3"/>
      <c r="H429" s="20"/>
      <c r="I429" s="21" t="s">
        <v>440</v>
      </c>
      <c r="J429" s="20"/>
      <c r="K429" s="3" t="s">
        <v>441</v>
      </c>
      <c r="L429" s="3"/>
      <c r="M429" s="8"/>
      <c r="N429" s="3"/>
      <c r="O429" s="8" t="s">
        <v>892</v>
      </c>
      <c r="P429" s="3"/>
      <c r="Q429" s="3" t="s">
        <v>885</v>
      </c>
      <c r="R429" s="3"/>
    </row>
    <row r="430" spans="1:18">
      <c r="A430" s="14"/>
      <c r="B430" s="6"/>
      <c r="C430" s="6"/>
      <c r="D430" s="6"/>
      <c r="E430" s="6"/>
      <c r="F430" s="6"/>
      <c r="G430" s="3"/>
      <c r="H430" s="20"/>
      <c r="I430" s="21"/>
      <c r="J430" s="20"/>
      <c r="K430" s="3"/>
      <c r="L430" s="3"/>
      <c r="M430" s="8"/>
      <c r="N430" s="8"/>
      <c r="O430" s="21"/>
      <c r="P430" s="3"/>
      <c r="Q430" s="3"/>
      <c r="R430" s="3"/>
    </row>
    <row r="431" spans="1:18">
      <c r="A431" s="14"/>
      <c r="B431" s="6"/>
      <c r="C431" s="6"/>
      <c r="D431" s="6"/>
      <c r="E431" s="6"/>
      <c r="F431" s="6"/>
      <c r="G431" s="3"/>
      <c r="H431" s="20"/>
      <c r="I431" s="21"/>
      <c r="J431" s="20"/>
      <c r="K431" s="3"/>
      <c r="L431" s="3"/>
      <c r="M431" s="8"/>
      <c r="N431" s="147"/>
      <c r="O431" s="141"/>
      <c r="P431" s="141"/>
      <c r="Q431" s="141"/>
      <c r="R431" s="141"/>
    </row>
    <row r="432" spans="1:18">
      <c r="A432" s="14"/>
      <c r="B432" s="146" t="str">
        <f>UPPER(H432)</f>
        <v>SOUND</v>
      </c>
      <c r="C432" s="141"/>
      <c r="D432" s="141"/>
      <c r="E432" s="141"/>
      <c r="F432" s="141"/>
      <c r="G432" s="3"/>
      <c r="H432" s="147" t="s">
        <v>442</v>
      </c>
      <c r="I432" s="141"/>
      <c r="J432" s="141"/>
      <c r="K432" s="141"/>
      <c r="L432" s="141"/>
      <c r="M432" s="8"/>
      <c r="N432" s="149" t="s">
        <v>893</v>
      </c>
      <c r="O432" s="141"/>
      <c r="P432" s="141"/>
      <c r="Q432" s="141"/>
      <c r="R432" s="141"/>
    </row>
    <row r="433" spans="1:18">
      <c r="A433" s="14"/>
      <c r="B433" s="9"/>
      <c r="C433" s="10" t="str">
        <f t="shared" ref="C433:C435" si="69">UPPER(I433)</f>
        <v>CHIEF SOUND DESIGNER &amp; EFFECTS &amp; EDITOR</v>
      </c>
      <c r="D433" s="9"/>
      <c r="E433" s="9" t="str">
        <f t="shared" ref="E433:E435" si="70">UPPER(K433)</f>
        <v>HYEJEONG HWANG</v>
      </c>
      <c r="F433" s="9"/>
      <c r="G433" s="3"/>
      <c r="H433" s="21"/>
      <c r="I433" s="21" t="s">
        <v>443</v>
      </c>
      <c r="J433" s="20"/>
      <c r="K433" s="3" t="s">
        <v>441</v>
      </c>
      <c r="L433" s="3"/>
      <c r="M433" s="8"/>
      <c r="N433" s="3"/>
      <c r="O433" s="8" t="s">
        <v>894</v>
      </c>
      <c r="P433" s="3"/>
      <c r="Q433" s="3" t="s">
        <v>885</v>
      </c>
      <c r="R433" s="3"/>
    </row>
    <row r="434" spans="1:18">
      <c r="A434" s="14"/>
      <c r="B434" s="9"/>
      <c r="C434" s="10" t="str">
        <f t="shared" si="69"/>
        <v>VOICE EDITOR</v>
      </c>
      <c r="D434" s="9"/>
      <c r="E434" s="9" t="str">
        <f t="shared" si="70"/>
        <v>HYEJEONG HWANG</v>
      </c>
      <c r="F434" s="9"/>
      <c r="G434" s="3"/>
      <c r="H434" s="21"/>
      <c r="I434" s="21" t="s">
        <v>444</v>
      </c>
      <c r="J434" s="20"/>
      <c r="K434" s="3" t="s">
        <v>441</v>
      </c>
      <c r="L434" s="3"/>
      <c r="M434" s="8"/>
      <c r="N434" s="3"/>
      <c r="O434" s="8" t="s">
        <v>895</v>
      </c>
      <c r="P434" s="3"/>
      <c r="Q434" s="3" t="s">
        <v>885</v>
      </c>
      <c r="R434" s="3"/>
    </row>
    <row r="435" spans="1:18">
      <c r="A435" s="14"/>
      <c r="B435" s="9"/>
      <c r="C435" s="10" t="str">
        <f t="shared" si="69"/>
        <v>MIXING &amp; MASTERING</v>
      </c>
      <c r="D435" s="9"/>
      <c r="E435" s="9" t="str">
        <f t="shared" si="70"/>
        <v>HYEJEONG HWANG</v>
      </c>
      <c r="F435" s="9"/>
      <c r="G435" s="3"/>
      <c r="H435" s="21"/>
      <c r="I435" s="21" t="s">
        <v>445</v>
      </c>
      <c r="J435" s="20"/>
      <c r="K435" s="3" t="s">
        <v>441</v>
      </c>
      <c r="L435" s="3"/>
      <c r="M435" s="8"/>
      <c r="N435" s="3"/>
      <c r="O435" s="8" t="s">
        <v>896</v>
      </c>
      <c r="P435" s="3"/>
      <c r="Q435" s="3" t="s">
        <v>885</v>
      </c>
      <c r="R435" s="3"/>
    </row>
    <row r="436" spans="1:18">
      <c r="A436" s="14"/>
      <c r="B436" s="9"/>
      <c r="C436" s="9"/>
      <c r="D436" s="9"/>
      <c r="E436" s="9"/>
      <c r="F436" s="9"/>
      <c r="G436" s="3"/>
      <c r="H436" s="21"/>
      <c r="I436" s="21"/>
      <c r="J436" s="20"/>
      <c r="K436" s="3" t="s">
        <v>439</v>
      </c>
      <c r="L436" s="3"/>
      <c r="M436" s="8"/>
      <c r="N436" s="3"/>
      <c r="O436" s="8"/>
      <c r="P436" s="3"/>
      <c r="Q436" s="3" t="s">
        <v>891</v>
      </c>
      <c r="R436" s="3"/>
    </row>
    <row r="437" spans="1:18">
      <c r="A437" s="14"/>
      <c r="B437" s="9"/>
      <c r="C437" s="9"/>
      <c r="D437" s="9"/>
      <c r="E437" s="9"/>
      <c r="F437" s="9"/>
      <c r="G437" s="3"/>
      <c r="H437" s="21"/>
      <c r="I437" s="21"/>
      <c r="J437" s="20"/>
      <c r="K437" s="3"/>
      <c r="L437" s="3"/>
      <c r="M437" s="8"/>
      <c r="N437" s="149"/>
      <c r="O437" s="141"/>
      <c r="P437" s="141"/>
      <c r="Q437" s="141"/>
      <c r="R437" s="141"/>
    </row>
    <row r="438" spans="1:18">
      <c r="A438" s="14"/>
      <c r="B438" s="9"/>
      <c r="C438" s="9"/>
      <c r="D438" s="9"/>
      <c r="E438" s="9"/>
      <c r="F438" s="9"/>
      <c r="G438" s="3"/>
      <c r="H438" s="21"/>
      <c r="I438" s="21"/>
      <c r="J438" s="20"/>
      <c r="K438" s="3"/>
      <c r="L438" s="3"/>
      <c r="M438" s="8"/>
      <c r="N438" s="8"/>
      <c r="O438" s="8"/>
      <c r="P438" s="3"/>
      <c r="Q438" s="3"/>
      <c r="R438" s="3"/>
    </row>
    <row r="439" spans="1:18">
      <c r="A439" s="14"/>
      <c r="B439" s="146" t="str">
        <f>UPPER(H439)</f>
        <v>ORIGINAL SCORE</v>
      </c>
      <c r="C439" s="141"/>
      <c r="D439" s="141"/>
      <c r="E439" s="141"/>
      <c r="F439" s="141"/>
      <c r="G439" s="3"/>
      <c r="H439" s="147" t="s">
        <v>446</v>
      </c>
      <c r="I439" s="141"/>
      <c r="J439" s="141"/>
      <c r="K439" s="141"/>
      <c r="L439" s="141"/>
      <c r="M439" s="8"/>
      <c r="N439" s="149" t="s">
        <v>897</v>
      </c>
      <c r="O439" s="141"/>
      <c r="P439" s="141"/>
      <c r="Q439" s="141"/>
      <c r="R439" s="141"/>
    </row>
    <row r="440" spans="1:18">
      <c r="A440" s="14"/>
      <c r="B440" s="9"/>
      <c r="C440" s="10" t="str">
        <f>UPPER(I440)</f>
        <v>MUSIC SUPERVISOR</v>
      </c>
      <c r="D440" s="9"/>
      <c r="E440" s="9" t="str">
        <f t="shared" ref="E440:E449" si="71">UPPER(K440)</f>
        <v>YOONHO KIM</v>
      </c>
      <c r="F440" s="9"/>
      <c r="G440" s="3"/>
      <c r="H440" s="21"/>
      <c r="I440" s="21" t="s">
        <v>447</v>
      </c>
      <c r="J440" s="20"/>
      <c r="K440" s="3" t="s">
        <v>448</v>
      </c>
      <c r="L440" s="3"/>
      <c r="M440" s="8"/>
      <c r="N440" s="3"/>
      <c r="O440" s="8" t="s">
        <v>898</v>
      </c>
      <c r="P440" s="3"/>
      <c r="Q440" s="3" t="s">
        <v>899</v>
      </c>
      <c r="R440" s="3"/>
    </row>
    <row r="441" spans="1:18">
      <c r="A441" s="14"/>
      <c r="B441" s="9"/>
      <c r="C441" s="9"/>
      <c r="D441" s="9"/>
      <c r="E441" s="9" t="str">
        <f t="shared" si="71"/>
        <v>SIEUN KIM</v>
      </c>
      <c r="F441" s="9"/>
      <c r="G441" s="3"/>
      <c r="H441" s="21"/>
      <c r="I441" s="21" t="s">
        <v>449</v>
      </c>
      <c r="J441" s="20"/>
      <c r="K441" s="3" t="s">
        <v>450</v>
      </c>
      <c r="L441" s="3"/>
      <c r="M441" s="8"/>
      <c r="N441" s="3"/>
      <c r="O441" s="8" t="s">
        <v>900</v>
      </c>
      <c r="P441" s="3"/>
      <c r="Q441" s="3" t="s">
        <v>901</v>
      </c>
      <c r="R441" s="3"/>
    </row>
    <row r="442" spans="1:18">
      <c r="A442" s="14"/>
      <c r="B442" s="9"/>
      <c r="C442" s="10" t="str">
        <f>UPPER(I442)</f>
        <v>ADDITIONAL COMPOSER</v>
      </c>
      <c r="D442" s="9"/>
      <c r="E442" s="9" t="str">
        <f t="shared" si="71"/>
        <v>NAYEON LEE</v>
      </c>
      <c r="F442" s="9"/>
      <c r="G442" s="3"/>
      <c r="H442" s="21"/>
      <c r="I442" s="21" t="s">
        <v>451</v>
      </c>
      <c r="J442" s="20"/>
      <c r="K442" s="22" t="s">
        <v>452</v>
      </c>
      <c r="L442" s="3"/>
      <c r="M442" s="8"/>
      <c r="N442" s="3"/>
      <c r="O442" s="8" t="s">
        <v>902</v>
      </c>
      <c r="P442" s="3"/>
      <c r="Q442" s="3" t="s">
        <v>903</v>
      </c>
      <c r="R442" s="3"/>
    </row>
    <row r="443" spans="1:18">
      <c r="A443" s="14"/>
      <c r="B443" s="9"/>
      <c r="C443" s="10"/>
      <c r="D443" s="9"/>
      <c r="E443" s="9" t="str">
        <f t="shared" si="71"/>
        <v>DOLLY HWANG</v>
      </c>
      <c r="F443" s="9"/>
      <c r="G443" s="3"/>
      <c r="H443" s="21"/>
      <c r="I443" s="21"/>
      <c r="J443" s="20"/>
      <c r="K443" s="22" t="s">
        <v>453</v>
      </c>
      <c r="L443" s="3"/>
      <c r="M443" s="8"/>
      <c r="N443" s="3"/>
      <c r="O443" s="3"/>
      <c r="P443" s="3"/>
      <c r="Q443" s="20" t="s">
        <v>453</v>
      </c>
      <c r="R443" s="3"/>
    </row>
    <row r="444" spans="1:18">
      <c r="A444" s="14"/>
      <c r="B444" s="9"/>
      <c r="C444" s="10"/>
      <c r="D444" s="9"/>
      <c r="E444" s="9" t="str">
        <f t="shared" si="71"/>
        <v>HAEHOON LEE</v>
      </c>
      <c r="F444" s="9"/>
      <c r="G444" s="3"/>
      <c r="H444" s="21"/>
      <c r="I444" s="21"/>
      <c r="J444" s="20"/>
      <c r="K444" s="24" t="s">
        <v>454</v>
      </c>
      <c r="L444" s="3"/>
      <c r="M444" s="8"/>
      <c r="N444" s="3"/>
      <c r="O444" s="3"/>
      <c r="P444" s="3"/>
      <c r="Q444" s="3" t="s">
        <v>904</v>
      </c>
      <c r="R444" s="3"/>
    </row>
    <row r="445" spans="1:18">
      <c r="A445" s="14"/>
      <c r="B445" s="9"/>
      <c r="C445" s="10"/>
      <c r="D445" s="9"/>
      <c r="E445" s="9" t="str">
        <f t="shared" si="71"/>
        <v>SOYOUNG KWON</v>
      </c>
      <c r="F445" s="9"/>
      <c r="G445" s="3"/>
      <c r="H445" s="21"/>
      <c r="I445" s="21"/>
      <c r="J445" s="20"/>
      <c r="K445" s="22" t="s">
        <v>455</v>
      </c>
      <c r="L445" s="3"/>
      <c r="M445" s="8"/>
      <c r="N445" s="8"/>
      <c r="O445" s="8"/>
      <c r="P445" s="3"/>
      <c r="Q445" s="3" t="s">
        <v>905</v>
      </c>
      <c r="R445" s="3"/>
    </row>
    <row r="446" spans="1:18">
      <c r="A446" s="14"/>
      <c r="B446" s="9"/>
      <c r="C446" s="10"/>
      <c r="D446" s="9"/>
      <c r="E446" s="9" t="str">
        <f t="shared" si="71"/>
        <v>BUMPIZ</v>
      </c>
      <c r="F446" s="9"/>
      <c r="G446" s="3"/>
      <c r="H446" s="21"/>
      <c r="I446" s="21"/>
      <c r="J446" s="20"/>
      <c r="K446" s="22" t="s">
        <v>456</v>
      </c>
      <c r="L446" s="3"/>
      <c r="M446" s="8"/>
      <c r="N446" s="8"/>
      <c r="O446" s="21"/>
      <c r="P446" s="3"/>
      <c r="Q446" s="3" t="s">
        <v>456</v>
      </c>
      <c r="R446" s="3"/>
    </row>
    <row r="447" spans="1:18">
      <c r="A447" s="14"/>
      <c r="B447" s="9"/>
      <c r="C447" s="10"/>
      <c r="D447" s="9"/>
      <c r="E447" s="9" t="str">
        <f t="shared" si="71"/>
        <v>YEONGHUN YUN</v>
      </c>
      <c r="F447" s="9"/>
      <c r="G447" s="3"/>
      <c r="H447" s="21"/>
      <c r="I447" s="21"/>
      <c r="J447" s="20"/>
      <c r="K447" s="22" t="s">
        <v>457</v>
      </c>
      <c r="L447" s="3"/>
      <c r="M447" s="8"/>
      <c r="N447" s="8"/>
      <c r="O447" s="21"/>
      <c r="P447" s="3"/>
      <c r="Q447" s="3" t="s">
        <v>906</v>
      </c>
      <c r="R447" s="3"/>
    </row>
    <row r="448" spans="1:18">
      <c r="A448" s="14"/>
      <c r="B448" s="9"/>
      <c r="C448" s="10"/>
      <c r="D448" s="9"/>
      <c r="E448" s="9" t="str">
        <f t="shared" si="71"/>
        <v>JIAE YU</v>
      </c>
      <c r="F448" s="9"/>
      <c r="G448" s="3"/>
      <c r="H448" s="21"/>
      <c r="I448" s="21"/>
      <c r="J448" s="20"/>
      <c r="K448" s="22" t="s">
        <v>458</v>
      </c>
      <c r="L448" s="3"/>
      <c r="M448" s="8"/>
      <c r="N448" s="8"/>
      <c r="O448" s="21"/>
      <c r="P448" s="3"/>
      <c r="Q448" s="3" t="s">
        <v>907</v>
      </c>
      <c r="R448" s="3"/>
    </row>
    <row r="449" spans="1:18">
      <c r="A449" s="14"/>
      <c r="B449" s="9"/>
      <c r="C449" s="9"/>
      <c r="D449" s="9"/>
      <c r="E449" s="9" t="str">
        <f t="shared" si="71"/>
        <v/>
      </c>
      <c r="F449" s="9"/>
      <c r="G449" s="3"/>
      <c r="H449" s="21"/>
      <c r="I449" s="21"/>
      <c r="J449" s="20"/>
      <c r="K449" s="22"/>
      <c r="L449" s="3"/>
      <c r="M449" s="8"/>
      <c r="N449" s="8"/>
      <c r="O449" s="21"/>
      <c r="P449" s="3"/>
      <c r="Q449" s="3"/>
      <c r="R449" s="3"/>
    </row>
    <row r="450" spans="1:18">
      <c r="A450" s="14"/>
      <c r="B450" s="11"/>
      <c r="C450" s="11"/>
      <c r="D450" s="11"/>
      <c r="E450" s="11"/>
      <c r="F450" s="11"/>
      <c r="G450" s="3"/>
      <c r="H450" s="21"/>
      <c r="I450" s="21"/>
      <c r="J450" s="20"/>
      <c r="K450" s="3"/>
      <c r="L450" s="3"/>
      <c r="M450" s="8"/>
      <c r="N450" s="8"/>
      <c r="O450" s="21"/>
      <c r="P450" s="3"/>
      <c r="Q450" s="3"/>
      <c r="R450" s="3"/>
    </row>
    <row r="451" spans="1:18">
      <c r="A451" s="14"/>
      <c r="B451" s="6"/>
      <c r="C451" s="6"/>
      <c r="D451" s="6"/>
      <c r="E451" s="6"/>
      <c r="F451" s="6"/>
      <c r="G451" s="3"/>
      <c r="H451" s="48"/>
      <c r="I451" s="15"/>
      <c r="J451" s="15"/>
      <c r="K451" s="5"/>
      <c r="L451" s="48"/>
      <c r="M451" s="8"/>
      <c r="N451" s="8"/>
      <c r="O451" s="21"/>
      <c r="P451" s="3"/>
      <c r="Q451" s="3"/>
      <c r="R451" s="3"/>
    </row>
    <row r="452" spans="1:18">
      <c r="A452" s="14"/>
      <c r="B452" s="150" t="str">
        <f t="shared" ref="B452:B453" si="72">UPPER(H452)</f>
        <v>POST PRODUCTION / ORIGINAL SCORES &amp; SONGS</v>
      </c>
      <c r="C452" s="141"/>
      <c r="D452" s="141"/>
      <c r="E452" s="141"/>
      <c r="F452" s="141"/>
      <c r="G452" s="28"/>
      <c r="H452" s="148" t="s">
        <v>435</v>
      </c>
      <c r="I452" s="141"/>
      <c r="J452" s="141"/>
      <c r="K452" s="141"/>
      <c r="L452" s="141"/>
      <c r="M452" s="29"/>
      <c r="N452" s="149" t="s">
        <v>888</v>
      </c>
      <c r="O452" s="141"/>
      <c r="P452" s="141"/>
      <c r="Q452" s="141"/>
      <c r="R452" s="141"/>
    </row>
    <row r="453" spans="1:18">
      <c r="A453" s="14"/>
      <c r="B453" s="146" t="str">
        <f t="shared" si="72"/>
        <v>RECORDING SESSION</v>
      </c>
      <c r="C453" s="141"/>
      <c r="D453" s="141"/>
      <c r="E453" s="141"/>
      <c r="F453" s="141"/>
      <c r="G453" s="3"/>
      <c r="H453" s="142" t="s">
        <v>459</v>
      </c>
      <c r="I453" s="141"/>
      <c r="J453" s="141"/>
      <c r="K453" s="141"/>
      <c r="L453" s="141"/>
      <c r="M453" s="8"/>
      <c r="N453" s="151" t="s">
        <v>908</v>
      </c>
      <c r="O453" s="141"/>
      <c r="P453" s="141"/>
      <c r="Q453" s="141"/>
      <c r="R453" s="141"/>
    </row>
    <row r="454" spans="1:18">
      <c r="A454" s="14"/>
      <c r="B454" s="9"/>
      <c r="C454" s="10" t="str">
        <f t="shared" ref="C454:C470" si="73">UPPER(I454)</f>
        <v/>
      </c>
      <c r="D454" s="9"/>
      <c r="E454" s="9" t="str">
        <f t="shared" ref="E454:E470" si="74">UPPER(K454)</f>
        <v/>
      </c>
      <c r="F454" s="9"/>
      <c r="G454" s="3"/>
      <c r="H454" s="20"/>
      <c r="I454" s="49"/>
      <c r="J454" s="50"/>
      <c r="K454" s="22"/>
      <c r="L454" s="3"/>
      <c r="M454" s="8"/>
      <c r="N454" s="3"/>
      <c r="O454" s="8"/>
      <c r="P454" s="3"/>
      <c r="Q454" s="3"/>
      <c r="R454" s="3"/>
    </row>
    <row r="455" spans="1:18">
      <c r="A455" s="14"/>
      <c r="B455" s="9"/>
      <c r="C455" s="10" t="str">
        <f t="shared" si="73"/>
        <v>GUITAR</v>
      </c>
      <c r="D455" s="9"/>
      <c r="E455" s="9" t="str">
        <f t="shared" si="74"/>
        <v>DOLLY HWANG</v>
      </c>
      <c r="F455" s="9"/>
      <c r="G455" s="3"/>
      <c r="H455" s="20"/>
      <c r="I455" s="49" t="s">
        <v>460</v>
      </c>
      <c r="J455" s="50"/>
      <c r="K455" s="22" t="s">
        <v>453</v>
      </c>
      <c r="L455" s="3"/>
      <c r="M455" s="8"/>
      <c r="N455" s="3"/>
      <c r="O455" s="8" t="s">
        <v>909</v>
      </c>
      <c r="P455" s="3"/>
      <c r="Q455" s="20" t="s">
        <v>453</v>
      </c>
      <c r="R455" s="3"/>
    </row>
    <row r="456" spans="1:18">
      <c r="A456" s="14"/>
      <c r="B456" s="9"/>
      <c r="C456" s="10" t="str">
        <f t="shared" si="73"/>
        <v/>
      </c>
      <c r="D456" s="9"/>
      <c r="E456" s="9" t="str">
        <f t="shared" si="74"/>
        <v>BUMPIZ</v>
      </c>
      <c r="F456" s="9"/>
      <c r="G456" s="3"/>
      <c r="H456" s="20"/>
      <c r="I456" s="49"/>
      <c r="J456" s="50"/>
      <c r="K456" s="22" t="s">
        <v>456</v>
      </c>
      <c r="L456" s="3"/>
      <c r="M456" s="8"/>
      <c r="N456" s="3"/>
      <c r="O456" s="8"/>
      <c r="P456" s="3"/>
      <c r="Q456" s="3" t="s">
        <v>456</v>
      </c>
      <c r="R456" s="3"/>
    </row>
    <row r="457" spans="1:18">
      <c r="A457" s="14"/>
      <c r="B457" s="9"/>
      <c r="C457" s="10" t="str">
        <f t="shared" si="73"/>
        <v/>
      </c>
      <c r="D457" s="9"/>
      <c r="E457" s="9" t="str">
        <f t="shared" si="74"/>
        <v/>
      </c>
      <c r="F457" s="9"/>
      <c r="G457" s="3"/>
      <c r="H457" s="20"/>
      <c r="I457" s="49"/>
      <c r="J457" s="50"/>
      <c r="K457" s="22"/>
      <c r="L457" s="3"/>
      <c r="M457" s="8"/>
      <c r="N457" s="3"/>
      <c r="O457" s="8"/>
      <c r="P457" s="3"/>
      <c r="Q457" s="3"/>
      <c r="R457" s="3"/>
    </row>
    <row r="458" spans="1:18">
      <c r="A458" s="14"/>
      <c r="B458" s="9"/>
      <c r="C458" s="10" t="str">
        <f t="shared" si="73"/>
        <v>BASS</v>
      </c>
      <c r="D458" s="9"/>
      <c r="E458" s="9" t="str">
        <f t="shared" si="74"/>
        <v>DOLLY HWANG</v>
      </c>
      <c r="F458" s="9"/>
      <c r="G458" s="3"/>
      <c r="H458" s="20"/>
      <c r="I458" s="49" t="s">
        <v>461</v>
      </c>
      <c r="J458" s="50"/>
      <c r="K458" s="22" t="s">
        <v>453</v>
      </c>
      <c r="L458" s="3"/>
      <c r="M458" s="8"/>
      <c r="N458" s="3"/>
      <c r="O458" s="8" t="s">
        <v>910</v>
      </c>
      <c r="P458" s="3"/>
      <c r="Q458" s="20" t="s">
        <v>453</v>
      </c>
      <c r="R458" s="3"/>
    </row>
    <row r="459" spans="1:18">
      <c r="A459" s="14"/>
      <c r="B459" s="9"/>
      <c r="C459" s="10" t="str">
        <f t="shared" si="73"/>
        <v/>
      </c>
      <c r="D459" s="9"/>
      <c r="E459" s="9" t="str">
        <f t="shared" si="74"/>
        <v>BUMPIZ</v>
      </c>
      <c r="F459" s="9"/>
      <c r="G459" s="3"/>
      <c r="H459" s="20"/>
      <c r="I459" s="51"/>
      <c r="J459" s="50"/>
      <c r="K459" s="22" t="s">
        <v>456</v>
      </c>
      <c r="L459" s="3"/>
      <c r="M459" s="8"/>
      <c r="N459" s="3"/>
      <c r="O459" s="3"/>
      <c r="P459" s="3"/>
      <c r="Q459" s="3" t="s">
        <v>456</v>
      </c>
      <c r="R459" s="3"/>
    </row>
    <row r="460" spans="1:18">
      <c r="A460" s="14"/>
      <c r="B460" s="9"/>
      <c r="C460" s="10" t="str">
        <f t="shared" si="73"/>
        <v/>
      </c>
      <c r="D460" s="9"/>
      <c r="E460" s="9" t="str">
        <f t="shared" si="74"/>
        <v/>
      </c>
      <c r="F460" s="9"/>
      <c r="G460" s="3"/>
      <c r="H460" s="20"/>
      <c r="I460" s="49"/>
      <c r="J460" s="50"/>
      <c r="K460" s="22"/>
      <c r="L460" s="3"/>
      <c r="M460" s="8"/>
      <c r="N460" s="3"/>
      <c r="O460" s="3"/>
      <c r="P460" s="3"/>
      <c r="Q460" s="3"/>
      <c r="R460" s="3"/>
    </row>
    <row r="461" spans="1:18">
      <c r="A461" s="14"/>
      <c r="B461" s="9"/>
      <c r="C461" s="10" t="str">
        <f t="shared" si="73"/>
        <v>KEYBOARD</v>
      </c>
      <c r="D461" s="9"/>
      <c r="E461" s="9" t="str">
        <f t="shared" si="74"/>
        <v>YOONHO KIM</v>
      </c>
      <c r="F461" s="9"/>
      <c r="G461" s="3"/>
      <c r="H461" s="20"/>
      <c r="I461" s="49" t="s">
        <v>462</v>
      </c>
      <c r="J461" s="50"/>
      <c r="K461" s="22" t="s">
        <v>448</v>
      </c>
      <c r="L461" s="3"/>
      <c r="M461" s="8"/>
      <c r="N461" s="3"/>
      <c r="O461" s="8" t="s">
        <v>911</v>
      </c>
      <c r="P461" s="3"/>
      <c r="Q461" s="3" t="s">
        <v>899</v>
      </c>
      <c r="R461" s="3"/>
    </row>
    <row r="462" spans="1:18">
      <c r="A462" s="14"/>
      <c r="B462" s="9"/>
      <c r="C462" s="10" t="str">
        <f t="shared" si="73"/>
        <v/>
      </c>
      <c r="D462" s="9"/>
      <c r="E462" s="9" t="str">
        <f t="shared" si="74"/>
        <v>SIEUN KIM</v>
      </c>
      <c r="F462" s="9"/>
      <c r="G462" s="3"/>
      <c r="H462" s="20"/>
      <c r="I462" s="52"/>
      <c r="J462" s="50"/>
      <c r="K462" s="22" t="s">
        <v>463</v>
      </c>
      <c r="L462" s="3"/>
      <c r="M462" s="8"/>
      <c r="N462" s="3"/>
      <c r="O462" s="3"/>
      <c r="P462" s="3"/>
      <c r="Q462" s="3" t="s">
        <v>901</v>
      </c>
      <c r="R462" s="3"/>
    </row>
    <row r="463" spans="1:18">
      <c r="A463" s="14"/>
      <c r="B463" s="9"/>
      <c r="C463" s="10" t="str">
        <f t="shared" si="73"/>
        <v/>
      </c>
      <c r="D463" s="9"/>
      <c r="E463" s="9" t="str">
        <f t="shared" si="74"/>
        <v>DOLLY HWANG</v>
      </c>
      <c r="F463" s="9"/>
      <c r="G463" s="3"/>
      <c r="H463" s="20"/>
      <c r="I463" s="52"/>
      <c r="J463" s="50"/>
      <c r="K463" s="22" t="s">
        <v>453</v>
      </c>
      <c r="L463" s="3"/>
      <c r="M463" s="8"/>
      <c r="N463" s="3"/>
      <c r="O463" s="3"/>
      <c r="P463" s="3"/>
      <c r="Q463" s="20" t="s">
        <v>453</v>
      </c>
      <c r="R463" s="3"/>
    </row>
    <row r="464" spans="1:18">
      <c r="A464" s="14"/>
      <c r="B464" s="9"/>
      <c r="C464" s="10" t="str">
        <f t="shared" si="73"/>
        <v/>
      </c>
      <c r="D464" s="9"/>
      <c r="E464" s="9" t="str">
        <f t="shared" si="74"/>
        <v>HAEHOON LEE</v>
      </c>
      <c r="F464" s="9"/>
      <c r="G464" s="3"/>
      <c r="H464" s="20"/>
      <c r="I464" s="52"/>
      <c r="J464" s="50"/>
      <c r="K464" s="22" t="s">
        <v>454</v>
      </c>
      <c r="L464" s="3"/>
      <c r="M464" s="8"/>
      <c r="N464" s="3"/>
      <c r="O464" s="3"/>
      <c r="P464" s="3"/>
      <c r="Q464" s="3" t="s">
        <v>904</v>
      </c>
      <c r="R464" s="3"/>
    </row>
    <row r="465" spans="1:18">
      <c r="A465" s="14"/>
      <c r="B465" s="9"/>
      <c r="C465" s="10" t="str">
        <f t="shared" si="73"/>
        <v/>
      </c>
      <c r="D465" s="9"/>
      <c r="E465" s="9" t="str">
        <f t="shared" si="74"/>
        <v>NAYEON LEE</v>
      </c>
      <c r="F465" s="9"/>
      <c r="G465" s="3"/>
      <c r="H465" s="20"/>
      <c r="I465" s="52"/>
      <c r="J465" s="50"/>
      <c r="K465" s="22" t="s">
        <v>452</v>
      </c>
      <c r="L465" s="3"/>
      <c r="M465" s="8"/>
      <c r="N465" s="3"/>
      <c r="O465" s="3"/>
      <c r="P465" s="3"/>
      <c r="Q465" s="3" t="s">
        <v>903</v>
      </c>
      <c r="R465" s="3"/>
    </row>
    <row r="466" spans="1:18">
      <c r="A466" s="14"/>
      <c r="B466" s="9"/>
      <c r="C466" s="10" t="str">
        <f t="shared" si="73"/>
        <v/>
      </c>
      <c r="D466" s="9"/>
      <c r="E466" s="9" t="str">
        <f t="shared" si="74"/>
        <v>BUMPIZ</v>
      </c>
      <c r="F466" s="9"/>
      <c r="G466" s="3"/>
      <c r="H466" s="20"/>
      <c r="I466" s="52"/>
      <c r="J466" s="50"/>
      <c r="K466" s="22" t="s">
        <v>456</v>
      </c>
      <c r="L466" s="3"/>
      <c r="M466" s="8"/>
      <c r="N466" s="3"/>
      <c r="O466" s="3"/>
      <c r="P466" s="3"/>
      <c r="Q466" s="3" t="s">
        <v>456</v>
      </c>
      <c r="R466" s="3"/>
    </row>
    <row r="467" spans="1:18">
      <c r="A467" s="14"/>
      <c r="B467" s="9"/>
      <c r="C467" s="10" t="str">
        <f t="shared" si="73"/>
        <v/>
      </c>
      <c r="D467" s="9"/>
      <c r="E467" s="9" t="str">
        <f t="shared" si="74"/>
        <v>YEONGHUN YUN</v>
      </c>
      <c r="F467" s="9"/>
      <c r="G467" s="3"/>
      <c r="H467" s="20"/>
      <c r="I467" s="52"/>
      <c r="J467" s="50"/>
      <c r="K467" s="22" t="s">
        <v>457</v>
      </c>
      <c r="L467" s="3"/>
      <c r="M467" s="8"/>
      <c r="N467" s="3"/>
      <c r="O467" s="3"/>
      <c r="P467" s="3"/>
      <c r="Q467" s="3" t="s">
        <v>906</v>
      </c>
      <c r="R467" s="3"/>
    </row>
    <row r="468" spans="1:18">
      <c r="A468" s="14"/>
      <c r="B468" s="9"/>
      <c r="C468" s="10" t="str">
        <f t="shared" si="73"/>
        <v/>
      </c>
      <c r="D468" s="9"/>
      <c r="E468" s="9" t="str">
        <f t="shared" si="74"/>
        <v>JIAE YU</v>
      </c>
      <c r="F468" s="9"/>
      <c r="G468" s="3"/>
      <c r="H468" s="20"/>
      <c r="I468" s="52"/>
      <c r="J468" s="50"/>
      <c r="K468" s="22" t="s">
        <v>458</v>
      </c>
      <c r="L468" s="3"/>
      <c r="M468" s="8"/>
      <c r="N468" s="3"/>
      <c r="O468" s="3"/>
      <c r="P468" s="3"/>
      <c r="Q468" s="3" t="s">
        <v>907</v>
      </c>
      <c r="R468" s="3"/>
    </row>
    <row r="469" spans="1:18">
      <c r="A469" s="14"/>
      <c r="B469" s="9"/>
      <c r="C469" s="9" t="str">
        <f t="shared" si="73"/>
        <v/>
      </c>
      <c r="D469" s="9"/>
      <c r="E469" s="9" t="str">
        <f t="shared" si="74"/>
        <v/>
      </c>
      <c r="F469" s="9"/>
      <c r="G469" s="3"/>
      <c r="H469" s="20"/>
      <c r="I469" s="52"/>
      <c r="J469" s="50"/>
      <c r="K469" s="14"/>
      <c r="L469" s="3"/>
      <c r="M469" s="8"/>
      <c r="N469" s="8"/>
      <c r="O469" s="21"/>
      <c r="P469" s="3"/>
      <c r="Q469" s="3"/>
      <c r="R469" s="3"/>
    </row>
    <row r="470" spans="1:18">
      <c r="A470" s="14"/>
      <c r="B470" s="11"/>
      <c r="C470" s="11" t="str">
        <f t="shared" si="73"/>
        <v/>
      </c>
      <c r="D470" s="11"/>
      <c r="E470" s="11" t="str">
        <f t="shared" si="74"/>
        <v/>
      </c>
      <c r="F470" s="11"/>
      <c r="G470" s="3"/>
      <c r="H470" s="20"/>
      <c r="I470" s="21"/>
      <c r="J470" s="20"/>
      <c r="K470" s="3"/>
      <c r="L470" s="3"/>
      <c r="M470" s="8"/>
      <c r="N470" s="8"/>
      <c r="O470" s="21"/>
      <c r="P470" s="3"/>
      <c r="Q470" s="3"/>
      <c r="R470" s="3"/>
    </row>
    <row r="471" spans="1:18">
      <c r="A471" s="14"/>
      <c r="B471" s="6"/>
      <c r="C471" s="6"/>
      <c r="D471" s="6"/>
      <c r="E471" s="6"/>
      <c r="F471" s="6"/>
      <c r="G471" s="3"/>
      <c r="H471" s="48"/>
      <c r="I471" s="15"/>
      <c r="J471" s="15"/>
      <c r="K471" s="5"/>
      <c r="L471" s="48"/>
      <c r="M471" s="8"/>
      <c r="N471" s="8"/>
      <c r="O471" s="21"/>
      <c r="P471" s="3"/>
      <c r="Q471" s="3"/>
      <c r="R471" s="3"/>
    </row>
    <row r="472" spans="1:18">
      <c r="A472" s="14"/>
      <c r="B472" s="150" t="str">
        <f t="shared" ref="B472:B473" si="75">UPPER(H472)</f>
        <v>POST PRODUCTION / ORIGINAL SCORES &amp; SONGS</v>
      </c>
      <c r="C472" s="141"/>
      <c r="D472" s="141"/>
      <c r="E472" s="141"/>
      <c r="F472" s="141"/>
      <c r="G472" s="28"/>
      <c r="H472" s="148" t="s">
        <v>435</v>
      </c>
      <c r="I472" s="141"/>
      <c r="J472" s="141"/>
      <c r="K472" s="141"/>
      <c r="L472" s="141"/>
      <c r="M472" s="8"/>
      <c r="N472" s="149" t="s">
        <v>888</v>
      </c>
      <c r="O472" s="141"/>
      <c r="P472" s="141"/>
      <c r="Q472" s="141"/>
      <c r="R472" s="141"/>
    </row>
    <row r="473" spans="1:18">
      <c r="A473" s="14"/>
      <c r="B473" s="146" t="str">
        <f t="shared" si="75"/>
        <v>RECORDING SESSION</v>
      </c>
      <c r="C473" s="141"/>
      <c r="D473" s="141"/>
      <c r="E473" s="141"/>
      <c r="F473" s="141"/>
      <c r="G473" s="3"/>
      <c r="H473" s="142" t="s">
        <v>459</v>
      </c>
      <c r="I473" s="141"/>
      <c r="J473" s="141"/>
      <c r="K473" s="141"/>
      <c r="L473" s="141"/>
      <c r="M473" s="8"/>
      <c r="N473" s="151" t="s">
        <v>912</v>
      </c>
      <c r="O473" s="141"/>
      <c r="P473" s="141"/>
      <c r="Q473" s="141"/>
      <c r="R473" s="141"/>
    </row>
    <row r="474" spans="1:18">
      <c r="A474" s="14"/>
      <c r="B474" s="9"/>
      <c r="C474" s="10" t="str">
        <f t="shared" ref="C474:C488" si="76">UPPER(I474)</f>
        <v/>
      </c>
      <c r="D474" s="9"/>
      <c r="E474" s="9" t="str">
        <f t="shared" ref="E474:E488" si="77">UPPER(K474)</f>
        <v/>
      </c>
      <c r="F474" s="9"/>
      <c r="G474" s="3"/>
      <c r="H474" s="20"/>
      <c r="I474" s="49"/>
      <c r="J474" s="50"/>
      <c r="K474" s="22"/>
      <c r="L474" s="3"/>
      <c r="M474" s="8"/>
      <c r="N474" s="8"/>
      <c r="O474" s="21"/>
      <c r="P474" s="3"/>
      <c r="Q474" s="3"/>
      <c r="R474" s="3"/>
    </row>
    <row r="475" spans="1:18">
      <c r="A475" s="14"/>
      <c r="B475" s="9"/>
      <c r="C475" s="10" t="str">
        <f t="shared" si="76"/>
        <v>MUSIC PROGRAMING</v>
      </c>
      <c r="D475" s="9"/>
      <c r="E475" s="9" t="str">
        <f t="shared" si="77"/>
        <v>YOONHO KIM</v>
      </c>
      <c r="F475" s="9"/>
      <c r="G475" s="3"/>
      <c r="H475" s="20"/>
      <c r="I475" s="49" t="s">
        <v>464</v>
      </c>
      <c r="J475" s="50"/>
      <c r="K475" s="22" t="s">
        <v>448</v>
      </c>
      <c r="L475" s="3"/>
      <c r="M475" s="8"/>
      <c r="N475" s="8"/>
      <c r="O475" s="36" t="s">
        <v>913</v>
      </c>
      <c r="P475" s="2"/>
      <c r="Q475" s="2" t="s">
        <v>899</v>
      </c>
      <c r="R475" s="3"/>
    </row>
    <row r="476" spans="1:18">
      <c r="A476" s="14"/>
      <c r="B476" s="9"/>
      <c r="C476" s="10" t="str">
        <f t="shared" si="76"/>
        <v/>
      </c>
      <c r="D476" s="9"/>
      <c r="E476" s="9" t="str">
        <f t="shared" si="77"/>
        <v>SIEUN KIM</v>
      </c>
      <c r="F476" s="9"/>
      <c r="G476" s="3"/>
      <c r="H476" s="20"/>
      <c r="I476" s="52"/>
      <c r="J476" s="50"/>
      <c r="K476" s="22" t="s">
        <v>463</v>
      </c>
      <c r="L476" s="3"/>
      <c r="M476" s="8"/>
      <c r="N476" s="8"/>
      <c r="O476" s="2"/>
      <c r="P476" s="2"/>
      <c r="Q476" s="3" t="s">
        <v>901</v>
      </c>
      <c r="R476" s="3"/>
    </row>
    <row r="477" spans="1:18">
      <c r="A477" s="14"/>
      <c r="B477" s="9"/>
      <c r="C477" s="10" t="str">
        <f t="shared" si="76"/>
        <v/>
      </c>
      <c r="D477" s="9"/>
      <c r="E477" s="9" t="str">
        <f t="shared" si="77"/>
        <v>HAEHOON LEE</v>
      </c>
      <c r="F477" s="9"/>
      <c r="G477" s="3"/>
      <c r="H477" s="20"/>
      <c r="I477" s="52"/>
      <c r="J477" s="50"/>
      <c r="K477" s="22" t="s">
        <v>454</v>
      </c>
      <c r="L477" s="3"/>
      <c r="M477" s="8"/>
      <c r="N477" s="8"/>
      <c r="O477" s="2"/>
      <c r="P477" s="2"/>
      <c r="Q477" s="3" t="s">
        <v>904</v>
      </c>
      <c r="R477" s="3"/>
    </row>
    <row r="478" spans="1:18">
      <c r="A478" s="14"/>
      <c r="B478" s="9"/>
      <c r="C478" s="10" t="str">
        <f t="shared" si="76"/>
        <v/>
      </c>
      <c r="D478" s="9"/>
      <c r="E478" s="9" t="str">
        <f t="shared" si="77"/>
        <v>DOLLY HWANG</v>
      </c>
      <c r="F478" s="9"/>
      <c r="G478" s="3"/>
      <c r="H478" s="20"/>
      <c r="I478" s="52"/>
      <c r="J478" s="50"/>
      <c r="K478" s="22" t="s">
        <v>453</v>
      </c>
      <c r="L478" s="3"/>
      <c r="M478" s="8"/>
      <c r="N478" s="8"/>
      <c r="O478" s="2"/>
      <c r="P478" s="2"/>
      <c r="Q478" s="20" t="s">
        <v>453</v>
      </c>
      <c r="R478" s="3"/>
    </row>
    <row r="479" spans="1:18">
      <c r="A479" s="14"/>
      <c r="B479" s="9"/>
      <c r="C479" s="10" t="str">
        <f t="shared" si="76"/>
        <v/>
      </c>
      <c r="D479" s="9"/>
      <c r="E479" s="9" t="str">
        <f t="shared" si="77"/>
        <v>NAYEON LEE</v>
      </c>
      <c r="F479" s="9"/>
      <c r="G479" s="3"/>
      <c r="H479" s="20"/>
      <c r="I479" s="52"/>
      <c r="J479" s="50"/>
      <c r="K479" s="22" t="s">
        <v>452</v>
      </c>
      <c r="L479" s="3"/>
      <c r="M479" s="8"/>
      <c r="N479" s="8"/>
      <c r="O479" s="2"/>
      <c r="P479" s="2"/>
      <c r="Q479" s="3" t="s">
        <v>903</v>
      </c>
      <c r="R479" s="3"/>
    </row>
    <row r="480" spans="1:18">
      <c r="A480" s="14"/>
      <c r="B480" s="9"/>
      <c r="C480" s="10" t="str">
        <f t="shared" si="76"/>
        <v/>
      </c>
      <c r="D480" s="9"/>
      <c r="E480" s="9" t="str">
        <f t="shared" si="77"/>
        <v>BUMPIZ</v>
      </c>
      <c r="F480" s="9"/>
      <c r="G480" s="3"/>
      <c r="H480" s="20"/>
      <c r="I480" s="52"/>
      <c r="J480" s="50"/>
      <c r="K480" s="22" t="s">
        <v>456</v>
      </c>
      <c r="L480" s="3"/>
      <c r="M480" s="8"/>
      <c r="N480" s="8"/>
      <c r="O480" s="2"/>
      <c r="P480" s="2"/>
      <c r="Q480" s="3" t="s">
        <v>456</v>
      </c>
      <c r="R480" s="3"/>
    </row>
    <row r="481" spans="1:18">
      <c r="A481" s="14"/>
      <c r="B481" s="9"/>
      <c r="C481" s="10" t="str">
        <f t="shared" si="76"/>
        <v/>
      </c>
      <c r="D481" s="9"/>
      <c r="E481" s="9" t="str">
        <f t="shared" si="77"/>
        <v>SOYOUNG KWON</v>
      </c>
      <c r="F481" s="9"/>
      <c r="G481" s="3"/>
      <c r="H481" s="20"/>
      <c r="I481" s="52"/>
      <c r="J481" s="50"/>
      <c r="K481" s="22" t="s">
        <v>455</v>
      </c>
      <c r="L481" s="3"/>
      <c r="M481" s="8"/>
      <c r="N481" s="8"/>
      <c r="O481" s="36"/>
      <c r="P481" s="2"/>
      <c r="Q481" s="2" t="s">
        <v>905</v>
      </c>
      <c r="R481" s="3"/>
    </row>
    <row r="482" spans="1:18">
      <c r="A482" s="14"/>
      <c r="B482" s="9"/>
      <c r="C482" s="10" t="str">
        <f t="shared" si="76"/>
        <v/>
      </c>
      <c r="D482" s="9"/>
      <c r="E482" s="9" t="str">
        <f t="shared" si="77"/>
        <v/>
      </c>
      <c r="F482" s="9"/>
      <c r="G482" s="3"/>
      <c r="H482" s="20"/>
      <c r="I482" s="52"/>
      <c r="J482" s="50"/>
      <c r="K482" s="22"/>
      <c r="L482" s="3"/>
      <c r="M482" s="8"/>
      <c r="N482" s="8"/>
      <c r="O482" s="36"/>
      <c r="P482" s="2"/>
      <c r="Q482" s="2"/>
      <c r="R482" s="3"/>
    </row>
    <row r="483" spans="1:18">
      <c r="A483" s="14"/>
      <c r="B483" s="9"/>
      <c r="C483" s="10" t="str">
        <f t="shared" si="76"/>
        <v>RECORDING STUDIO</v>
      </c>
      <c r="D483" s="9"/>
      <c r="E483" s="9" t="str">
        <f t="shared" si="77"/>
        <v>DOONG SOUND</v>
      </c>
      <c r="F483" s="9"/>
      <c r="G483" s="3"/>
      <c r="H483" s="20"/>
      <c r="I483" s="49" t="s">
        <v>465</v>
      </c>
      <c r="J483" s="50"/>
      <c r="K483" s="22" t="s">
        <v>437</v>
      </c>
      <c r="L483" s="3"/>
      <c r="M483" s="8"/>
      <c r="N483" s="8"/>
      <c r="O483" s="36" t="s">
        <v>882</v>
      </c>
      <c r="P483" s="2"/>
      <c r="Q483" s="2" t="s">
        <v>883</v>
      </c>
      <c r="R483" s="3"/>
    </row>
    <row r="484" spans="1:18">
      <c r="A484" s="14"/>
      <c r="B484" s="9"/>
      <c r="C484" s="10" t="str">
        <f t="shared" si="76"/>
        <v/>
      </c>
      <c r="D484" s="9"/>
      <c r="E484" s="9" t="str">
        <f t="shared" si="77"/>
        <v/>
      </c>
      <c r="F484" s="9"/>
      <c r="G484" s="3"/>
      <c r="H484" s="20"/>
      <c r="I484" s="49"/>
      <c r="J484" s="50"/>
      <c r="K484" s="22"/>
      <c r="L484" s="3"/>
      <c r="M484" s="8"/>
      <c r="N484" s="8"/>
      <c r="O484" s="36"/>
      <c r="P484" s="2"/>
      <c r="Q484" s="2"/>
      <c r="R484" s="3"/>
    </row>
    <row r="485" spans="1:18">
      <c r="A485" s="14"/>
      <c r="B485" s="9"/>
      <c r="C485" s="10" t="str">
        <f t="shared" si="76"/>
        <v>RECORDING ENGINEER</v>
      </c>
      <c r="D485" s="9"/>
      <c r="E485" s="9" t="str">
        <f t="shared" si="77"/>
        <v>HYEJEONG HWANG</v>
      </c>
      <c r="F485" s="9"/>
      <c r="G485" s="3"/>
      <c r="H485" s="20"/>
      <c r="I485" s="49" t="s">
        <v>427</v>
      </c>
      <c r="J485" s="50"/>
      <c r="K485" s="22" t="s">
        <v>441</v>
      </c>
      <c r="L485" s="3"/>
      <c r="M485" s="8"/>
      <c r="N485" s="8"/>
      <c r="O485" s="36" t="s">
        <v>886</v>
      </c>
      <c r="P485" s="2"/>
      <c r="Q485" s="2" t="s">
        <v>885</v>
      </c>
      <c r="R485" s="3"/>
    </row>
    <row r="486" spans="1:18">
      <c r="A486" s="14"/>
      <c r="B486" s="9"/>
      <c r="C486" s="10" t="str">
        <f t="shared" si="76"/>
        <v/>
      </c>
      <c r="D486" s="9"/>
      <c r="E486" s="9" t="str">
        <f t="shared" si="77"/>
        <v>Q6</v>
      </c>
      <c r="F486" s="9"/>
      <c r="G486" s="3"/>
      <c r="H486" s="20"/>
      <c r="I486" s="52"/>
      <c r="J486" s="50"/>
      <c r="K486" s="22" t="s">
        <v>466</v>
      </c>
      <c r="L486" s="3"/>
      <c r="M486" s="8"/>
      <c r="N486" s="8"/>
      <c r="O486" s="2"/>
      <c r="P486" s="2"/>
      <c r="Q486" s="2" t="s">
        <v>466</v>
      </c>
      <c r="R486" s="3"/>
    </row>
    <row r="487" spans="1:18">
      <c r="A487" s="14"/>
      <c r="B487" s="9"/>
      <c r="C487" s="10" t="str">
        <f t="shared" si="76"/>
        <v/>
      </c>
      <c r="D487" s="9"/>
      <c r="E487" s="9" t="str">
        <f t="shared" si="77"/>
        <v>BUMPIZ</v>
      </c>
      <c r="F487" s="9"/>
      <c r="G487" s="3"/>
      <c r="H487" s="20"/>
      <c r="I487" s="52"/>
      <c r="J487" s="50"/>
      <c r="K487" s="22" t="s">
        <v>456</v>
      </c>
      <c r="L487" s="3"/>
      <c r="M487" s="8"/>
      <c r="N487" s="8"/>
      <c r="O487" s="2"/>
      <c r="P487" s="2"/>
      <c r="Q487" s="2" t="s">
        <v>456</v>
      </c>
      <c r="R487" s="3"/>
    </row>
    <row r="488" spans="1:18">
      <c r="A488" s="14"/>
      <c r="B488" s="9"/>
      <c r="C488" s="9" t="str">
        <f t="shared" si="76"/>
        <v/>
      </c>
      <c r="D488" s="9"/>
      <c r="E488" s="9" t="str">
        <f t="shared" si="77"/>
        <v/>
      </c>
      <c r="F488" s="9"/>
      <c r="G488" s="3"/>
      <c r="H488" s="20"/>
      <c r="I488" s="21"/>
      <c r="J488" s="20"/>
      <c r="K488" s="3"/>
      <c r="L488" s="3"/>
      <c r="M488" s="8"/>
      <c r="N488" s="8"/>
      <c r="O488" s="21"/>
      <c r="P488" s="3"/>
      <c r="Q488" s="3"/>
      <c r="R488" s="3"/>
    </row>
    <row r="489" spans="1:18">
      <c r="A489" s="14"/>
      <c r="B489" s="11"/>
      <c r="C489" s="11"/>
      <c r="D489" s="11"/>
      <c r="E489" s="11"/>
      <c r="F489" s="11"/>
      <c r="G489" s="3"/>
      <c r="H489" s="20"/>
      <c r="I489" s="21"/>
      <c r="J489" s="20"/>
      <c r="K489" s="3"/>
      <c r="L489" s="3"/>
      <c r="M489" s="8"/>
      <c r="N489" s="8"/>
      <c r="O489" s="21"/>
      <c r="P489" s="3"/>
      <c r="Q489" s="3"/>
      <c r="R489" s="3"/>
    </row>
    <row r="490" spans="1:18">
      <c r="A490" s="14"/>
      <c r="B490" s="6"/>
      <c r="C490" s="6"/>
      <c r="D490" s="6"/>
      <c r="E490" s="6"/>
      <c r="F490" s="6"/>
      <c r="G490" s="3"/>
      <c r="H490" s="48"/>
      <c r="I490" s="15"/>
      <c r="J490" s="15"/>
      <c r="K490" s="5"/>
      <c r="L490" s="48"/>
      <c r="M490" s="8"/>
      <c r="N490" s="8"/>
      <c r="O490" s="21"/>
      <c r="P490" s="3"/>
      <c r="Q490" s="3"/>
      <c r="R490" s="3"/>
    </row>
    <row r="491" spans="1:18">
      <c r="A491" s="14"/>
      <c r="B491" s="150" t="str">
        <f t="shared" ref="B491:B493" si="78">UPPER(H491)</f>
        <v>POST PRODUCTION / ORIGINAL SCORES &amp; SONGS</v>
      </c>
      <c r="C491" s="141"/>
      <c r="D491" s="141"/>
      <c r="E491" s="141"/>
      <c r="F491" s="141"/>
      <c r="G491" s="28"/>
      <c r="H491" s="148" t="s">
        <v>435</v>
      </c>
      <c r="I491" s="141"/>
      <c r="J491" s="141"/>
      <c r="K491" s="141"/>
      <c r="L491" s="141"/>
      <c r="M491" s="29"/>
      <c r="N491" s="161" t="s">
        <v>888</v>
      </c>
      <c r="O491" s="141"/>
      <c r="P491" s="141"/>
      <c r="Q491" s="141"/>
      <c r="R491" s="141"/>
    </row>
    <row r="492" spans="1:18">
      <c r="A492" s="14"/>
      <c r="B492" s="146" t="str">
        <f t="shared" si="78"/>
        <v>WE R THE HEROES</v>
      </c>
      <c r="C492" s="141"/>
      <c r="D492" s="141"/>
      <c r="E492" s="141"/>
      <c r="F492" s="141"/>
      <c r="G492" s="3"/>
      <c r="H492" s="142" t="s">
        <v>467</v>
      </c>
      <c r="I492" s="141"/>
      <c r="J492" s="141"/>
      <c r="K492" s="141"/>
      <c r="L492" s="141"/>
      <c r="M492" s="8"/>
      <c r="N492" s="159" t="s">
        <v>467</v>
      </c>
      <c r="O492" s="141"/>
      <c r="P492" s="141"/>
      <c r="Q492" s="141"/>
      <c r="R492" s="141"/>
    </row>
    <row r="493" spans="1:18">
      <c r="A493" s="14"/>
      <c r="B493" s="158" t="str">
        <f t="shared" si="78"/>
        <v>OPENING SONG</v>
      </c>
      <c r="C493" s="141"/>
      <c r="D493" s="141"/>
      <c r="E493" s="141"/>
      <c r="F493" s="141"/>
      <c r="G493" s="3"/>
      <c r="H493" s="163" t="s">
        <v>468</v>
      </c>
      <c r="I493" s="141"/>
      <c r="J493" s="141"/>
      <c r="K493" s="141"/>
      <c r="L493" s="141"/>
      <c r="M493" s="8"/>
      <c r="N493" s="160" t="s">
        <v>914</v>
      </c>
      <c r="O493" s="141"/>
      <c r="P493" s="141"/>
      <c r="Q493" s="141"/>
      <c r="R493" s="141"/>
    </row>
    <row r="494" spans="1:18">
      <c r="A494" s="14"/>
      <c r="B494" s="9"/>
      <c r="C494" s="10" t="str">
        <f t="shared" ref="C494:C502" si="79">UPPER(I494)</f>
        <v>COMPOSER &amp; ARRANGER</v>
      </c>
      <c r="D494" s="9"/>
      <c r="E494" s="9" t="str">
        <f t="shared" ref="E494:E502" si="80">UPPER(K494)</f>
        <v>DOLLY HWANG</v>
      </c>
      <c r="F494" s="9"/>
      <c r="G494" s="3"/>
      <c r="H494" s="21"/>
      <c r="I494" s="21" t="s">
        <v>469</v>
      </c>
      <c r="J494" s="20"/>
      <c r="K494" s="3" t="s">
        <v>453</v>
      </c>
      <c r="L494" s="3"/>
      <c r="M494" s="8"/>
      <c r="N494" s="2"/>
      <c r="O494" s="36" t="s">
        <v>915</v>
      </c>
      <c r="P494" s="2"/>
      <c r="Q494" s="2" t="s">
        <v>453</v>
      </c>
      <c r="R494" s="2"/>
    </row>
    <row r="495" spans="1:18">
      <c r="A495" s="14"/>
      <c r="B495" s="9"/>
      <c r="C495" s="10" t="str">
        <f t="shared" si="79"/>
        <v>LYRICS</v>
      </c>
      <c r="D495" s="9"/>
      <c r="E495" s="9" t="str">
        <f t="shared" si="80"/>
        <v>DOLLY HWANG</v>
      </c>
      <c r="F495" s="9"/>
      <c r="G495" s="3"/>
      <c r="H495" s="21"/>
      <c r="I495" s="21" t="s">
        <v>470</v>
      </c>
      <c r="J495" s="20"/>
      <c r="K495" s="3" t="s">
        <v>453</v>
      </c>
      <c r="L495" s="3"/>
      <c r="M495" s="8"/>
      <c r="N495" s="2"/>
      <c r="O495" s="36" t="s">
        <v>916</v>
      </c>
      <c r="P495" s="2"/>
      <c r="Q495" s="2" t="s">
        <v>453</v>
      </c>
      <c r="R495" s="2"/>
    </row>
    <row r="496" spans="1:18">
      <c r="A496" s="14"/>
      <c r="B496" s="9"/>
      <c r="C496" s="10" t="str">
        <f t="shared" si="79"/>
        <v/>
      </c>
      <c r="D496" s="9"/>
      <c r="E496" s="9" t="str">
        <f t="shared" si="80"/>
        <v/>
      </c>
      <c r="F496" s="9"/>
      <c r="G496" s="3"/>
      <c r="H496" s="157"/>
      <c r="I496" s="141"/>
      <c r="J496" s="141"/>
      <c r="K496" s="141"/>
      <c r="L496" s="141"/>
      <c r="M496" s="8"/>
      <c r="N496" s="2"/>
      <c r="O496" s="2"/>
      <c r="P496" s="2"/>
      <c r="Q496" s="2"/>
      <c r="R496" s="2"/>
    </row>
    <row r="497" spans="1:18">
      <c r="A497" s="14"/>
      <c r="B497" s="9"/>
      <c r="C497" s="10" t="str">
        <f t="shared" si="79"/>
        <v>VOCAL</v>
      </c>
      <c r="D497" s="9"/>
      <c r="E497" s="9" t="str">
        <f t="shared" si="80"/>
        <v>DOLLY HWANG</v>
      </c>
      <c r="F497" s="9"/>
      <c r="G497" s="3"/>
      <c r="H497" s="21"/>
      <c r="I497" s="21" t="s">
        <v>471</v>
      </c>
      <c r="J497" s="20"/>
      <c r="K497" s="3" t="s">
        <v>453</v>
      </c>
      <c r="L497" s="3"/>
      <c r="M497" s="8"/>
      <c r="N497" s="2"/>
      <c r="O497" s="36" t="s">
        <v>917</v>
      </c>
      <c r="P497" s="2"/>
      <c r="Q497" s="2" t="s">
        <v>453</v>
      </c>
      <c r="R497" s="2"/>
    </row>
    <row r="498" spans="1:18">
      <c r="A498" s="14"/>
      <c r="B498" s="9"/>
      <c r="C498" s="10" t="str">
        <f t="shared" si="79"/>
        <v>GUITAR</v>
      </c>
      <c r="D498" s="9"/>
      <c r="E498" s="9" t="str">
        <f t="shared" si="80"/>
        <v>DOLLY HWANG</v>
      </c>
      <c r="F498" s="9"/>
      <c r="G498" s="3"/>
      <c r="H498" s="21"/>
      <c r="I498" s="21" t="s">
        <v>460</v>
      </c>
      <c r="J498" s="20"/>
      <c r="K498" s="3" t="s">
        <v>453</v>
      </c>
      <c r="L498" s="3"/>
      <c r="M498" s="8"/>
      <c r="N498" s="2"/>
      <c r="O498" s="36" t="s">
        <v>909</v>
      </c>
      <c r="P498" s="2"/>
      <c r="Q498" s="2" t="s">
        <v>453</v>
      </c>
      <c r="R498" s="2"/>
    </row>
    <row r="499" spans="1:18">
      <c r="A499" s="14"/>
      <c r="B499" s="9"/>
      <c r="C499" s="10" t="str">
        <f t="shared" si="79"/>
        <v>BASS</v>
      </c>
      <c r="D499" s="9"/>
      <c r="E499" s="9" t="str">
        <f t="shared" si="80"/>
        <v>DOLLY HWANG</v>
      </c>
      <c r="F499" s="9"/>
      <c r="G499" s="3"/>
      <c r="H499" s="21"/>
      <c r="I499" s="21" t="s">
        <v>461</v>
      </c>
      <c r="J499" s="20"/>
      <c r="K499" s="3" t="s">
        <v>453</v>
      </c>
      <c r="L499" s="3"/>
      <c r="M499" s="8"/>
      <c r="N499" s="2"/>
      <c r="O499" s="36" t="s">
        <v>910</v>
      </c>
      <c r="P499" s="2"/>
      <c r="Q499" s="2" t="s">
        <v>453</v>
      </c>
      <c r="R499" s="2"/>
    </row>
    <row r="500" spans="1:18">
      <c r="A500" s="14"/>
      <c r="B500" s="9"/>
      <c r="C500" s="10" t="str">
        <f t="shared" si="79"/>
        <v>RECORDING STUDIO</v>
      </c>
      <c r="D500" s="9"/>
      <c r="E500" s="9" t="str">
        <f t="shared" si="80"/>
        <v>PURPLE MOON</v>
      </c>
      <c r="F500" s="9"/>
      <c r="G500" s="3"/>
      <c r="H500" s="21"/>
      <c r="I500" s="21" t="s">
        <v>465</v>
      </c>
      <c r="J500" s="20"/>
      <c r="K500" s="3" t="s">
        <v>472</v>
      </c>
      <c r="L500" s="3"/>
      <c r="M500" s="8"/>
      <c r="N500" s="2"/>
      <c r="O500" s="36" t="s">
        <v>882</v>
      </c>
      <c r="P500" s="2"/>
      <c r="Q500" s="2" t="s">
        <v>472</v>
      </c>
      <c r="R500" s="2"/>
    </row>
    <row r="501" spans="1:18">
      <c r="A501" s="14"/>
      <c r="B501" s="9"/>
      <c r="C501" s="10" t="str">
        <f t="shared" si="79"/>
        <v>RECORDING ENGINEER</v>
      </c>
      <c r="D501" s="9"/>
      <c r="E501" s="9" t="str">
        <f t="shared" si="80"/>
        <v>DOLLY HWANG</v>
      </c>
      <c r="F501" s="9"/>
      <c r="G501" s="3"/>
      <c r="H501" s="21"/>
      <c r="I501" s="21" t="s">
        <v>427</v>
      </c>
      <c r="J501" s="20"/>
      <c r="K501" s="3" t="s">
        <v>453</v>
      </c>
      <c r="L501" s="3"/>
      <c r="M501" s="8"/>
      <c r="N501" s="2"/>
      <c r="O501" s="36" t="s">
        <v>886</v>
      </c>
      <c r="P501" s="2"/>
      <c r="Q501" s="2" t="s">
        <v>453</v>
      </c>
      <c r="R501" s="2"/>
    </row>
    <row r="502" spans="1:18">
      <c r="A502" s="14"/>
      <c r="B502" s="9"/>
      <c r="C502" s="9" t="str">
        <f t="shared" si="79"/>
        <v/>
      </c>
      <c r="D502" s="9"/>
      <c r="E502" s="9" t="str">
        <f t="shared" si="80"/>
        <v/>
      </c>
      <c r="F502" s="9"/>
      <c r="G502" s="3"/>
      <c r="H502" s="21"/>
      <c r="I502" s="21"/>
      <c r="J502" s="20"/>
      <c r="K502" s="3"/>
      <c r="L502" s="3"/>
      <c r="M502" s="8"/>
      <c r="N502" s="2"/>
      <c r="O502" s="2"/>
      <c r="P502" s="2"/>
      <c r="Q502" s="2"/>
      <c r="R502" s="2"/>
    </row>
    <row r="503" spans="1:18">
      <c r="A503" s="14"/>
      <c r="B503" s="146" t="str">
        <f t="shared" ref="B503:B504" si="81">UPPER(H503)</f>
        <v>TEENAGE DREAMING</v>
      </c>
      <c r="C503" s="141"/>
      <c r="D503" s="141"/>
      <c r="E503" s="141"/>
      <c r="F503" s="141"/>
      <c r="G503" s="3"/>
      <c r="H503" s="164" t="s">
        <v>473</v>
      </c>
      <c r="I503" s="141"/>
      <c r="J503" s="141"/>
      <c r="K503" s="141"/>
      <c r="L503" s="141"/>
      <c r="M503" s="8"/>
      <c r="N503" s="161" t="s">
        <v>473</v>
      </c>
      <c r="O503" s="141"/>
      <c r="P503" s="141"/>
      <c r="Q503" s="141"/>
      <c r="R503" s="141"/>
    </row>
    <row r="504" spans="1:18">
      <c r="A504" s="14"/>
      <c r="B504" s="158" t="str">
        <f t="shared" si="81"/>
        <v>ENDING SONG</v>
      </c>
      <c r="C504" s="141"/>
      <c r="D504" s="141"/>
      <c r="E504" s="141"/>
      <c r="F504" s="141"/>
      <c r="G504" s="3"/>
      <c r="H504" s="156" t="s">
        <v>474</v>
      </c>
      <c r="I504" s="141"/>
      <c r="J504" s="141"/>
      <c r="K504" s="141"/>
      <c r="L504" s="141"/>
      <c r="M504" s="8"/>
      <c r="N504" s="162" t="s">
        <v>918</v>
      </c>
      <c r="O504" s="141"/>
      <c r="P504" s="141"/>
      <c r="Q504" s="141"/>
      <c r="R504" s="141"/>
    </row>
    <row r="505" spans="1:18">
      <c r="A505" s="14"/>
      <c r="B505" s="9"/>
      <c r="C505" s="10" t="str">
        <f t="shared" ref="C505:C513" si="82">UPPER(I505)</f>
        <v>COMPOSER &amp; ARRANGER</v>
      </c>
      <c r="D505" s="9"/>
      <c r="E505" s="9" t="str">
        <f t="shared" ref="E505:E513" si="83">UPPER(K505)</f>
        <v>DOLLY HWANG</v>
      </c>
      <c r="F505" s="9"/>
      <c r="G505" s="3"/>
      <c r="H505" s="53"/>
      <c r="I505" s="54" t="s">
        <v>469</v>
      </c>
      <c r="J505" s="53"/>
      <c r="K505" s="2" t="s">
        <v>453</v>
      </c>
      <c r="L505" s="55"/>
      <c r="M505" s="8"/>
      <c r="N505" s="2"/>
      <c r="O505" s="36" t="s">
        <v>915</v>
      </c>
      <c r="P505" s="2"/>
      <c r="Q505" s="2" t="s">
        <v>453</v>
      </c>
      <c r="R505" s="2"/>
    </row>
    <row r="506" spans="1:18">
      <c r="A506" s="14"/>
      <c r="B506" s="9"/>
      <c r="C506" s="10" t="str">
        <f t="shared" si="82"/>
        <v>LYRICS</v>
      </c>
      <c r="D506" s="9"/>
      <c r="E506" s="9" t="str">
        <f t="shared" si="83"/>
        <v>PAUL Y. KIM</v>
      </c>
      <c r="F506" s="9"/>
      <c r="G506" s="3"/>
      <c r="H506" s="53"/>
      <c r="I506" s="54" t="s">
        <v>470</v>
      </c>
      <c r="J506" s="53"/>
      <c r="K506" s="2" t="s">
        <v>475</v>
      </c>
      <c r="L506" s="55"/>
      <c r="M506" s="8"/>
      <c r="N506" s="2"/>
      <c r="O506" s="36" t="s">
        <v>916</v>
      </c>
      <c r="P506" s="2"/>
      <c r="Q506" s="2" t="s">
        <v>475</v>
      </c>
      <c r="R506" s="2"/>
    </row>
    <row r="507" spans="1:18">
      <c r="A507" s="14"/>
      <c r="B507" s="9"/>
      <c r="C507" s="10" t="str">
        <f t="shared" si="82"/>
        <v/>
      </c>
      <c r="D507" s="9"/>
      <c r="E507" s="9" t="str">
        <f t="shared" si="83"/>
        <v/>
      </c>
      <c r="F507" s="9"/>
      <c r="G507" s="3"/>
      <c r="H507" s="157"/>
      <c r="I507" s="141"/>
      <c r="J507" s="141"/>
      <c r="K507" s="141"/>
      <c r="L507" s="141"/>
      <c r="M507" s="8"/>
      <c r="N507" s="2"/>
      <c r="O507" s="2"/>
      <c r="P507" s="2"/>
      <c r="Q507" s="2"/>
      <c r="R507" s="2"/>
    </row>
    <row r="508" spans="1:18">
      <c r="A508" s="14"/>
      <c r="B508" s="9"/>
      <c r="C508" s="10" t="str">
        <f t="shared" si="82"/>
        <v>VOCAL</v>
      </c>
      <c r="D508" s="9"/>
      <c r="E508" s="9" t="str">
        <f t="shared" si="83"/>
        <v>DOLLY HWANG</v>
      </c>
      <c r="F508" s="9"/>
      <c r="G508" s="3"/>
      <c r="H508" s="53"/>
      <c r="I508" s="54" t="s">
        <v>471</v>
      </c>
      <c r="J508" s="53"/>
      <c r="K508" s="2" t="s">
        <v>453</v>
      </c>
      <c r="L508" s="55"/>
      <c r="M508" s="8"/>
      <c r="N508" s="2"/>
      <c r="O508" s="36" t="s">
        <v>917</v>
      </c>
      <c r="P508" s="2"/>
      <c r="Q508" s="2" t="s">
        <v>453</v>
      </c>
      <c r="R508" s="2"/>
    </row>
    <row r="509" spans="1:18">
      <c r="A509" s="14"/>
      <c r="B509" s="9"/>
      <c r="C509" s="10" t="str">
        <f t="shared" si="82"/>
        <v>GUITAR</v>
      </c>
      <c r="D509" s="9"/>
      <c r="E509" s="9" t="str">
        <f t="shared" si="83"/>
        <v>DOLLY HWANG</v>
      </c>
      <c r="F509" s="9"/>
      <c r="G509" s="3"/>
      <c r="H509" s="53"/>
      <c r="I509" s="54" t="s">
        <v>460</v>
      </c>
      <c r="J509" s="53"/>
      <c r="K509" s="2" t="s">
        <v>453</v>
      </c>
      <c r="L509" s="55"/>
      <c r="M509" s="8"/>
      <c r="N509" s="2"/>
      <c r="O509" s="36" t="s">
        <v>909</v>
      </c>
      <c r="P509" s="2"/>
      <c r="Q509" s="2" t="s">
        <v>453</v>
      </c>
      <c r="R509" s="2"/>
    </row>
    <row r="510" spans="1:18">
      <c r="A510" s="14"/>
      <c r="B510" s="9"/>
      <c r="C510" s="10" t="str">
        <f t="shared" si="82"/>
        <v>BASS</v>
      </c>
      <c r="D510" s="9"/>
      <c r="E510" s="9" t="str">
        <f t="shared" si="83"/>
        <v>DOLLY HWANG</v>
      </c>
      <c r="F510" s="9"/>
      <c r="G510" s="3"/>
      <c r="H510" s="53"/>
      <c r="I510" s="54" t="s">
        <v>461</v>
      </c>
      <c r="J510" s="53"/>
      <c r="K510" s="2" t="s">
        <v>453</v>
      </c>
      <c r="L510" s="55"/>
      <c r="M510" s="8"/>
      <c r="N510" s="2"/>
      <c r="O510" s="36" t="s">
        <v>910</v>
      </c>
      <c r="P510" s="2"/>
      <c r="Q510" s="2" t="s">
        <v>453</v>
      </c>
      <c r="R510" s="2"/>
    </row>
    <row r="511" spans="1:18">
      <c r="A511" s="14"/>
      <c r="B511" s="9"/>
      <c r="C511" s="10" t="str">
        <f t="shared" si="82"/>
        <v>RECORDING STUDIO</v>
      </c>
      <c r="D511" s="9"/>
      <c r="E511" s="9" t="str">
        <f t="shared" si="83"/>
        <v>PURPLE MOON</v>
      </c>
      <c r="F511" s="9"/>
      <c r="G511" s="3"/>
      <c r="H511" s="53"/>
      <c r="I511" s="54" t="s">
        <v>465</v>
      </c>
      <c r="J511" s="53"/>
      <c r="K511" s="2" t="s">
        <v>472</v>
      </c>
      <c r="L511" s="55"/>
      <c r="M511" s="8"/>
      <c r="N511" s="2"/>
      <c r="O511" s="36" t="s">
        <v>882</v>
      </c>
      <c r="P511" s="2"/>
      <c r="Q511" s="2" t="s">
        <v>472</v>
      </c>
      <c r="R511" s="2"/>
    </row>
    <row r="512" spans="1:18">
      <c r="A512" s="14"/>
      <c r="B512" s="9"/>
      <c r="C512" s="10" t="str">
        <f t="shared" si="82"/>
        <v>RECORDING ENGINEER</v>
      </c>
      <c r="D512" s="9"/>
      <c r="E512" s="9" t="str">
        <f t="shared" si="83"/>
        <v>DOLLY HWANG</v>
      </c>
      <c r="F512" s="9"/>
      <c r="G512" s="3"/>
      <c r="H512" s="53"/>
      <c r="I512" s="54" t="s">
        <v>427</v>
      </c>
      <c r="J512" s="53"/>
      <c r="K512" s="2" t="s">
        <v>453</v>
      </c>
      <c r="L512" s="55"/>
      <c r="M512" s="8"/>
      <c r="N512" s="2"/>
      <c r="O512" s="36" t="s">
        <v>886</v>
      </c>
      <c r="P512" s="2"/>
      <c r="Q512" s="2" t="s">
        <v>453</v>
      </c>
      <c r="R512" s="2"/>
    </row>
    <row r="513" spans="1:18">
      <c r="A513" s="14"/>
      <c r="B513" s="9"/>
      <c r="C513" s="9" t="str">
        <f t="shared" si="82"/>
        <v/>
      </c>
      <c r="D513" s="9"/>
      <c r="E513" s="9" t="str">
        <f t="shared" si="83"/>
        <v/>
      </c>
      <c r="F513" s="9"/>
      <c r="G513" s="3"/>
      <c r="H513" s="20"/>
      <c r="I513" s="21"/>
      <c r="J513" s="20"/>
      <c r="K513" s="3"/>
      <c r="L513" s="3"/>
      <c r="M513" s="8"/>
      <c r="N513" s="8"/>
      <c r="O513" s="21"/>
      <c r="P513" s="3"/>
      <c r="Q513" s="3"/>
      <c r="R513" s="3"/>
    </row>
    <row r="514" spans="1:18">
      <c r="A514" s="14"/>
      <c r="B514" s="11"/>
      <c r="C514" s="11"/>
      <c r="D514" s="11"/>
      <c r="E514" s="11"/>
      <c r="F514" s="11"/>
      <c r="G514" s="3"/>
      <c r="H514" s="20"/>
      <c r="I514" s="21"/>
      <c r="J514" s="20"/>
      <c r="K514" s="3"/>
      <c r="L514" s="3"/>
      <c r="M514" s="8"/>
      <c r="N514" s="8"/>
      <c r="O514" s="21"/>
      <c r="P514" s="3"/>
      <c r="Q514" s="3"/>
      <c r="R514" s="3"/>
    </row>
    <row r="515" spans="1:18">
      <c r="A515" s="14"/>
      <c r="B515" s="6"/>
      <c r="C515" s="6"/>
      <c r="D515" s="6"/>
      <c r="E515" s="6"/>
      <c r="F515" s="6"/>
      <c r="G515" s="3"/>
      <c r="H515" s="15"/>
      <c r="I515" s="15"/>
      <c r="J515" s="15"/>
      <c r="K515" s="5"/>
      <c r="L515" s="15"/>
      <c r="M515" s="8"/>
      <c r="N515" s="8"/>
      <c r="O515" s="21"/>
      <c r="P515" s="3"/>
      <c r="Q515" s="3"/>
      <c r="R515" s="3"/>
    </row>
    <row r="516" spans="1:18">
      <c r="A516" s="14"/>
      <c r="B516" s="150" t="str">
        <f t="shared" ref="B516:B517" si="84">UPPER(H516)</f>
        <v>POST PRODUCTION / ORIGINAL SCORES &amp; SONGS</v>
      </c>
      <c r="C516" s="141"/>
      <c r="D516" s="141"/>
      <c r="E516" s="141"/>
      <c r="F516" s="141"/>
      <c r="G516" s="28"/>
      <c r="H516" s="148" t="s">
        <v>435</v>
      </c>
      <c r="I516" s="141"/>
      <c r="J516" s="141"/>
      <c r="K516" s="141"/>
      <c r="L516" s="141"/>
      <c r="M516" s="29"/>
      <c r="N516" s="149" t="s">
        <v>888</v>
      </c>
      <c r="O516" s="141"/>
      <c r="P516" s="141"/>
      <c r="Q516" s="141"/>
      <c r="R516" s="141"/>
    </row>
    <row r="517" spans="1:18">
      <c r="A517" s="14"/>
      <c r="B517" s="146" t="str">
        <f t="shared" si="84"/>
        <v>MUSIC BY EPISODE</v>
      </c>
      <c r="C517" s="141"/>
      <c r="D517" s="141"/>
      <c r="E517" s="141"/>
      <c r="F517" s="141"/>
      <c r="G517" s="3"/>
      <c r="H517" s="147" t="s">
        <v>476</v>
      </c>
      <c r="I517" s="141"/>
      <c r="J517" s="141"/>
      <c r="K517" s="141"/>
      <c r="L517" s="141"/>
      <c r="M517" s="8"/>
      <c r="N517" s="149" t="s">
        <v>919</v>
      </c>
      <c r="O517" s="141"/>
      <c r="P517" s="141"/>
      <c r="Q517" s="141"/>
      <c r="R517" s="141"/>
    </row>
    <row r="518" spans="1:18">
      <c r="A518" s="14"/>
      <c r="B518" s="6"/>
      <c r="C518" s="10" t="str">
        <f t="shared" ref="C518:C529" si="85">UPPER(I518)</f>
        <v/>
      </c>
      <c r="D518" s="42"/>
      <c r="E518" s="57" t="str">
        <f t="shared" ref="E518:E529" si="86">UPPER(K518)</f>
        <v/>
      </c>
      <c r="F518" s="6"/>
      <c r="G518" s="3"/>
      <c r="H518" s="15"/>
      <c r="I518" s="49"/>
      <c r="J518" s="51"/>
      <c r="K518" s="22"/>
      <c r="L518" s="15"/>
      <c r="M518" s="8"/>
      <c r="N518" s="149"/>
      <c r="O518" s="141"/>
      <c r="P518" s="141"/>
      <c r="Q518" s="141"/>
      <c r="R518" s="141"/>
    </row>
    <row r="519" spans="1:18">
      <c r="A519" s="14"/>
      <c r="B519" s="6"/>
      <c r="C519" s="10" t="str">
        <f t="shared" si="85"/>
        <v>MUSIC SUPERVISOR</v>
      </c>
      <c r="D519" s="42"/>
      <c r="E519" s="57" t="str">
        <f t="shared" si="86"/>
        <v>YOONHO KIM</v>
      </c>
      <c r="F519" s="6"/>
      <c r="G519" s="3"/>
      <c r="H519" s="20"/>
      <c r="I519" s="49" t="s">
        <v>447</v>
      </c>
      <c r="J519" s="51"/>
      <c r="K519" s="22" t="s">
        <v>448</v>
      </c>
      <c r="L519" s="3"/>
      <c r="M519" s="8"/>
      <c r="N519" s="3"/>
      <c r="O519" s="8" t="s">
        <v>898</v>
      </c>
      <c r="P519" s="3"/>
      <c r="Q519" s="3" t="s">
        <v>899</v>
      </c>
      <c r="R519" s="3"/>
    </row>
    <row r="520" spans="1:18">
      <c r="A520" s="14"/>
      <c r="B520" s="6"/>
      <c r="C520" s="10" t="str">
        <f t="shared" si="85"/>
        <v/>
      </c>
      <c r="D520" s="42"/>
      <c r="E520" s="57" t="str">
        <f t="shared" si="86"/>
        <v/>
      </c>
      <c r="F520" s="6"/>
      <c r="G520" s="3"/>
      <c r="H520" s="20"/>
      <c r="I520" s="132"/>
      <c r="J520" s="50"/>
      <c r="K520" s="14"/>
      <c r="L520" s="3"/>
      <c r="M520" s="8"/>
      <c r="N520" s="3"/>
      <c r="O520" s="8"/>
      <c r="P520" s="3"/>
      <c r="Q520" s="3"/>
      <c r="R520" s="3"/>
    </row>
    <row r="521" spans="1:18">
      <c r="A521" s="14"/>
      <c r="B521" s="6"/>
      <c r="C521" s="10" t="str">
        <f t="shared" si="85"/>
        <v>LEAD COMPOSER</v>
      </c>
      <c r="D521" s="42"/>
      <c r="E521" s="57" t="str">
        <f t="shared" si="86"/>
        <v>SIEUN KIM</v>
      </c>
      <c r="F521" s="6"/>
      <c r="G521" s="3"/>
      <c r="H521" s="15"/>
      <c r="I521" s="49" t="s">
        <v>449</v>
      </c>
      <c r="J521" s="51"/>
      <c r="K521" s="22" t="s">
        <v>463</v>
      </c>
      <c r="L521" s="15"/>
      <c r="M521" s="8"/>
      <c r="N521" s="3"/>
      <c r="O521" s="8" t="s">
        <v>900</v>
      </c>
      <c r="P521" s="3"/>
      <c r="Q521" s="3" t="s">
        <v>901</v>
      </c>
      <c r="R521" s="3"/>
    </row>
    <row r="522" spans="1:18">
      <c r="A522" s="14"/>
      <c r="B522" s="6"/>
      <c r="C522" s="10" t="str">
        <f t="shared" si="85"/>
        <v/>
      </c>
      <c r="D522" s="42"/>
      <c r="E522" s="57" t="str">
        <f t="shared" si="86"/>
        <v/>
      </c>
      <c r="F522" s="6"/>
      <c r="G522" s="3"/>
      <c r="H522" s="20"/>
      <c r="I522" s="46"/>
      <c r="J522" s="46"/>
      <c r="K522" s="75"/>
      <c r="L522" s="3"/>
      <c r="M522" s="8"/>
      <c r="N522" s="3"/>
      <c r="O522" s="8"/>
      <c r="P522" s="3"/>
      <c r="Q522" s="3"/>
      <c r="R522" s="3"/>
    </row>
    <row r="523" spans="1:18">
      <c r="A523" s="14"/>
      <c r="B523" s="6"/>
      <c r="C523" s="10" t="str">
        <f t="shared" si="85"/>
        <v>ADDITIONAL COMPOSER</v>
      </c>
      <c r="D523" s="42"/>
      <c r="E523" s="57" t="str">
        <f t="shared" si="86"/>
        <v>DOLLY HWANG</v>
      </c>
      <c r="F523" s="6"/>
      <c r="G523" s="3"/>
      <c r="H523" s="20"/>
      <c r="I523" s="49" t="s">
        <v>451</v>
      </c>
      <c r="J523" s="51"/>
      <c r="K523" s="22" t="s">
        <v>453</v>
      </c>
      <c r="L523" s="3"/>
      <c r="M523" s="8"/>
      <c r="N523" s="3"/>
      <c r="O523" s="8" t="s">
        <v>902</v>
      </c>
      <c r="P523" s="3"/>
      <c r="Q523" s="2" t="s">
        <v>453</v>
      </c>
      <c r="R523" s="3"/>
    </row>
    <row r="524" spans="1:18">
      <c r="A524" s="14"/>
      <c r="B524" s="6"/>
      <c r="C524" s="10" t="str">
        <f t="shared" si="85"/>
        <v/>
      </c>
      <c r="D524" s="42"/>
      <c r="E524" s="57" t="str">
        <f t="shared" si="86"/>
        <v>HAEHOON LEE</v>
      </c>
      <c r="F524" s="6"/>
      <c r="G524" s="3"/>
      <c r="H524" s="20"/>
      <c r="I524" s="49"/>
      <c r="J524" s="51"/>
      <c r="K524" s="22" t="s">
        <v>454</v>
      </c>
      <c r="L524" s="3"/>
      <c r="M524" s="8"/>
      <c r="N524" s="3"/>
      <c r="O524" s="8"/>
      <c r="P524" s="3"/>
      <c r="Q524" s="3" t="s">
        <v>904</v>
      </c>
      <c r="R524" s="3"/>
    </row>
    <row r="525" spans="1:18">
      <c r="A525" s="14"/>
      <c r="B525" s="6"/>
      <c r="C525" s="10" t="str">
        <f t="shared" si="85"/>
        <v/>
      </c>
      <c r="D525" s="42"/>
      <c r="E525" s="57" t="str">
        <f t="shared" si="86"/>
        <v/>
      </c>
      <c r="F525" s="6"/>
      <c r="G525" s="3"/>
      <c r="H525" s="20"/>
      <c r="I525" s="132"/>
      <c r="J525" s="50"/>
      <c r="K525" s="22"/>
      <c r="L525" s="3"/>
      <c r="M525" s="8"/>
      <c r="N525" s="3"/>
      <c r="O525" s="8"/>
      <c r="P525" s="3"/>
      <c r="Q525" s="3"/>
      <c r="R525" s="3"/>
    </row>
    <row r="526" spans="1:18">
      <c r="A526" s="14"/>
      <c r="B526" s="6"/>
      <c r="C526" s="10" t="str">
        <f t="shared" si="85"/>
        <v>LEAD SOUND DESIGNER</v>
      </c>
      <c r="D526" s="42"/>
      <c r="E526" s="57" t="str">
        <f t="shared" si="86"/>
        <v>HYEJEONG HWANG</v>
      </c>
      <c r="F526" s="6"/>
      <c r="G526" s="3"/>
      <c r="H526" s="20"/>
      <c r="I526" s="49" t="s">
        <v>478</v>
      </c>
      <c r="J526" s="51"/>
      <c r="K526" s="22" t="s">
        <v>441</v>
      </c>
      <c r="L526" s="3"/>
      <c r="M526" s="8"/>
      <c r="N526" s="3"/>
      <c r="O526" s="8" t="s">
        <v>920</v>
      </c>
      <c r="P526" s="3"/>
      <c r="Q526" s="3" t="s">
        <v>885</v>
      </c>
      <c r="R526" s="3"/>
    </row>
    <row r="527" spans="1:18">
      <c r="A527" s="14"/>
      <c r="B527" s="6"/>
      <c r="C527" s="10" t="str">
        <f t="shared" si="85"/>
        <v/>
      </c>
      <c r="D527" s="42"/>
      <c r="E527" s="57" t="str">
        <f t="shared" si="86"/>
        <v/>
      </c>
      <c r="F527" s="6"/>
      <c r="G527" s="3"/>
      <c r="H527" s="15"/>
      <c r="I527" s="132"/>
      <c r="J527" s="50"/>
      <c r="K527" s="14"/>
      <c r="L527" s="15"/>
      <c r="M527" s="8"/>
      <c r="N527" s="3"/>
      <c r="O527" s="8"/>
      <c r="P527" s="3"/>
      <c r="Q527" s="3"/>
      <c r="R527" s="3"/>
    </row>
    <row r="528" spans="1:18">
      <c r="A528" s="14"/>
      <c r="B528" s="6"/>
      <c r="C528" s="10" t="str">
        <f t="shared" si="85"/>
        <v>FOLEY DESIGNER</v>
      </c>
      <c r="D528" s="42"/>
      <c r="E528" s="57" t="str">
        <f t="shared" si="86"/>
        <v>HYEJEONG HWANG</v>
      </c>
      <c r="F528" s="6"/>
      <c r="G528" s="3"/>
      <c r="H528" s="20"/>
      <c r="I528" s="49" t="s">
        <v>479</v>
      </c>
      <c r="J528" s="51"/>
      <c r="K528" s="22" t="s">
        <v>441</v>
      </c>
      <c r="L528" s="3"/>
      <c r="M528" s="8"/>
      <c r="N528" s="3"/>
      <c r="O528" s="8" t="s">
        <v>921</v>
      </c>
      <c r="P528" s="3"/>
      <c r="Q528" s="3" t="s">
        <v>885</v>
      </c>
      <c r="R528" s="3"/>
    </row>
    <row r="529" spans="1:18">
      <c r="A529" s="14"/>
      <c r="B529" s="6"/>
      <c r="C529" s="10" t="str">
        <f t="shared" si="85"/>
        <v/>
      </c>
      <c r="D529" s="42"/>
      <c r="E529" s="57" t="str">
        <f t="shared" si="86"/>
        <v/>
      </c>
      <c r="F529" s="6"/>
      <c r="G529" s="3"/>
      <c r="H529" s="20"/>
      <c r="I529" s="49"/>
      <c r="J529" s="51"/>
      <c r="K529" s="22"/>
      <c r="L529" s="3"/>
      <c r="M529" s="8"/>
      <c r="N529" s="99"/>
      <c r="O529" s="8"/>
      <c r="P529" s="3"/>
      <c r="Q529" s="3"/>
      <c r="R529" s="73"/>
    </row>
    <row r="530" spans="1:18">
      <c r="A530" s="14"/>
      <c r="B530" s="11"/>
      <c r="C530" s="11"/>
      <c r="D530" s="11"/>
      <c r="E530" s="11"/>
      <c r="F530" s="11"/>
      <c r="G530" s="3"/>
      <c r="H530" s="20"/>
      <c r="I530" s="21"/>
      <c r="J530" s="20"/>
      <c r="K530" s="3"/>
      <c r="L530" s="3"/>
      <c r="M530" s="8"/>
      <c r="N530" s="8"/>
      <c r="O530" s="21"/>
      <c r="P530" s="3"/>
      <c r="Q530" s="3"/>
      <c r="R530" s="3"/>
    </row>
    <row r="531" spans="1:18">
      <c r="A531" s="14"/>
      <c r="B531" s="58"/>
      <c r="C531" s="58"/>
      <c r="D531" s="58"/>
      <c r="E531" s="58"/>
      <c r="F531" s="58"/>
      <c r="G531" s="3"/>
      <c r="H531" s="15"/>
      <c r="I531" s="15"/>
      <c r="J531" s="15"/>
      <c r="K531" s="5"/>
      <c r="L531" s="15"/>
      <c r="M531" s="8"/>
      <c r="N531" s="8"/>
      <c r="O531" s="21"/>
      <c r="P531" s="3"/>
      <c r="Q531" s="3"/>
      <c r="R531" s="3"/>
    </row>
    <row r="532" spans="1:18">
      <c r="A532" s="14"/>
      <c r="B532" s="153" t="str">
        <f>UPPER(H532)</f>
        <v>MASTERING</v>
      </c>
      <c r="C532" s="141"/>
      <c r="D532" s="141"/>
      <c r="E532" s="141"/>
      <c r="F532" s="141"/>
      <c r="G532" s="28"/>
      <c r="H532" s="148" t="s">
        <v>481</v>
      </c>
      <c r="I532" s="141"/>
      <c r="J532" s="141"/>
      <c r="K532" s="141"/>
      <c r="L532" s="141"/>
      <c r="M532" s="29"/>
      <c r="N532" s="149" t="s">
        <v>923</v>
      </c>
      <c r="O532" s="141"/>
      <c r="P532" s="141"/>
      <c r="Q532" s="141"/>
      <c r="R532" s="141"/>
    </row>
    <row r="533" spans="1:18">
      <c r="A533" s="14"/>
      <c r="B533" s="42"/>
      <c r="C533" s="10"/>
      <c r="D533" s="42"/>
      <c r="E533" s="57"/>
      <c r="F533" s="59"/>
      <c r="G533" s="3"/>
      <c r="H533" s="20"/>
      <c r="I533" s="21"/>
      <c r="J533" s="20"/>
      <c r="K533" s="3"/>
      <c r="L533" s="3"/>
      <c r="M533" s="8"/>
      <c r="N533" s="3"/>
      <c r="O533" s="8"/>
      <c r="P533" s="3"/>
      <c r="Q533" s="3"/>
      <c r="R533" s="3"/>
    </row>
    <row r="534" spans="1:18">
      <c r="A534" s="14"/>
      <c r="B534" s="42" t="str">
        <f t="shared" ref="B534:C534" si="87">UPPER(H534)</f>
        <v/>
      </c>
      <c r="C534" s="10" t="str">
        <f t="shared" si="87"/>
        <v>STUDIO</v>
      </c>
      <c r="D534" s="42"/>
      <c r="E534" s="57" t="str">
        <f>UPPER(K534)</f>
        <v>SBA</v>
      </c>
      <c r="F534" s="59"/>
      <c r="G534" s="3"/>
      <c r="H534" s="20"/>
      <c r="I534" s="21" t="s">
        <v>482</v>
      </c>
      <c r="J534" s="20"/>
      <c r="K534" s="3" t="s">
        <v>483</v>
      </c>
      <c r="L534" s="3"/>
      <c r="M534" s="8"/>
      <c r="N534" s="3"/>
      <c r="O534" s="8" t="s">
        <v>924</v>
      </c>
      <c r="P534" s="3"/>
      <c r="Q534" s="3" t="s">
        <v>483</v>
      </c>
      <c r="R534" s="3"/>
    </row>
    <row r="535" spans="1:18">
      <c r="A535" s="14"/>
      <c r="B535" s="42"/>
      <c r="C535" s="10"/>
      <c r="D535" s="42"/>
      <c r="E535" s="57"/>
      <c r="F535" s="59"/>
      <c r="G535" s="3"/>
      <c r="H535" s="20"/>
      <c r="I535" s="21"/>
      <c r="J535" s="20"/>
      <c r="K535" s="3"/>
      <c r="L535" s="3"/>
      <c r="M535" s="8"/>
      <c r="N535" s="3"/>
      <c r="O535" s="3"/>
      <c r="P535" s="3"/>
      <c r="Q535" s="3"/>
      <c r="R535" s="3"/>
    </row>
    <row r="536" spans="1:18">
      <c r="A536" s="14"/>
      <c r="B536" s="42"/>
      <c r="C536" s="10" t="str">
        <f>UPPER(I536)</f>
        <v>STUDIO DEPT. DIRECTOR</v>
      </c>
      <c r="D536" s="42"/>
      <c r="E536" s="57" t="str">
        <f>UPPER(K536)</f>
        <v>JONGMIN HAHM</v>
      </c>
      <c r="F536" s="59"/>
      <c r="G536" s="3"/>
      <c r="H536" s="20"/>
      <c r="I536" s="21" t="s">
        <v>484</v>
      </c>
      <c r="J536" s="20"/>
      <c r="K536" s="3" t="s">
        <v>485</v>
      </c>
      <c r="L536" s="3"/>
      <c r="M536" s="8"/>
      <c r="N536" s="3"/>
      <c r="O536" s="8" t="s">
        <v>925</v>
      </c>
      <c r="P536" s="3"/>
      <c r="Q536" s="3" t="s">
        <v>926</v>
      </c>
      <c r="R536" s="3"/>
    </row>
    <row r="537" spans="1:18">
      <c r="A537" s="14"/>
      <c r="B537" s="42"/>
      <c r="C537" s="10"/>
      <c r="D537" s="42"/>
      <c r="E537" s="57"/>
      <c r="F537" s="59"/>
      <c r="G537" s="3"/>
      <c r="H537" s="20"/>
      <c r="I537" s="21"/>
      <c r="J537" s="20"/>
      <c r="K537" s="3"/>
      <c r="L537" s="3"/>
      <c r="M537" s="8"/>
      <c r="N537" s="3"/>
      <c r="O537" s="3"/>
      <c r="P537" s="3"/>
      <c r="Q537" s="3"/>
      <c r="R537" s="3"/>
    </row>
    <row r="538" spans="1:18">
      <c r="A538" s="14"/>
      <c r="B538" s="42" t="str">
        <f t="shared" ref="B538:C538" si="88">UPPER(H538)</f>
        <v/>
      </c>
      <c r="C538" s="10" t="str">
        <f t="shared" si="88"/>
        <v>STUDIO MANAGER</v>
      </c>
      <c r="D538" s="42"/>
      <c r="E538" s="57" t="str">
        <f t="shared" ref="E538:E539" si="89">UPPER(K538)</f>
        <v>MYUNGHOON LEE</v>
      </c>
      <c r="F538" s="59"/>
      <c r="G538" s="3"/>
      <c r="H538" s="20"/>
      <c r="I538" s="21" t="s">
        <v>486</v>
      </c>
      <c r="J538" s="20"/>
      <c r="K538" s="3" t="s">
        <v>487</v>
      </c>
      <c r="L538" s="3"/>
      <c r="M538" s="8"/>
      <c r="N538" s="3"/>
      <c r="O538" s="8" t="s">
        <v>927</v>
      </c>
      <c r="P538" s="3"/>
      <c r="Q538" s="3" t="s">
        <v>928</v>
      </c>
      <c r="R538" s="3"/>
    </row>
    <row r="539" spans="1:18">
      <c r="A539" s="14"/>
      <c r="B539" s="42" t="str">
        <f t="shared" ref="B539:C539" si="90">UPPER(H539)</f>
        <v/>
      </c>
      <c r="C539" s="10" t="str">
        <f t="shared" si="90"/>
        <v/>
      </c>
      <c r="D539" s="42"/>
      <c r="E539" s="57" t="str">
        <f t="shared" si="89"/>
        <v>HAESU JEON</v>
      </c>
      <c r="F539" s="59"/>
      <c r="G539" s="3"/>
      <c r="H539" s="20"/>
      <c r="I539" s="21"/>
      <c r="J539" s="20"/>
      <c r="K539" s="3" t="s">
        <v>488</v>
      </c>
      <c r="L539" s="3"/>
      <c r="M539" s="8"/>
      <c r="N539" s="8"/>
      <c r="O539" s="3"/>
      <c r="P539" s="3"/>
      <c r="Q539" s="3" t="s">
        <v>929</v>
      </c>
      <c r="R539" s="3"/>
    </row>
    <row r="540" spans="1:18">
      <c r="A540" s="14"/>
      <c r="B540" s="42"/>
      <c r="C540" s="10"/>
      <c r="D540" s="42"/>
      <c r="E540" s="57"/>
      <c r="F540" s="59"/>
      <c r="G540" s="3"/>
      <c r="H540" s="20"/>
      <c r="I540" s="21"/>
      <c r="J540" s="20"/>
      <c r="K540" s="3"/>
      <c r="L540" s="3"/>
      <c r="M540" s="8"/>
      <c r="N540" s="8"/>
      <c r="O540" s="21"/>
      <c r="P540" s="3"/>
      <c r="Q540" s="3"/>
      <c r="R540" s="3"/>
    </row>
    <row r="541" spans="1:18">
      <c r="A541" s="14"/>
      <c r="B541" s="11"/>
      <c r="C541" s="12" t="str">
        <f>UPPER(I541)</f>
        <v/>
      </c>
      <c r="D541" s="11"/>
      <c r="E541" s="11" t="str">
        <f>UPPER(K541)</f>
        <v/>
      </c>
      <c r="F541" s="11"/>
      <c r="G541" s="3"/>
      <c r="H541" s="20"/>
      <c r="I541" s="21"/>
      <c r="J541" s="20"/>
      <c r="K541" s="13"/>
      <c r="L541" s="3"/>
      <c r="M541" s="8"/>
      <c r="N541" s="8"/>
      <c r="O541" s="21"/>
      <c r="P541" s="3"/>
      <c r="Q541" s="3"/>
      <c r="R541" s="3"/>
    </row>
    <row r="542" spans="1:18">
      <c r="A542" s="14"/>
      <c r="B542" s="58"/>
      <c r="C542" s="58"/>
      <c r="D542" s="58"/>
      <c r="E542" s="58"/>
      <c r="F542" s="58"/>
      <c r="G542" s="3"/>
      <c r="H542" s="15"/>
      <c r="I542" s="15"/>
      <c r="J542" s="15"/>
      <c r="K542" s="5"/>
      <c r="L542" s="15"/>
      <c r="M542" s="8"/>
      <c r="N542" s="8"/>
      <c r="O542" s="21"/>
      <c r="P542" s="3"/>
      <c r="Q542" s="3"/>
      <c r="R542" s="3"/>
    </row>
    <row r="543" spans="1:18">
      <c r="A543" s="14"/>
      <c r="B543" s="153" t="str">
        <f t="shared" ref="B543:B545" si="91">UPPER(H543)</f>
        <v>MASTERING</v>
      </c>
      <c r="C543" s="141"/>
      <c r="D543" s="141"/>
      <c r="E543" s="141"/>
      <c r="F543" s="141"/>
      <c r="G543" s="28"/>
      <c r="H543" s="148" t="s">
        <v>481</v>
      </c>
      <c r="I543" s="141"/>
      <c r="J543" s="141"/>
      <c r="K543" s="141"/>
      <c r="L543" s="141"/>
      <c r="M543" s="8"/>
      <c r="N543" s="149" t="s">
        <v>923</v>
      </c>
      <c r="O543" s="141"/>
      <c r="P543" s="141"/>
      <c r="Q543" s="141"/>
      <c r="R543" s="141"/>
    </row>
    <row r="544" spans="1:18">
      <c r="A544" s="14"/>
      <c r="B544" s="146" t="str">
        <f t="shared" si="91"/>
        <v>IYUNO</v>
      </c>
      <c r="C544" s="141"/>
      <c r="D544" s="141"/>
      <c r="E544" s="141"/>
      <c r="F544" s="141"/>
      <c r="G544" s="3"/>
      <c r="H544" s="154" t="s">
        <v>489</v>
      </c>
      <c r="I544" s="141"/>
      <c r="J544" s="141"/>
      <c r="K544" s="141"/>
      <c r="L544" s="141"/>
      <c r="M544" s="8"/>
      <c r="N544" s="155" t="s">
        <v>489</v>
      </c>
      <c r="O544" s="141"/>
      <c r="P544" s="141"/>
      <c r="Q544" s="141"/>
      <c r="R544" s="141"/>
    </row>
    <row r="545" spans="1:18">
      <c r="A545" s="14"/>
      <c r="B545" s="42" t="str">
        <f t="shared" si="91"/>
        <v/>
      </c>
      <c r="C545" s="10" t="str">
        <f t="shared" ref="C545:C548" si="92">UPPER(I545)</f>
        <v/>
      </c>
      <c r="D545" s="42"/>
      <c r="E545" s="57" t="str">
        <f t="shared" ref="E545:E554" si="93">UPPER(K545)</f>
        <v/>
      </c>
      <c r="F545" s="59"/>
      <c r="G545" s="3"/>
      <c r="H545" s="20"/>
      <c r="I545" s="21"/>
      <c r="J545" s="20"/>
      <c r="K545" s="3"/>
      <c r="L545" s="3"/>
      <c r="M545" s="8"/>
      <c r="N545" s="8"/>
      <c r="O545" s="21"/>
      <c r="P545" s="3"/>
      <c r="Q545" s="3"/>
      <c r="R545" s="3"/>
    </row>
    <row r="546" spans="1:18">
      <c r="A546" s="14"/>
      <c r="B546" s="42"/>
      <c r="C546" s="10" t="str">
        <f t="shared" si="92"/>
        <v>MEDIA OPERATIONS SUPERVISOR</v>
      </c>
      <c r="D546" s="42"/>
      <c r="E546" s="57" t="str">
        <f t="shared" si="93"/>
        <v>JINWOO YANG</v>
      </c>
      <c r="F546" s="59"/>
      <c r="G546" s="3"/>
      <c r="H546" s="20"/>
      <c r="I546" s="21" t="s">
        <v>490</v>
      </c>
      <c r="J546" s="20"/>
      <c r="K546" s="3" t="s">
        <v>491</v>
      </c>
      <c r="L546" s="3"/>
      <c r="M546" s="8"/>
      <c r="N546" s="8"/>
      <c r="O546" s="21" t="s">
        <v>930</v>
      </c>
      <c r="P546" s="3"/>
      <c r="Q546" s="3" t="s">
        <v>931</v>
      </c>
      <c r="R546" s="3"/>
    </row>
    <row r="547" spans="1:18">
      <c r="A547" s="14"/>
      <c r="B547" s="42"/>
      <c r="C547" s="10" t="str">
        <f t="shared" si="92"/>
        <v/>
      </c>
      <c r="D547" s="42"/>
      <c r="E547" s="57" t="str">
        <f t="shared" si="93"/>
        <v/>
      </c>
      <c r="F547" s="59"/>
      <c r="G547" s="3"/>
      <c r="H547" s="20"/>
      <c r="I547" s="21"/>
      <c r="J547" s="20"/>
      <c r="K547" s="3"/>
      <c r="L547" s="3"/>
      <c r="M547" s="8"/>
      <c r="N547" s="8"/>
      <c r="O547" s="21"/>
      <c r="P547" s="3"/>
      <c r="Q547" s="3"/>
      <c r="R547" s="3"/>
    </row>
    <row r="548" spans="1:18">
      <c r="A548" s="14"/>
      <c r="B548" s="42"/>
      <c r="C548" s="10" t="str">
        <f t="shared" si="92"/>
        <v>PROJECT MANAGER</v>
      </c>
      <c r="D548" s="42"/>
      <c r="E548" s="57" t="str">
        <f t="shared" si="93"/>
        <v>WONJEONG SONG</v>
      </c>
      <c r="F548" s="59"/>
      <c r="G548" s="3"/>
      <c r="H548" s="20"/>
      <c r="I548" s="21" t="s">
        <v>492</v>
      </c>
      <c r="J548" s="20"/>
      <c r="K548" s="3" t="s">
        <v>493</v>
      </c>
      <c r="L548" s="3"/>
      <c r="M548" s="8"/>
      <c r="N548" s="8"/>
      <c r="O548" s="21" t="s">
        <v>932</v>
      </c>
      <c r="P548" s="3"/>
      <c r="Q548" s="3" t="s">
        <v>933</v>
      </c>
      <c r="R548" s="3"/>
    </row>
    <row r="549" spans="1:18">
      <c r="A549" s="14"/>
      <c r="B549" s="42" t="str">
        <f t="shared" ref="B549:C549" si="94">UPPER(H549)</f>
        <v/>
      </c>
      <c r="C549" s="10" t="str">
        <f t="shared" si="94"/>
        <v/>
      </c>
      <c r="D549" s="42"/>
      <c r="E549" s="57" t="str">
        <f t="shared" si="93"/>
        <v/>
      </c>
      <c r="F549" s="59"/>
      <c r="G549" s="3"/>
      <c r="H549" s="20"/>
      <c r="I549" s="21"/>
      <c r="J549" s="20"/>
      <c r="K549" s="3"/>
      <c r="L549" s="3"/>
      <c r="M549" s="8"/>
      <c r="N549" s="8"/>
      <c r="O549" s="21"/>
      <c r="P549" s="3"/>
      <c r="Q549" s="3"/>
      <c r="R549" s="3"/>
    </row>
    <row r="550" spans="1:18">
      <c r="A550" s="14"/>
      <c r="B550" s="42" t="str">
        <f t="shared" ref="B550:C550" si="95">UPPER(H550)</f>
        <v/>
      </c>
      <c r="C550" s="10" t="str">
        <f t="shared" si="95"/>
        <v>VIDEO EDITOR</v>
      </c>
      <c r="D550" s="42"/>
      <c r="E550" s="57" t="str">
        <f t="shared" si="93"/>
        <v>SANGYOUNG CHO</v>
      </c>
      <c r="F550" s="59"/>
      <c r="G550" s="3"/>
      <c r="H550" s="20"/>
      <c r="I550" s="21" t="s">
        <v>494</v>
      </c>
      <c r="J550" s="20"/>
      <c r="K550" s="3" t="s">
        <v>495</v>
      </c>
      <c r="L550" s="3"/>
      <c r="M550" s="8"/>
      <c r="N550" s="8"/>
      <c r="O550" s="21" t="s">
        <v>934</v>
      </c>
      <c r="P550" s="3"/>
      <c r="Q550" s="3" t="s">
        <v>935</v>
      </c>
      <c r="R550" s="3"/>
    </row>
    <row r="551" spans="1:18">
      <c r="A551" s="14"/>
      <c r="B551" s="42"/>
      <c r="C551" s="10" t="str">
        <f t="shared" ref="C551:C554" si="96">UPPER(I551)</f>
        <v/>
      </c>
      <c r="D551" s="42"/>
      <c r="E551" s="57" t="str">
        <f t="shared" si="93"/>
        <v>JINAH JEONG</v>
      </c>
      <c r="F551" s="59"/>
      <c r="G551" s="3"/>
      <c r="H551" s="20"/>
      <c r="I551" s="21"/>
      <c r="J551" s="20"/>
      <c r="K551" s="3" t="s">
        <v>496</v>
      </c>
      <c r="L551" s="3"/>
      <c r="M551" s="8"/>
      <c r="N551" s="8"/>
      <c r="O551" s="21"/>
      <c r="P551" s="3"/>
      <c r="Q551" s="3" t="s">
        <v>936</v>
      </c>
      <c r="R551" s="3"/>
    </row>
    <row r="552" spans="1:18">
      <c r="A552" s="14"/>
      <c r="B552" s="42"/>
      <c r="C552" s="10" t="str">
        <f t="shared" si="96"/>
        <v/>
      </c>
      <c r="D552" s="42"/>
      <c r="E552" s="57" t="str">
        <f t="shared" si="93"/>
        <v>SONGI YOON</v>
      </c>
      <c r="F552" s="59"/>
      <c r="G552" s="3"/>
      <c r="H552" s="20"/>
      <c r="I552" s="21"/>
      <c r="J552" s="20"/>
      <c r="K552" s="3" t="s">
        <v>497</v>
      </c>
      <c r="L552" s="3"/>
      <c r="M552" s="8"/>
      <c r="N552" s="8"/>
      <c r="O552" s="21"/>
      <c r="P552" s="3"/>
      <c r="Q552" s="3" t="s">
        <v>937</v>
      </c>
      <c r="R552" s="3"/>
    </row>
    <row r="553" spans="1:18">
      <c r="A553" s="14"/>
      <c r="B553" s="42"/>
      <c r="C553" s="10" t="str">
        <f t="shared" si="96"/>
        <v/>
      </c>
      <c r="D553" s="42"/>
      <c r="E553" s="57" t="str">
        <f t="shared" si="93"/>
        <v/>
      </c>
      <c r="F553" s="59"/>
      <c r="G553" s="3"/>
      <c r="H553" s="20"/>
      <c r="I553" s="21"/>
      <c r="J553" s="20"/>
      <c r="K553" s="3"/>
      <c r="L553" s="3"/>
      <c r="M553" s="8"/>
      <c r="N553" s="8"/>
      <c r="O553" s="21"/>
      <c r="P553" s="3"/>
      <c r="Q553" s="3"/>
      <c r="R553" s="3"/>
    </row>
    <row r="554" spans="1:18">
      <c r="A554" s="14"/>
      <c r="B554" s="42"/>
      <c r="C554" s="10" t="str">
        <f t="shared" si="96"/>
        <v>ASSET MANAGER</v>
      </c>
      <c r="D554" s="42"/>
      <c r="E554" s="57" t="str">
        <f t="shared" si="93"/>
        <v>SANGMIN PARK</v>
      </c>
      <c r="F554" s="59"/>
      <c r="G554" s="3"/>
      <c r="H554" s="20"/>
      <c r="I554" s="21" t="s">
        <v>498</v>
      </c>
      <c r="J554" s="20"/>
      <c r="K554" s="3" t="s">
        <v>499</v>
      </c>
      <c r="L554" s="3"/>
      <c r="M554" s="8"/>
      <c r="N554" s="8"/>
      <c r="O554" s="21" t="s">
        <v>938</v>
      </c>
      <c r="P554" s="3"/>
      <c r="Q554" s="3" t="s">
        <v>939</v>
      </c>
      <c r="R554" s="3"/>
    </row>
    <row r="555" spans="1:18">
      <c r="A555" s="14"/>
      <c r="B555" s="42"/>
      <c r="C555" s="10"/>
      <c r="D555" s="42"/>
      <c r="E555" s="57"/>
      <c r="F555" s="59"/>
      <c r="G555" s="3"/>
      <c r="H555" s="20"/>
      <c r="I555" s="21"/>
      <c r="J555" s="20"/>
      <c r="K555" s="3"/>
      <c r="L555" s="3"/>
      <c r="M555" s="8"/>
      <c r="N555" s="8"/>
      <c r="O555" s="21"/>
      <c r="P555" s="3"/>
      <c r="Q555" s="3"/>
      <c r="R555" s="3"/>
    </row>
    <row r="556" spans="1:18">
      <c r="A556" s="14"/>
      <c r="B556" s="11"/>
      <c r="C556" s="12"/>
      <c r="D556" s="11"/>
      <c r="E556" s="11"/>
      <c r="F556" s="11"/>
      <c r="G556" s="3"/>
      <c r="H556" s="20"/>
      <c r="I556" s="21"/>
      <c r="J556" s="20"/>
      <c r="K556" s="13"/>
      <c r="L556" s="3"/>
      <c r="M556" s="8"/>
      <c r="N556" s="8"/>
      <c r="O556" s="21"/>
      <c r="P556" s="3"/>
      <c r="Q556" s="3"/>
      <c r="R556" s="3"/>
    </row>
    <row r="557" spans="1:18">
      <c r="A557" s="14"/>
      <c r="B557" s="6"/>
      <c r="C557" s="6"/>
      <c r="D557" s="6"/>
      <c r="E557" s="6"/>
      <c r="F557" s="6"/>
      <c r="G557" s="3"/>
      <c r="H557" s="15"/>
      <c r="I557" s="15"/>
      <c r="J557" s="15"/>
      <c r="K557" s="5"/>
      <c r="L557" s="15"/>
      <c r="M557" s="8"/>
      <c r="N557" s="8"/>
      <c r="O557" s="21"/>
      <c r="P557" s="3"/>
      <c r="Q557" s="3"/>
      <c r="R557" s="3"/>
    </row>
    <row r="558" spans="1:18">
      <c r="A558" s="14"/>
      <c r="B558" s="150" t="str">
        <f>UPPER(H558)</f>
        <v>TENCENT VIDEO</v>
      </c>
      <c r="C558" s="141"/>
      <c r="D558" s="141"/>
      <c r="E558" s="141"/>
      <c r="F558" s="141"/>
      <c r="G558" s="28"/>
      <c r="H558" s="148" t="s">
        <v>500</v>
      </c>
      <c r="I558" s="141"/>
      <c r="J558" s="141"/>
      <c r="K558" s="141"/>
      <c r="L558" s="141"/>
      <c r="M558" s="29"/>
      <c r="N558" s="149" t="s">
        <v>500</v>
      </c>
      <c r="O558" s="141"/>
      <c r="P558" s="141"/>
      <c r="Q558" s="141"/>
      <c r="R558" s="141"/>
    </row>
    <row r="559" spans="1:18">
      <c r="A559" s="14"/>
      <c r="B559" s="9"/>
      <c r="C559" s="10" t="str">
        <f t="shared" ref="C559:C579" si="97">UPPER(I559)</f>
        <v>BUSINESS DIRECTOR</v>
      </c>
      <c r="D559" s="9"/>
      <c r="E559" s="9" t="str">
        <f t="shared" ref="E559:E581" si="98">UPPER(K559)</f>
        <v>VERN WANG</v>
      </c>
      <c r="F559" s="9"/>
      <c r="G559" s="3"/>
      <c r="H559" s="20"/>
      <c r="I559" s="21" t="s">
        <v>501</v>
      </c>
      <c r="J559" s="20"/>
      <c r="K559" s="2" t="s">
        <v>502</v>
      </c>
      <c r="L559" s="3"/>
      <c r="M559" s="8"/>
      <c r="N559" s="8"/>
      <c r="O559" s="8" t="s">
        <v>501</v>
      </c>
      <c r="P559" s="3"/>
      <c r="Q559" s="2" t="s">
        <v>502</v>
      </c>
      <c r="R559" s="3"/>
    </row>
    <row r="560" spans="1:18">
      <c r="A560" s="14"/>
      <c r="B560" s="9"/>
      <c r="C560" s="10" t="str">
        <f t="shared" si="97"/>
        <v/>
      </c>
      <c r="D560" s="9"/>
      <c r="E560" s="9" t="str">
        <f t="shared" si="98"/>
        <v>ANN WANG</v>
      </c>
      <c r="F560" s="9"/>
      <c r="G560" s="3"/>
      <c r="H560" s="20"/>
      <c r="I560" s="21"/>
      <c r="J560" s="20"/>
      <c r="K560" s="2" t="s">
        <v>503</v>
      </c>
      <c r="L560" s="7"/>
      <c r="M560" s="7"/>
      <c r="N560" s="7"/>
      <c r="O560" s="8"/>
      <c r="P560" s="3"/>
      <c r="Q560" s="2" t="s">
        <v>503</v>
      </c>
      <c r="R560" s="3"/>
    </row>
    <row r="561" spans="1:18">
      <c r="A561" s="14"/>
      <c r="B561" s="9"/>
      <c r="C561" s="10" t="str">
        <f t="shared" si="97"/>
        <v>PRODUCER</v>
      </c>
      <c r="D561" s="9"/>
      <c r="E561" s="9" t="str">
        <f t="shared" si="98"/>
        <v>LEEGER LIU</v>
      </c>
      <c r="F561" s="9"/>
      <c r="G561" s="3"/>
      <c r="H561" s="20"/>
      <c r="I561" s="36" t="s">
        <v>504</v>
      </c>
      <c r="J561" s="20"/>
      <c r="K561" s="2" t="s">
        <v>505</v>
      </c>
      <c r="L561" s="7"/>
      <c r="M561" s="7"/>
      <c r="N561" s="7"/>
      <c r="O561" s="36" t="s">
        <v>504</v>
      </c>
      <c r="P561" s="3"/>
      <c r="Q561" s="2" t="s">
        <v>505</v>
      </c>
      <c r="R561" s="3"/>
    </row>
    <row r="562" spans="1:18">
      <c r="A562" s="14"/>
      <c r="B562" s="9"/>
      <c r="C562" s="10" t="str">
        <f t="shared" si="97"/>
        <v/>
      </c>
      <c r="D562" s="9"/>
      <c r="E562" s="9" t="str">
        <f t="shared" si="98"/>
        <v>ANGEL GENG</v>
      </c>
      <c r="F562" s="9"/>
      <c r="G562" s="3"/>
      <c r="H562" s="20"/>
      <c r="I562" s="21"/>
      <c r="J562" s="20"/>
      <c r="K562" s="2" t="s">
        <v>506</v>
      </c>
      <c r="L562" s="7"/>
      <c r="M562" s="7"/>
      <c r="N562" s="7"/>
      <c r="O562" s="8"/>
      <c r="P562" s="3"/>
      <c r="Q562" s="2" t="s">
        <v>506</v>
      </c>
      <c r="R562" s="3"/>
    </row>
    <row r="563" spans="1:18">
      <c r="A563" s="14"/>
      <c r="B563" s="9"/>
      <c r="C563" s="10" t="str">
        <f t="shared" si="97"/>
        <v/>
      </c>
      <c r="D563" s="9"/>
      <c r="E563" s="9" t="str">
        <f t="shared" si="98"/>
        <v>LILLIANS LI</v>
      </c>
      <c r="F563" s="9"/>
      <c r="G563" s="3"/>
      <c r="H563" s="20"/>
      <c r="I563" s="21"/>
      <c r="J563" s="20"/>
      <c r="K563" s="2" t="s">
        <v>507</v>
      </c>
      <c r="L563" s="60"/>
      <c r="M563" s="60"/>
      <c r="N563" s="60"/>
      <c r="O563" s="8"/>
      <c r="P563" s="3"/>
      <c r="Q563" s="2" t="s">
        <v>507</v>
      </c>
      <c r="R563" s="3"/>
    </row>
    <row r="564" spans="1:18">
      <c r="A564" s="14"/>
      <c r="B564" s="9"/>
      <c r="C564" s="10" t="str">
        <f t="shared" si="97"/>
        <v>PROGRAMMING EDITOR</v>
      </c>
      <c r="D564" s="9"/>
      <c r="E564" s="9" t="str">
        <f t="shared" si="98"/>
        <v>XINCI CHANG</v>
      </c>
      <c r="F564" s="9"/>
      <c r="G564" s="3"/>
      <c r="H564" s="20"/>
      <c r="I564" s="36" t="s">
        <v>508</v>
      </c>
      <c r="J564" s="20"/>
      <c r="K564" s="2" t="s">
        <v>509</v>
      </c>
      <c r="L564" s="7"/>
      <c r="M564" s="7"/>
      <c r="N564" s="7"/>
      <c r="O564" s="36" t="s">
        <v>508</v>
      </c>
      <c r="P564" s="3"/>
      <c r="Q564" s="2" t="s">
        <v>509</v>
      </c>
      <c r="R564" s="3"/>
    </row>
    <row r="565" spans="1:18">
      <c r="A565" s="14"/>
      <c r="B565" s="9"/>
      <c r="C565" s="10" t="str">
        <f t="shared" si="97"/>
        <v/>
      </c>
      <c r="D565" s="9"/>
      <c r="E565" s="9" t="str">
        <f t="shared" si="98"/>
        <v>NAIYUE HU</v>
      </c>
      <c r="F565" s="9"/>
      <c r="G565" s="3"/>
      <c r="H565" s="20"/>
      <c r="I565" s="21"/>
      <c r="J565" s="20"/>
      <c r="K565" s="2" t="s">
        <v>510</v>
      </c>
      <c r="L565" s="7"/>
      <c r="M565" s="7"/>
      <c r="N565" s="7"/>
      <c r="O565" s="8"/>
      <c r="P565" s="3"/>
      <c r="Q565" s="2" t="s">
        <v>510</v>
      </c>
      <c r="R565" s="3"/>
    </row>
    <row r="566" spans="1:18">
      <c r="A566" s="14"/>
      <c r="B566" s="9"/>
      <c r="C566" s="10" t="str">
        <f t="shared" si="97"/>
        <v/>
      </c>
      <c r="D566" s="9"/>
      <c r="E566" s="9" t="str">
        <f t="shared" si="98"/>
        <v>JING LIN</v>
      </c>
      <c r="F566" s="9"/>
      <c r="G566" s="3"/>
      <c r="H566" s="20"/>
      <c r="I566" s="21"/>
      <c r="J566" s="20"/>
      <c r="K566" s="2" t="s">
        <v>511</v>
      </c>
      <c r="L566" s="7"/>
      <c r="M566" s="7"/>
      <c r="N566" s="7"/>
      <c r="O566" s="8"/>
      <c r="P566" s="3"/>
      <c r="Q566" s="2" t="s">
        <v>511</v>
      </c>
      <c r="R566" s="3"/>
    </row>
    <row r="567" spans="1:18">
      <c r="A567" s="14"/>
      <c r="B567" s="9"/>
      <c r="C567" s="10" t="str">
        <f t="shared" si="97"/>
        <v/>
      </c>
      <c r="D567" s="9"/>
      <c r="E567" s="9" t="str">
        <f t="shared" si="98"/>
        <v>YOYO GAO</v>
      </c>
      <c r="F567" s="9"/>
      <c r="G567" s="3"/>
      <c r="H567" s="20"/>
      <c r="I567" s="21"/>
      <c r="J567" s="20"/>
      <c r="K567" s="2" t="s">
        <v>512</v>
      </c>
      <c r="L567" s="7"/>
      <c r="M567" s="7"/>
      <c r="N567" s="7"/>
      <c r="O567" s="8"/>
      <c r="P567" s="3"/>
      <c r="Q567" s="2" t="s">
        <v>512</v>
      </c>
      <c r="R567" s="3"/>
    </row>
    <row r="568" spans="1:18">
      <c r="A568" s="14"/>
      <c r="B568" s="9"/>
      <c r="C568" s="10" t="str">
        <f t="shared" si="97"/>
        <v/>
      </c>
      <c r="D568" s="9"/>
      <c r="E568" s="9" t="str">
        <f t="shared" si="98"/>
        <v>KRYSTAL YANG</v>
      </c>
      <c r="F568" s="9"/>
      <c r="G568" s="3"/>
      <c r="H568" s="20"/>
      <c r="I568" s="21"/>
      <c r="J568" s="20"/>
      <c r="K568" s="2" t="s">
        <v>513</v>
      </c>
      <c r="L568" s="7"/>
      <c r="M568" s="7"/>
      <c r="N568" s="7"/>
      <c r="O568" s="8"/>
      <c r="P568" s="3"/>
      <c r="Q568" s="2" t="s">
        <v>513</v>
      </c>
      <c r="R568" s="3"/>
    </row>
    <row r="569" spans="1:18">
      <c r="A569" s="14"/>
      <c r="B569" s="9"/>
      <c r="C569" s="10" t="str">
        <f t="shared" si="97"/>
        <v/>
      </c>
      <c r="D569" s="9"/>
      <c r="E569" s="9" t="str">
        <f t="shared" si="98"/>
        <v>BETTY MEI</v>
      </c>
      <c r="F569" s="9"/>
      <c r="G569" s="3"/>
      <c r="H569" s="20"/>
      <c r="I569" s="21"/>
      <c r="J569" s="20"/>
      <c r="K569" s="2" t="s">
        <v>514</v>
      </c>
      <c r="L569" s="7"/>
      <c r="M569" s="7"/>
      <c r="N569" s="7"/>
      <c r="O569" s="8"/>
      <c r="P569" s="3"/>
      <c r="Q569" s="2" t="s">
        <v>514</v>
      </c>
      <c r="R569" s="3"/>
    </row>
    <row r="570" spans="1:18">
      <c r="A570" s="14"/>
      <c r="B570" s="9"/>
      <c r="C570" s="10" t="str">
        <f t="shared" si="97"/>
        <v/>
      </c>
      <c r="D570" s="9"/>
      <c r="E570" s="9" t="str">
        <f t="shared" si="98"/>
        <v>RHEA LIU</v>
      </c>
      <c r="F570" s="9"/>
      <c r="G570" s="3"/>
      <c r="H570" s="20"/>
      <c r="I570" s="21"/>
      <c r="J570" s="20"/>
      <c r="K570" s="2" t="s">
        <v>515</v>
      </c>
      <c r="L570" s="7"/>
      <c r="M570" s="7"/>
      <c r="N570" s="7"/>
      <c r="O570" s="8"/>
      <c r="P570" s="3"/>
      <c r="Q570" s="2" t="s">
        <v>515</v>
      </c>
      <c r="R570" s="3"/>
    </row>
    <row r="571" spans="1:18">
      <c r="A571" s="14"/>
      <c r="B571" s="9"/>
      <c r="C571" s="10" t="str">
        <f t="shared" si="97"/>
        <v/>
      </c>
      <c r="D571" s="9"/>
      <c r="E571" s="9" t="str">
        <f t="shared" si="98"/>
        <v>ZHENGDAO CHEN</v>
      </c>
      <c r="F571" s="9"/>
      <c r="G571" s="3"/>
      <c r="H571" s="20"/>
      <c r="I571" s="21"/>
      <c r="J571" s="20"/>
      <c r="K571" s="2" t="s">
        <v>516</v>
      </c>
      <c r="L571" s="3"/>
      <c r="M571" s="8"/>
      <c r="N571" s="8"/>
      <c r="O571" s="8"/>
      <c r="P571" s="3"/>
      <c r="Q571" s="2" t="s">
        <v>516</v>
      </c>
      <c r="R571" s="3"/>
    </row>
    <row r="572" spans="1:18">
      <c r="A572" s="14"/>
      <c r="B572" s="9"/>
      <c r="C572" s="10" t="str">
        <f t="shared" si="97"/>
        <v>BUSINESS EDITOR</v>
      </c>
      <c r="D572" s="9"/>
      <c r="E572" s="9" t="str">
        <f t="shared" si="98"/>
        <v>LAINEY LIU</v>
      </c>
      <c r="F572" s="9"/>
      <c r="G572" s="3"/>
      <c r="H572" s="20"/>
      <c r="I572" s="36" t="s">
        <v>517</v>
      </c>
      <c r="J572" s="20"/>
      <c r="K572" s="2" t="s">
        <v>518</v>
      </c>
      <c r="L572" s="3"/>
      <c r="M572" s="8"/>
      <c r="N572" s="8"/>
      <c r="O572" s="36" t="s">
        <v>517</v>
      </c>
      <c r="P572" s="3"/>
      <c r="Q572" s="2" t="s">
        <v>518</v>
      </c>
      <c r="R572" s="3"/>
    </row>
    <row r="573" spans="1:18">
      <c r="A573" s="14"/>
      <c r="B573" s="9"/>
      <c r="C573" s="10" t="str">
        <f t="shared" si="97"/>
        <v/>
      </c>
      <c r="D573" s="9"/>
      <c r="E573" s="9" t="str">
        <f t="shared" si="98"/>
        <v>DEE ZHANG</v>
      </c>
      <c r="F573" s="9"/>
      <c r="G573" s="3"/>
      <c r="H573" s="20"/>
      <c r="I573" s="21"/>
      <c r="J573" s="20"/>
      <c r="K573" s="2" t="s">
        <v>519</v>
      </c>
      <c r="L573" s="3"/>
      <c r="M573" s="8"/>
      <c r="N573" s="8"/>
      <c r="O573" s="8"/>
      <c r="P573" s="3"/>
      <c r="Q573" s="2" t="s">
        <v>519</v>
      </c>
      <c r="R573" s="3"/>
    </row>
    <row r="574" spans="1:18">
      <c r="A574" s="14"/>
      <c r="B574" s="9"/>
      <c r="C574" s="10" t="str">
        <f t="shared" si="97"/>
        <v>LEGAL</v>
      </c>
      <c r="D574" s="9"/>
      <c r="E574" s="9" t="str">
        <f t="shared" si="98"/>
        <v>KAN ZHANG</v>
      </c>
      <c r="F574" s="9"/>
      <c r="G574" s="3"/>
      <c r="H574" s="20"/>
      <c r="I574" s="36" t="s">
        <v>520</v>
      </c>
      <c r="J574" s="20"/>
      <c r="K574" s="2" t="s">
        <v>521</v>
      </c>
      <c r="L574" s="3"/>
      <c r="M574" s="8"/>
      <c r="N574" s="8"/>
      <c r="O574" s="36" t="s">
        <v>520</v>
      </c>
      <c r="P574" s="3"/>
      <c r="Q574" s="2" t="s">
        <v>521</v>
      </c>
      <c r="R574" s="3"/>
    </row>
    <row r="575" spans="1:18">
      <c r="A575" s="14"/>
      <c r="B575" s="9"/>
      <c r="C575" s="10" t="str">
        <f t="shared" si="97"/>
        <v>FINANCE &amp; TAX</v>
      </c>
      <c r="D575" s="9"/>
      <c r="E575" s="9" t="str">
        <f t="shared" si="98"/>
        <v xml:space="preserve">XIAOCHEN ZHANG </v>
      </c>
      <c r="F575" s="9"/>
      <c r="G575" s="3"/>
      <c r="H575" s="20"/>
      <c r="I575" s="36" t="s">
        <v>522</v>
      </c>
      <c r="J575" s="20"/>
      <c r="K575" s="2" t="s">
        <v>523</v>
      </c>
      <c r="L575" s="3"/>
      <c r="M575" s="8"/>
      <c r="N575" s="8"/>
      <c r="O575" s="36" t="s">
        <v>522</v>
      </c>
      <c r="P575" s="3"/>
      <c r="Q575" s="2" t="s">
        <v>523</v>
      </c>
      <c r="R575" s="3"/>
    </row>
    <row r="576" spans="1:18">
      <c r="A576" s="14"/>
      <c r="B576" s="9"/>
      <c r="C576" s="10" t="str">
        <f t="shared" si="97"/>
        <v/>
      </c>
      <c r="D576" s="9"/>
      <c r="E576" s="9" t="str">
        <f t="shared" si="98"/>
        <v>YING CHEN</v>
      </c>
      <c r="F576" s="9"/>
      <c r="G576" s="3"/>
      <c r="H576" s="20"/>
      <c r="I576" s="2"/>
      <c r="J576" s="20"/>
      <c r="K576" s="2" t="s">
        <v>524</v>
      </c>
      <c r="L576" s="3"/>
      <c r="M576" s="8"/>
      <c r="N576" s="8"/>
      <c r="O576" s="2"/>
      <c r="P576" s="3"/>
      <c r="Q576" s="2" t="s">
        <v>524</v>
      </c>
      <c r="R576" s="3"/>
    </row>
    <row r="577" spans="1:18">
      <c r="A577" s="14"/>
      <c r="B577" s="9"/>
      <c r="C577" s="10" t="str">
        <f t="shared" si="97"/>
        <v>MARKETING</v>
      </c>
      <c r="D577" s="9"/>
      <c r="E577" s="9" t="str">
        <f t="shared" si="98"/>
        <v>TRACY CUI</v>
      </c>
      <c r="F577" s="9"/>
      <c r="G577" s="3"/>
      <c r="H577" s="20"/>
      <c r="I577" s="36" t="s">
        <v>525</v>
      </c>
      <c r="J577" s="20"/>
      <c r="K577" s="2" t="s">
        <v>526</v>
      </c>
      <c r="L577" s="3"/>
      <c r="M577" s="8"/>
      <c r="N577" s="8"/>
      <c r="O577" s="36" t="s">
        <v>525</v>
      </c>
      <c r="P577" s="3"/>
      <c r="Q577" s="2" t="s">
        <v>526</v>
      </c>
      <c r="R577" s="3"/>
    </row>
    <row r="578" spans="1:18">
      <c r="A578" s="14"/>
      <c r="B578" s="9"/>
      <c r="C578" s="10" t="str">
        <f t="shared" si="97"/>
        <v/>
      </c>
      <c r="D578" s="9"/>
      <c r="E578" s="9" t="str">
        <f t="shared" si="98"/>
        <v>MENGJIE HE</v>
      </c>
      <c r="F578" s="9"/>
      <c r="G578" s="3"/>
      <c r="H578" s="20"/>
      <c r="I578" s="21"/>
      <c r="J578" s="20"/>
      <c r="K578" s="2" t="s">
        <v>527</v>
      </c>
      <c r="L578" s="3"/>
      <c r="M578" s="8"/>
      <c r="N578" s="8"/>
      <c r="O578" s="8"/>
      <c r="P578" s="3"/>
      <c r="Q578" s="2" t="s">
        <v>527</v>
      </c>
      <c r="R578" s="3"/>
    </row>
    <row r="579" spans="1:18">
      <c r="A579" s="14"/>
      <c r="B579" s="9"/>
      <c r="C579" s="10" t="str">
        <f t="shared" si="97"/>
        <v/>
      </c>
      <c r="D579" s="9"/>
      <c r="E579" s="9" t="str">
        <f t="shared" si="98"/>
        <v>IRIS ZHANG</v>
      </c>
      <c r="F579" s="9"/>
      <c r="G579" s="3"/>
      <c r="H579" s="20"/>
      <c r="I579" s="21"/>
      <c r="J579" s="20"/>
      <c r="K579" s="2" t="s">
        <v>528</v>
      </c>
      <c r="L579" s="3"/>
      <c r="M579" s="8"/>
      <c r="N579" s="8"/>
      <c r="O579" s="8"/>
      <c r="P579" s="3"/>
      <c r="Q579" s="2" t="s">
        <v>528</v>
      </c>
      <c r="R579" s="3"/>
    </row>
    <row r="580" spans="1:18">
      <c r="A580" s="14"/>
      <c r="B580" s="9"/>
      <c r="C580" s="10"/>
      <c r="D580" s="9"/>
      <c r="E580" s="9" t="str">
        <f t="shared" si="98"/>
        <v>AARON YU</v>
      </c>
      <c r="F580" s="9"/>
      <c r="G580" s="3"/>
      <c r="H580" s="20"/>
      <c r="I580" s="21"/>
      <c r="J580" s="20"/>
      <c r="K580" s="2" t="s">
        <v>529</v>
      </c>
      <c r="L580" s="3"/>
      <c r="M580" s="8"/>
      <c r="N580" s="8"/>
      <c r="O580" s="8"/>
      <c r="P580" s="3"/>
      <c r="Q580" s="2" t="s">
        <v>529</v>
      </c>
      <c r="R580" s="3"/>
    </row>
    <row r="581" spans="1:18">
      <c r="A581" s="14"/>
      <c r="B581" s="9"/>
      <c r="C581" s="9"/>
      <c r="D581" s="9"/>
      <c r="E581" s="9" t="str">
        <f t="shared" si="98"/>
        <v/>
      </c>
      <c r="F581" s="9"/>
      <c r="G581" s="3"/>
      <c r="H581" s="20"/>
      <c r="I581" s="21"/>
      <c r="J581" s="20"/>
      <c r="K581" s="2"/>
      <c r="L581" s="3"/>
      <c r="M581" s="8"/>
      <c r="N581" s="8"/>
      <c r="O581" s="21"/>
      <c r="P581" s="3"/>
      <c r="Q581" s="3"/>
      <c r="R581" s="3"/>
    </row>
    <row r="582" spans="1:18">
      <c r="A582" s="14"/>
      <c r="B582" s="11"/>
      <c r="C582" s="12"/>
      <c r="D582" s="11"/>
      <c r="E582" s="11"/>
      <c r="F582" s="11"/>
      <c r="G582" s="3"/>
      <c r="H582" s="20"/>
      <c r="I582" s="21"/>
      <c r="J582" s="20"/>
      <c r="K582" s="13"/>
      <c r="L582" s="3"/>
      <c r="M582" s="8"/>
      <c r="N582" s="8"/>
      <c r="O582" s="21"/>
      <c r="P582" s="3"/>
      <c r="Q582" s="3"/>
      <c r="R582" s="3"/>
    </row>
    <row r="583" spans="1:18">
      <c r="A583" s="14"/>
      <c r="B583" s="61"/>
      <c r="C583" s="61"/>
      <c r="D583" s="61"/>
      <c r="E583" s="61"/>
      <c r="F583" s="61"/>
      <c r="G583" s="3"/>
      <c r="H583" s="27"/>
      <c r="I583" s="27"/>
      <c r="J583" s="27"/>
      <c r="K583" s="7"/>
      <c r="L583" s="27"/>
      <c r="M583" s="8"/>
      <c r="N583" s="8"/>
      <c r="O583" s="21"/>
      <c r="P583" s="3"/>
      <c r="Q583" s="3"/>
      <c r="R583" s="3"/>
    </row>
    <row r="584" spans="1:18">
      <c r="A584" s="14"/>
      <c r="B584" s="143" t="str">
        <f t="shared" ref="B584:B587" si="99">UPPER(H584)</f>
        <v>PRODUCTION SERVICES PROVIDED BY</v>
      </c>
      <c r="C584" s="141"/>
      <c r="D584" s="141"/>
      <c r="E584" s="141"/>
      <c r="F584" s="141"/>
      <c r="G584" s="3"/>
      <c r="H584" s="144" t="s">
        <v>530</v>
      </c>
      <c r="I584" s="141"/>
      <c r="J584" s="141"/>
      <c r="K584" s="141"/>
      <c r="L584" s="141"/>
      <c r="M584" s="8"/>
      <c r="N584" s="145" t="s">
        <v>940</v>
      </c>
      <c r="O584" s="141"/>
      <c r="P584" s="141"/>
      <c r="Q584" s="141"/>
      <c r="R584" s="141"/>
    </row>
    <row r="585" spans="1:18">
      <c r="A585" s="14"/>
      <c r="B585" s="146" t="str">
        <f t="shared" si="99"/>
        <v>THE MONK STUDIOS</v>
      </c>
      <c r="C585" s="141"/>
      <c r="D585" s="141"/>
      <c r="E585" s="141"/>
      <c r="F585" s="141"/>
      <c r="G585" s="8"/>
      <c r="H585" s="147" t="s">
        <v>202</v>
      </c>
      <c r="I585" s="141"/>
      <c r="J585" s="141"/>
      <c r="K585" s="141"/>
      <c r="L585" s="141"/>
      <c r="M585" s="8"/>
      <c r="N585" s="147" t="s">
        <v>202</v>
      </c>
      <c r="O585" s="141"/>
      <c r="P585" s="141"/>
      <c r="Q585" s="141"/>
      <c r="R585" s="141"/>
    </row>
    <row r="586" spans="1:18">
      <c r="A586" s="14"/>
      <c r="B586" s="9" t="str">
        <f t="shared" si="99"/>
        <v/>
      </c>
      <c r="C586" s="10" t="str">
        <f>UPPER(I586)</f>
        <v/>
      </c>
      <c r="D586" s="9"/>
      <c r="E586" s="9" t="str">
        <f>UPPER(K586)</f>
        <v/>
      </c>
      <c r="F586" s="9"/>
      <c r="G586" s="3"/>
      <c r="H586" s="62"/>
      <c r="I586" s="21"/>
      <c r="J586" s="20"/>
      <c r="K586" s="13"/>
      <c r="L586" s="3"/>
      <c r="M586" s="8"/>
      <c r="N586" s="62"/>
      <c r="O586" s="21"/>
      <c r="P586" s="20"/>
      <c r="Q586" s="13"/>
      <c r="R586" s="3"/>
    </row>
    <row r="587" spans="1:18">
      <c r="A587" s="14"/>
      <c r="B587" s="146" t="str">
        <f t="shared" si="99"/>
        <v>MANAGEMENT</v>
      </c>
      <c r="C587" s="141"/>
      <c r="D587" s="141"/>
      <c r="E587" s="141"/>
      <c r="F587" s="141"/>
      <c r="G587" s="3"/>
      <c r="H587" s="142" t="s">
        <v>392</v>
      </c>
      <c r="I587" s="141"/>
      <c r="J587" s="141"/>
      <c r="K587" s="141"/>
      <c r="L587" s="141"/>
      <c r="M587" s="8"/>
      <c r="N587" s="142" t="s">
        <v>392</v>
      </c>
      <c r="O587" s="141"/>
      <c r="P587" s="141"/>
      <c r="Q587" s="141"/>
      <c r="R587" s="141"/>
    </row>
    <row r="588" spans="1:18">
      <c r="A588" s="14"/>
      <c r="B588" s="9"/>
      <c r="C588" s="10" t="str">
        <f t="shared" ref="C588:C611" si="100">UPPER(I588)</f>
        <v>PRODUCTION EXECUTIVE</v>
      </c>
      <c r="D588" s="9"/>
      <c r="E588" s="9" t="str">
        <f t="shared" ref="E588:E611" si="101">UPPER(K588)</f>
        <v>JUCK SOMSAMAN</v>
      </c>
      <c r="F588" s="9"/>
      <c r="G588" s="3"/>
      <c r="H588" s="47"/>
      <c r="I588" s="90" t="s">
        <v>531</v>
      </c>
      <c r="J588" s="20"/>
      <c r="K588" s="87" t="s">
        <v>532</v>
      </c>
      <c r="L588" s="3"/>
      <c r="M588" s="63"/>
      <c r="N588" s="47"/>
      <c r="O588" s="90" t="s">
        <v>531</v>
      </c>
      <c r="P588" s="20"/>
      <c r="Q588" s="87" t="s">
        <v>532</v>
      </c>
      <c r="R588" s="3"/>
    </row>
    <row r="589" spans="1:18">
      <c r="A589" s="14"/>
      <c r="B589" s="9"/>
      <c r="C589" s="10" t="str">
        <f t="shared" si="100"/>
        <v/>
      </c>
      <c r="D589" s="9"/>
      <c r="E589" s="9" t="str">
        <f t="shared" si="101"/>
        <v/>
      </c>
      <c r="F589" s="9"/>
      <c r="G589" s="3"/>
      <c r="H589" s="47"/>
      <c r="I589" s="90"/>
      <c r="J589" s="20"/>
      <c r="K589" s="87"/>
      <c r="L589" s="3"/>
      <c r="M589" s="8"/>
      <c r="N589" s="47"/>
      <c r="O589" s="90"/>
      <c r="P589" s="20"/>
      <c r="Q589" s="87"/>
      <c r="R589" s="3"/>
    </row>
    <row r="590" spans="1:18">
      <c r="A590" s="14"/>
      <c r="B590" s="9"/>
      <c r="C590" s="10" t="str">
        <f t="shared" si="100"/>
        <v>PRODUCTION MANAGER</v>
      </c>
      <c r="D590" s="9"/>
      <c r="E590" s="9" t="str">
        <f t="shared" si="101"/>
        <v>NAPASSARA CHAISUKDAMRONG</v>
      </c>
      <c r="F590" s="9"/>
      <c r="G590" s="3"/>
      <c r="H590" s="47"/>
      <c r="I590" s="90" t="s">
        <v>152</v>
      </c>
      <c r="J590" s="20"/>
      <c r="K590" s="87" t="s">
        <v>533</v>
      </c>
      <c r="L590" s="3"/>
      <c r="M590" s="8"/>
      <c r="N590" s="47"/>
      <c r="O590" s="90" t="s">
        <v>152</v>
      </c>
      <c r="P590" s="20"/>
      <c r="Q590" s="87" t="s">
        <v>533</v>
      </c>
      <c r="R590" s="3"/>
    </row>
    <row r="591" spans="1:18">
      <c r="A591" s="14"/>
      <c r="B591" s="9"/>
      <c r="C591" s="10" t="str">
        <f t="shared" si="100"/>
        <v/>
      </c>
      <c r="D591" s="9"/>
      <c r="E591" s="9" t="str">
        <f t="shared" si="101"/>
        <v>RUJIRA POKSOMBOONKIJ</v>
      </c>
      <c r="F591" s="9"/>
      <c r="G591" s="3"/>
      <c r="H591" s="47"/>
      <c r="I591" s="90"/>
      <c r="J591" s="20"/>
      <c r="K591" s="87" t="s">
        <v>534</v>
      </c>
      <c r="L591" s="3"/>
      <c r="M591" s="8"/>
      <c r="N591" s="47"/>
      <c r="O591" s="90"/>
      <c r="P591" s="20"/>
      <c r="Q591" s="87" t="s">
        <v>534</v>
      </c>
      <c r="R591" s="3"/>
    </row>
    <row r="592" spans="1:18">
      <c r="A592" s="14"/>
      <c r="B592" s="9"/>
      <c r="C592" s="10" t="str">
        <f t="shared" si="100"/>
        <v/>
      </c>
      <c r="D592" s="9"/>
      <c r="E592" s="9" t="str">
        <f t="shared" si="101"/>
        <v/>
      </c>
      <c r="F592" s="9"/>
      <c r="G592" s="3"/>
      <c r="H592" s="47"/>
      <c r="I592" s="90"/>
      <c r="J592" s="20"/>
      <c r="K592" s="95"/>
      <c r="L592" s="3"/>
      <c r="M592" s="8"/>
      <c r="N592" s="47"/>
      <c r="O592" s="90"/>
      <c r="P592" s="20"/>
      <c r="Q592" s="87"/>
      <c r="R592" s="3"/>
    </row>
    <row r="593" spans="1:18">
      <c r="A593" s="14"/>
      <c r="B593" s="9"/>
      <c r="C593" s="10" t="str">
        <f t="shared" si="100"/>
        <v>CG SUPEVISOR</v>
      </c>
      <c r="D593" s="9"/>
      <c r="E593" s="9" t="str">
        <f t="shared" si="101"/>
        <v>KATHA NA BADALUNG</v>
      </c>
      <c r="F593" s="9"/>
      <c r="G593" s="3"/>
      <c r="H593" s="47"/>
      <c r="I593" s="90" t="s">
        <v>535</v>
      </c>
      <c r="J593" s="20"/>
      <c r="K593" s="95" t="s">
        <v>536</v>
      </c>
      <c r="L593" s="3"/>
      <c r="M593" s="8"/>
      <c r="N593" s="47"/>
      <c r="O593" s="90" t="s">
        <v>535</v>
      </c>
      <c r="P593" s="20"/>
      <c r="Q593" s="87" t="s">
        <v>536</v>
      </c>
      <c r="R593" s="3"/>
    </row>
    <row r="594" spans="1:18">
      <c r="A594" s="14"/>
      <c r="B594" s="9"/>
      <c r="C594" s="10" t="str">
        <f t="shared" si="100"/>
        <v/>
      </c>
      <c r="D594" s="9"/>
      <c r="E594" s="9" t="str">
        <f t="shared" si="101"/>
        <v/>
      </c>
      <c r="F594" s="9"/>
      <c r="G594" s="3"/>
      <c r="H594" s="47"/>
      <c r="I594" s="90"/>
      <c r="J594" s="20"/>
      <c r="K594" s="87"/>
      <c r="L594" s="3"/>
      <c r="M594" s="8"/>
      <c r="N594" s="47"/>
      <c r="O594" s="90"/>
      <c r="P594" s="20"/>
      <c r="Q594" s="87"/>
      <c r="R594" s="3"/>
    </row>
    <row r="595" spans="1:18">
      <c r="A595" s="14"/>
      <c r="B595" s="9"/>
      <c r="C595" s="10" t="str">
        <f t="shared" si="100"/>
        <v>PRODUCER</v>
      </c>
      <c r="D595" s="9"/>
      <c r="E595" s="9" t="str">
        <f t="shared" si="101"/>
        <v>BUDSARIN PANOMMA</v>
      </c>
      <c r="F595" s="9"/>
      <c r="G595" s="3"/>
      <c r="H595" s="47"/>
      <c r="I595" s="90" t="s">
        <v>504</v>
      </c>
      <c r="J595" s="20"/>
      <c r="K595" s="87" t="s">
        <v>537</v>
      </c>
      <c r="L595" s="3"/>
      <c r="M595" s="8"/>
      <c r="N595" s="47"/>
      <c r="O595" s="90" t="s">
        <v>504</v>
      </c>
      <c r="P595" s="20"/>
      <c r="Q595" s="87" t="s">
        <v>537</v>
      </c>
      <c r="R595" s="3"/>
    </row>
    <row r="596" spans="1:18">
      <c r="A596" s="14"/>
      <c r="B596" s="9"/>
      <c r="C596" s="10" t="str">
        <f t="shared" si="100"/>
        <v/>
      </c>
      <c r="D596" s="9"/>
      <c r="E596" s="9" t="str">
        <f t="shared" si="101"/>
        <v/>
      </c>
      <c r="F596" s="9"/>
      <c r="G596" s="3"/>
      <c r="H596" s="47"/>
      <c r="I596" s="90"/>
      <c r="J596" s="20"/>
      <c r="K596" s="95"/>
      <c r="L596" s="3"/>
      <c r="M596" s="63"/>
      <c r="N596" s="47"/>
      <c r="O596" s="90"/>
      <c r="P596" s="20"/>
      <c r="Q596" s="87"/>
      <c r="R596" s="3"/>
    </row>
    <row r="597" spans="1:18">
      <c r="A597" s="14"/>
      <c r="B597" s="9"/>
      <c r="C597" s="10" t="str">
        <f t="shared" si="100"/>
        <v>ASSET MANAGER</v>
      </c>
      <c r="D597" s="9"/>
      <c r="E597" s="9" t="str">
        <f t="shared" si="101"/>
        <v>PALAPAS NIMAWAN</v>
      </c>
      <c r="F597" s="9"/>
      <c r="G597" s="3"/>
      <c r="H597" s="47"/>
      <c r="I597" s="90" t="s">
        <v>498</v>
      </c>
      <c r="J597" s="20"/>
      <c r="K597" s="95" t="s">
        <v>538</v>
      </c>
      <c r="L597" s="3"/>
      <c r="M597" s="63"/>
      <c r="N597" s="47"/>
      <c r="O597" s="90" t="s">
        <v>498</v>
      </c>
      <c r="P597" s="20"/>
      <c r="Q597" s="87" t="s">
        <v>538</v>
      </c>
      <c r="R597" s="3"/>
    </row>
    <row r="598" spans="1:18">
      <c r="A598" s="14"/>
      <c r="B598" s="9"/>
      <c r="C598" s="10" t="str">
        <f t="shared" si="100"/>
        <v>ANIMATION MANAGER</v>
      </c>
      <c r="D598" s="9"/>
      <c r="E598" s="9" t="str">
        <f t="shared" si="101"/>
        <v>PARINYA PONGSANGIAM</v>
      </c>
      <c r="F598" s="9"/>
      <c r="G598" s="3"/>
      <c r="H598" s="47"/>
      <c r="I598" s="90" t="s">
        <v>539</v>
      </c>
      <c r="J598" s="20"/>
      <c r="K598" s="95" t="s">
        <v>540</v>
      </c>
      <c r="L598" s="3"/>
      <c r="M598" s="8"/>
      <c r="N598" s="47"/>
      <c r="O598" s="90" t="s">
        <v>539</v>
      </c>
      <c r="P598" s="20"/>
      <c r="Q598" s="87" t="s">
        <v>540</v>
      </c>
      <c r="R598" s="3"/>
    </row>
    <row r="599" spans="1:18">
      <c r="A599" s="14"/>
      <c r="B599" s="9"/>
      <c r="C599" s="10" t="str">
        <f t="shared" si="100"/>
        <v>CG MANAGER</v>
      </c>
      <c r="D599" s="9"/>
      <c r="E599" s="9" t="str">
        <f t="shared" si="101"/>
        <v>SASIPORN PANOMMA</v>
      </c>
      <c r="F599" s="9"/>
      <c r="G599" s="3"/>
      <c r="H599" s="47"/>
      <c r="I599" s="90" t="s">
        <v>541</v>
      </c>
      <c r="J599" s="20"/>
      <c r="K599" s="87" t="s">
        <v>542</v>
      </c>
      <c r="L599" s="3"/>
      <c r="M599" s="63"/>
      <c r="N599" s="47"/>
      <c r="O599" s="90" t="s">
        <v>541</v>
      </c>
      <c r="P599" s="20"/>
      <c r="Q599" s="87" t="s">
        <v>542</v>
      </c>
      <c r="R599" s="3"/>
    </row>
    <row r="600" spans="1:18">
      <c r="A600" s="14"/>
      <c r="B600" s="9"/>
      <c r="C600" s="10" t="str">
        <f t="shared" si="100"/>
        <v/>
      </c>
      <c r="D600" s="9"/>
      <c r="E600" s="9" t="str">
        <f t="shared" si="101"/>
        <v/>
      </c>
      <c r="F600" s="9"/>
      <c r="G600" s="3"/>
      <c r="H600" s="47"/>
      <c r="I600" s="90"/>
      <c r="J600" s="20"/>
      <c r="K600" s="87"/>
      <c r="L600" s="3"/>
      <c r="M600" s="8"/>
      <c r="N600" s="47"/>
      <c r="O600" s="90"/>
      <c r="P600" s="20"/>
      <c r="Q600" s="87"/>
      <c r="R600" s="3"/>
    </row>
    <row r="601" spans="1:18">
      <c r="A601" s="14"/>
      <c r="B601" s="9"/>
      <c r="C601" s="10" t="str">
        <f t="shared" si="100"/>
        <v>ASSET COORDINATOR</v>
      </c>
      <c r="D601" s="9"/>
      <c r="E601" s="9" t="str">
        <f t="shared" si="101"/>
        <v>CHUTCHAPHOL KHANTASOPHON</v>
      </c>
      <c r="F601" s="9"/>
      <c r="G601" s="3"/>
      <c r="H601" s="47"/>
      <c r="I601" s="90" t="s">
        <v>543</v>
      </c>
      <c r="J601" s="20"/>
      <c r="K601" s="87" t="s">
        <v>544</v>
      </c>
      <c r="L601" s="3"/>
      <c r="M601" s="8"/>
      <c r="N601" s="47"/>
      <c r="O601" s="90" t="s">
        <v>543</v>
      </c>
      <c r="P601" s="20"/>
      <c r="Q601" s="87" t="s">
        <v>544</v>
      </c>
      <c r="R601" s="3"/>
    </row>
    <row r="602" spans="1:18">
      <c r="A602" s="14"/>
      <c r="B602" s="9"/>
      <c r="C602" s="10" t="str">
        <f t="shared" si="100"/>
        <v/>
      </c>
      <c r="D602" s="9"/>
      <c r="E602" s="9" t="str">
        <f t="shared" si="101"/>
        <v>WARISSARA PETSAKUL</v>
      </c>
      <c r="F602" s="9"/>
      <c r="G602" s="3"/>
      <c r="H602" s="47"/>
      <c r="I602" s="90"/>
      <c r="J602" s="20"/>
      <c r="K602" s="87" t="s">
        <v>545</v>
      </c>
      <c r="L602" s="3"/>
      <c r="M602" s="63"/>
      <c r="N602" s="47"/>
      <c r="O602" s="90"/>
      <c r="P602" s="20"/>
      <c r="Q602" s="87" t="s">
        <v>545</v>
      </c>
      <c r="R602" s="3"/>
    </row>
    <row r="603" spans="1:18">
      <c r="A603" s="14"/>
      <c r="B603" s="9"/>
      <c r="C603" s="10" t="str">
        <f t="shared" si="100"/>
        <v>LAYOUT COORDINATOR</v>
      </c>
      <c r="D603" s="9"/>
      <c r="E603" s="9" t="str">
        <f t="shared" si="101"/>
        <v>PATSAWAN CHUASRITRAKUL</v>
      </c>
      <c r="F603" s="9"/>
      <c r="G603" s="3"/>
      <c r="H603" s="47"/>
      <c r="I603" s="90" t="s">
        <v>546</v>
      </c>
      <c r="J603" s="20"/>
      <c r="K603" s="87" t="s">
        <v>547</v>
      </c>
      <c r="L603" s="3"/>
      <c r="M603" s="8"/>
      <c r="N603" s="47"/>
      <c r="O603" s="90" t="s">
        <v>546</v>
      </c>
      <c r="P603" s="20"/>
      <c r="Q603" s="87" t="s">
        <v>547</v>
      </c>
      <c r="R603" s="3"/>
    </row>
    <row r="604" spans="1:18">
      <c r="A604" s="14"/>
      <c r="B604" s="9"/>
      <c r="C604" s="10" t="str">
        <f t="shared" si="100"/>
        <v>ANIMATION COORDINATOR</v>
      </c>
      <c r="D604" s="9"/>
      <c r="E604" s="9" t="str">
        <f t="shared" si="101"/>
        <v>SAWITA STARPITCHAYANANT</v>
      </c>
      <c r="F604" s="9"/>
      <c r="G604" s="3"/>
      <c r="H604" s="47"/>
      <c r="I604" s="90" t="s">
        <v>548</v>
      </c>
      <c r="J604" s="20"/>
      <c r="K604" s="87" t="s">
        <v>549</v>
      </c>
      <c r="L604" s="3"/>
      <c r="M604" s="8"/>
      <c r="N604" s="47"/>
      <c r="O604" s="90" t="s">
        <v>548</v>
      </c>
      <c r="P604" s="20"/>
      <c r="Q604" s="87" t="s">
        <v>549</v>
      </c>
      <c r="R604" s="3"/>
    </row>
    <row r="605" spans="1:18">
      <c r="A605" s="14"/>
      <c r="B605" s="9"/>
      <c r="C605" s="10" t="str">
        <f t="shared" si="100"/>
        <v/>
      </c>
      <c r="D605" s="9"/>
      <c r="E605" s="9" t="str">
        <f t="shared" si="101"/>
        <v>KUNLAPHAT JEERAMANEEMAI</v>
      </c>
      <c r="F605" s="9"/>
      <c r="G605" s="3"/>
      <c r="H605" s="47"/>
      <c r="I605" s="90"/>
      <c r="J605" s="20"/>
      <c r="K605" s="87" t="s">
        <v>550</v>
      </c>
      <c r="L605" s="3"/>
      <c r="M605" s="8"/>
      <c r="N605" s="47"/>
      <c r="O605" s="90"/>
      <c r="P605" s="20"/>
      <c r="Q605" s="87" t="s">
        <v>550</v>
      </c>
      <c r="R605" s="3"/>
    </row>
    <row r="606" spans="1:18">
      <c r="A606" s="14"/>
      <c r="B606" s="9"/>
      <c r="C606" s="10" t="str">
        <f t="shared" si="100"/>
        <v/>
      </c>
      <c r="D606" s="9"/>
      <c r="E606" s="9" t="str">
        <f t="shared" si="101"/>
        <v>PUNYAWEE TUNGJAISUE</v>
      </c>
      <c r="F606" s="9"/>
      <c r="G606" s="3"/>
      <c r="H606" s="47"/>
      <c r="I606" s="90"/>
      <c r="J606" s="20"/>
      <c r="K606" s="87" t="s">
        <v>551</v>
      </c>
      <c r="L606" s="3"/>
      <c r="M606" s="8"/>
      <c r="N606" s="47"/>
      <c r="O606" s="90"/>
      <c r="P606" s="20"/>
      <c r="Q606" s="87" t="s">
        <v>551</v>
      </c>
      <c r="R606" s="3"/>
    </row>
    <row r="607" spans="1:18">
      <c r="A607" s="14"/>
      <c r="B607" s="9"/>
      <c r="C607" s="10" t="str">
        <f t="shared" si="100"/>
        <v>FX COORDINATOR</v>
      </c>
      <c r="D607" s="9"/>
      <c r="E607" s="9" t="str">
        <f t="shared" si="101"/>
        <v>NAVIPAS SUTTICHONSAKUL</v>
      </c>
      <c r="F607" s="9"/>
      <c r="G607" s="3"/>
      <c r="H607" s="47"/>
      <c r="I607" s="90" t="s">
        <v>552</v>
      </c>
      <c r="J607" s="20"/>
      <c r="K607" s="87" t="s">
        <v>553</v>
      </c>
      <c r="L607" s="3"/>
      <c r="M607" s="8"/>
      <c r="N607" s="47"/>
      <c r="O607" s="90" t="s">
        <v>552</v>
      </c>
      <c r="P607" s="20"/>
      <c r="Q607" s="87" t="s">
        <v>553</v>
      </c>
      <c r="R607" s="3"/>
    </row>
    <row r="608" spans="1:18">
      <c r="A608" s="14"/>
      <c r="B608" s="9"/>
      <c r="C608" s="10" t="str">
        <f t="shared" si="100"/>
        <v>LRC COORDINATOR</v>
      </c>
      <c r="D608" s="9"/>
      <c r="E608" s="9" t="str">
        <f t="shared" si="101"/>
        <v>SUNIDA DANGTHONGKUM</v>
      </c>
      <c r="F608" s="9"/>
      <c r="G608" s="3"/>
      <c r="H608" s="47"/>
      <c r="I608" s="90" t="s">
        <v>554</v>
      </c>
      <c r="J608" s="20"/>
      <c r="K608" s="87" t="s">
        <v>555</v>
      </c>
      <c r="L608" s="3"/>
      <c r="M608" s="8"/>
      <c r="N608" s="47"/>
      <c r="O608" s="90" t="s">
        <v>554</v>
      </c>
      <c r="P608" s="20"/>
      <c r="Q608" s="87" t="s">
        <v>555</v>
      </c>
      <c r="R608" s="3"/>
    </row>
    <row r="609" spans="1:18">
      <c r="A609" s="14"/>
      <c r="B609" s="9"/>
      <c r="C609" s="10" t="str">
        <f t="shared" si="100"/>
        <v>PIPELINE&amp;TD COORDINATOR</v>
      </c>
      <c r="D609" s="9"/>
      <c r="E609" s="9" t="str">
        <f t="shared" si="101"/>
        <v>DANUPHOL JONGARIYAKUL</v>
      </c>
      <c r="F609" s="9"/>
      <c r="G609" s="3"/>
      <c r="H609" s="47"/>
      <c r="I609" s="133" t="s">
        <v>556</v>
      </c>
      <c r="J609" s="20"/>
      <c r="K609" s="87" t="s">
        <v>557</v>
      </c>
      <c r="L609" s="3"/>
      <c r="M609" s="8"/>
      <c r="N609" s="47"/>
      <c r="O609" s="133" t="s">
        <v>556</v>
      </c>
      <c r="P609" s="20"/>
      <c r="Q609" s="87" t="s">
        <v>557</v>
      </c>
      <c r="R609" s="3"/>
    </row>
    <row r="610" spans="1:18">
      <c r="A610" s="14"/>
      <c r="B610" s="9"/>
      <c r="C610" s="10" t="str">
        <f t="shared" si="100"/>
        <v/>
      </c>
      <c r="D610" s="9"/>
      <c r="E610" s="9" t="str">
        <f t="shared" si="101"/>
        <v/>
      </c>
      <c r="F610" s="9"/>
      <c r="G610" s="3"/>
      <c r="H610" s="47"/>
      <c r="I610" s="48"/>
      <c r="J610" s="48"/>
      <c r="K610" s="74"/>
      <c r="L610" s="3"/>
      <c r="M610" s="8"/>
      <c r="N610" s="47"/>
      <c r="O610" s="21"/>
      <c r="P610" s="20"/>
      <c r="Q610" s="47"/>
      <c r="R610" s="3"/>
    </row>
    <row r="611" spans="1:18">
      <c r="A611" s="14"/>
      <c r="B611" s="11"/>
      <c r="C611" s="12" t="str">
        <f t="shared" si="100"/>
        <v/>
      </c>
      <c r="D611" s="11"/>
      <c r="E611" s="11" t="str">
        <f t="shared" si="101"/>
        <v/>
      </c>
      <c r="F611" s="11"/>
      <c r="G611" s="3"/>
      <c r="H611" s="47"/>
      <c r="I611" s="21"/>
      <c r="J611" s="20"/>
      <c r="K611" s="13"/>
      <c r="L611" s="3"/>
      <c r="M611" s="8"/>
      <c r="N611" s="8"/>
      <c r="O611" s="21"/>
      <c r="P611" s="3"/>
      <c r="Q611" s="3"/>
      <c r="R611" s="3"/>
    </row>
    <row r="612" spans="1:18">
      <c r="A612" s="14"/>
      <c r="B612" s="6"/>
      <c r="C612" s="6"/>
      <c r="D612" s="6"/>
      <c r="E612" s="6"/>
      <c r="F612" s="6"/>
      <c r="G612" s="3"/>
      <c r="H612" s="48"/>
      <c r="I612" s="15"/>
      <c r="J612" s="15"/>
      <c r="K612" s="5"/>
      <c r="L612" s="48"/>
      <c r="M612" s="8"/>
      <c r="N612" s="8"/>
      <c r="O612" s="21"/>
      <c r="P612" s="3"/>
      <c r="Q612" s="3"/>
      <c r="R612" s="3"/>
    </row>
    <row r="613" spans="1:18">
      <c r="A613" s="14"/>
      <c r="B613" s="143" t="str">
        <f t="shared" ref="B613:B614" si="102">UPPER(H613)</f>
        <v>PRODUCTION SERVICES PROVIDED BY</v>
      </c>
      <c r="C613" s="141"/>
      <c r="D613" s="141"/>
      <c r="E613" s="141"/>
      <c r="F613" s="141"/>
      <c r="G613" s="3"/>
      <c r="H613" s="144" t="s">
        <v>530</v>
      </c>
      <c r="I613" s="141"/>
      <c r="J613" s="141"/>
      <c r="K613" s="141"/>
      <c r="L613" s="141"/>
      <c r="M613" s="8"/>
      <c r="N613" s="145" t="s">
        <v>940</v>
      </c>
      <c r="O613" s="141"/>
      <c r="P613" s="141"/>
      <c r="Q613" s="141"/>
      <c r="R613" s="141"/>
    </row>
    <row r="614" spans="1:18">
      <c r="A614" s="14"/>
      <c r="B614" s="146" t="str">
        <f t="shared" si="102"/>
        <v>THE MONK STUDIOS</v>
      </c>
      <c r="C614" s="141"/>
      <c r="D614" s="141"/>
      <c r="E614" s="141"/>
      <c r="F614" s="141"/>
      <c r="G614" s="8"/>
      <c r="H614" s="147" t="s">
        <v>202</v>
      </c>
      <c r="I614" s="141"/>
      <c r="J614" s="141"/>
      <c r="K614" s="141"/>
      <c r="L614" s="141"/>
      <c r="M614" s="8"/>
      <c r="N614" s="147" t="s">
        <v>202</v>
      </c>
      <c r="O614" s="141"/>
      <c r="P614" s="141"/>
      <c r="Q614" s="141"/>
      <c r="R614" s="141"/>
    </row>
    <row r="615" spans="1:18">
      <c r="A615" s="14"/>
      <c r="B615" s="6"/>
      <c r="C615" s="6"/>
      <c r="D615" s="6"/>
      <c r="E615" s="6"/>
      <c r="F615" s="6"/>
      <c r="G615" s="3"/>
      <c r="H615" s="48"/>
      <c r="I615" s="15"/>
      <c r="J615" s="15"/>
      <c r="K615" s="5"/>
      <c r="L615" s="48"/>
      <c r="M615" s="8"/>
      <c r="N615" s="48"/>
      <c r="O615" s="15"/>
      <c r="P615" s="15"/>
      <c r="Q615" s="5"/>
      <c r="R615" s="48"/>
    </row>
    <row r="616" spans="1:18">
      <c r="A616" s="14"/>
      <c r="B616" s="146" t="str">
        <f>UPPER(H616)</f>
        <v>PIPELINE &amp; TD</v>
      </c>
      <c r="C616" s="141"/>
      <c r="D616" s="141"/>
      <c r="E616" s="141"/>
      <c r="F616" s="141"/>
      <c r="G616" s="3"/>
      <c r="H616" s="142" t="s">
        <v>558</v>
      </c>
      <c r="I616" s="141"/>
      <c r="J616" s="141"/>
      <c r="K616" s="141"/>
      <c r="L616" s="141"/>
      <c r="M616" s="8"/>
      <c r="N616" s="142" t="s">
        <v>558</v>
      </c>
      <c r="O616" s="141"/>
      <c r="P616" s="141"/>
      <c r="Q616" s="141"/>
      <c r="R616" s="141"/>
    </row>
    <row r="617" spans="1:18">
      <c r="A617" s="14"/>
      <c r="B617" s="9"/>
      <c r="C617" s="10" t="str">
        <f t="shared" ref="C617:C636" si="103">UPPER(I617)</f>
        <v>HEAD OF PIPELINE</v>
      </c>
      <c r="D617" s="9"/>
      <c r="E617" s="9" t="str">
        <f t="shared" ref="E617:E636" si="104">UPPER(K617)</f>
        <v>MICHAEL ISARASAK KHANTHAROD</v>
      </c>
      <c r="F617" s="9"/>
      <c r="G617" s="3"/>
      <c r="H617" s="47"/>
      <c r="I617" s="66" t="s">
        <v>561</v>
      </c>
      <c r="J617" s="20"/>
      <c r="K617" s="31" t="s">
        <v>562</v>
      </c>
      <c r="L617" s="3"/>
      <c r="M617" s="8"/>
      <c r="N617" s="47"/>
      <c r="O617" s="66" t="s">
        <v>561</v>
      </c>
      <c r="P617" s="20"/>
      <c r="Q617" s="31" t="s">
        <v>562</v>
      </c>
      <c r="R617" s="3"/>
    </row>
    <row r="618" spans="1:18">
      <c r="A618" s="14"/>
      <c r="B618" s="9"/>
      <c r="C618" s="10" t="str">
        <f t="shared" si="103"/>
        <v/>
      </c>
      <c r="D618" s="9"/>
      <c r="E618" s="9" t="str">
        <f t="shared" si="104"/>
        <v/>
      </c>
      <c r="F618" s="9"/>
      <c r="G618" s="3"/>
      <c r="H618" s="47"/>
      <c r="I618" s="66"/>
      <c r="J618" s="20"/>
      <c r="K618" s="31"/>
      <c r="L618" s="3"/>
      <c r="M618" s="8"/>
      <c r="N618" s="47"/>
      <c r="O618" s="66"/>
      <c r="P618" s="20"/>
      <c r="Q618" s="31"/>
      <c r="R618" s="3"/>
    </row>
    <row r="619" spans="1:18">
      <c r="A619" s="14"/>
      <c r="B619" s="9"/>
      <c r="C619" s="10" t="str">
        <f t="shared" si="103"/>
        <v>LEAD PIPELINE</v>
      </c>
      <c r="D619" s="9"/>
      <c r="E619" s="9" t="str">
        <f t="shared" si="104"/>
        <v>SARINPORN PINTUSOPON</v>
      </c>
      <c r="F619" s="9"/>
      <c r="G619" s="3"/>
      <c r="H619" s="47"/>
      <c r="I619" s="66" t="s">
        <v>563</v>
      </c>
      <c r="J619" s="20"/>
      <c r="K619" s="31" t="s">
        <v>564</v>
      </c>
      <c r="L619" s="3"/>
      <c r="M619" s="8"/>
      <c r="N619" s="47"/>
      <c r="O619" s="66" t="s">
        <v>563</v>
      </c>
      <c r="P619" s="20"/>
      <c r="Q619" s="31" t="s">
        <v>564</v>
      </c>
      <c r="R619" s="3"/>
    </row>
    <row r="620" spans="1:18">
      <c r="A620" s="14"/>
      <c r="B620" s="9"/>
      <c r="C620" s="10" t="str">
        <f t="shared" si="103"/>
        <v/>
      </c>
      <c r="D620" s="9"/>
      <c r="E620" s="9" t="str">
        <f t="shared" si="104"/>
        <v/>
      </c>
      <c r="F620" s="9"/>
      <c r="G620" s="3"/>
      <c r="H620" s="47"/>
      <c r="I620" s="66"/>
      <c r="J620" s="20"/>
      <c r="K620" s="31"/>
      <c r="L620" s="3"/>
      <c r="M620" s="8"/>
      <c r="N620" s="47"/>
      <c r="O620" s="66"/>
      <c r="P620" s="20"/>
      <c r="Q620" s="31"/>
      <c r="R620" s="3"/>
    </row>
    <row r="621" spans="1:18">
      <c r="A621" s="14"/>
      <c r="B621" s="9"/>
      <c r="C621" s="10" t="str">
        <f t="shared" si="103"/>
        <v>PIPELINE DEVELOPER</v>
      </c>
      <c r="D621" s="9"/>
      <c r="E621" s="9" t="str">
        <f t="shared" si="104"/>
        <v>TANARAT LUANG-ON</v>
      </c>
      <c r="F621" s="9"/>
      <c r="G621" s="3"/>
      <c r="H621" s="47"/>
      <c r="I621" s="66" t="s">
        <v>565</v>
      </c>
      <c r="J621" s="20"/>
      <c r="K621" s="31" t="s">
        <v>566</v>
      </c>
      <c r="L621" s="3"/>
      <c r="M621" s="8"/>
      <c r="N621" s="47"/>
      <c r="O621" s="66" t="s">
        <v>565</v>
      </c>
      <c r="P621" s="20"/>
      <c r="Q621" s="31" t="s">
        <v>566</v>
      </c>
      <c r="R621" s="3"/>
    </row>
    <row r="622" spans="1:18">
      <c r="A622" s="14"/>
      <c r="B622" s="9"/>
      <c r="C622" s="10" t="str">
        <f t="shared" si="103"/>
        <v/>
      </c>
      <c r="D622" s="9"/>
      <c r="E622" s="9" t="str">
        <f t="shared" si="104"/>
        <v>THANYATHON TAYANGKHANON</v>
      </c>
      <c r="F622" s="9"/>
      <c r="G622" s="3"/>
      <c r="H622" s="47"/>
      <c r="I622" s="66"/>
      <c r="J622" s="20"/>
      <c r="K622" s="31" t="s">
        <v>567</v>
      </c>
      <c r="L622" s="3"/>
      <c r="M622" s="8"/>
      <c r="N622" s="47"/>
      <c r="O622" s="66"/>
      <c r="P622" s="20"/>
      <c r="Q622" s="31" t="s">
        <v>567</v>
      </c>
      <c r="R622" s="3"/>
    </row>
    <row r="623" spans="1:18">
      <c r="A623" s="14"/>
      <c r="B623" s="9"/>
      <c r="C623" s="10" t="str">
        <f t="shared" si="103"/>
        <v/>
      </c>
      <c r="D623" s="9"/>
      <c r="E623" s="9" t="str">
        <f t="shared" si="104"/>
        <v>NUTTAPON VANAKITTISTIEN</v>
      </c>
      <c r="F623" s="9"/>
      <c r="G623" s="3"/>
      <c r="H623" s="47"/>
      <c r="I623" s="66"/>
      <c r="J623" s="20"/>
      <c r="K623" s="31" t="s">
        <v>568</v>
      </c>
      <c r="L623" s="3"/>
      <c r="M623" s="63"/>
      <c r="N623" s="47"/>
      <c r="O623" s="66"/>
      <c r="P623" s="20"/>
      <c r="Q623" s="31" t="s">
        <v>568</v>
      </c>
      <c r="R623" s="3"/>
    </row>
    <row r="624" spans="1:18">
      <c r="A624" s="14"/>
      <c r="B624" s="9"/>
      <c r="C624" s="10" t="str">
        <f t="shared" si="103"/>
        <v/>
      </c>
      <c r="D624" s="9"/>
      <c r="E624" s="9" t="str">
        <f t="shared" si="104"/>
        <v>APISIT SENLUANG</v>
      </c>
      <c r="F624" s="9"/>
      <c r="G624" s="3"/>
      <c r="H624" s="47"/>
      <c r="I624" s="66"/>
      <c r="J624" s="20"/>
      <c r="K624" s="31" t="s">
        <v>569</v>
      </c>
      <c r="L624" s="3"/>
      <c r="M624" s="8"/>
      <c r="N624" s="47"/>
      <c r="O624" s="66"/>
      <c r="P624" s="20"/>
      <c r="Q624" s="31" t="s">
        <v>569</v>
      </c>
      <c r="R624" s="3"/>
    </row>
    <row r="625" spans="1:18">
      <c r="A625" s="14"/>
      <c r="B625" s="9"/>
      <c r="C625" s="10" t="str">
        <f t="shared" si="103"/>
        <v/>
      </c>
      <c r="D625" s="9"/>
      <c r="E625" s="9" t="str">
        <f t="shared" si="104"/>
        <v>KACHORNPAT GULLAPATPORNCHAI</v>
      </c>
      <c r="F625" s="9"/>
      <c r="G625" s="3"/>
      <c r="H625" s="47"/>
      <c r="I625" s="66"/>
      <c r="J625" s="20"/>
      <c r="K625" s="22" t="s">
        <v>761</v>
      </c>
      <c r="L625" s="3"/>
      <c r="M625" s="8"/>
      <c r="N625" s="47"/>
      <c r="O625" s="66"/>
      <c r="P625" s="20"/>
      <c r="Q625" s="22" t="s">
        <v>761</v>
      </c>
      <c r="R625" s="3"/>
    </row>
    <row r="626" spans="1:18">
      <c r="A626" s="14"/>
      <c r="B626" s="9"/>
      <c r="C626" s="10" t="str">
        <f t="shared" si="103"/>
        <v/>
      </c>
      <c r="D626" s="9"/>
      <c r="E626" s="9" t="str">
        <f t="shared" si="104"/>
        <v/>
      </c>
      <c r="F626" s="9"/>
      <c r="G626" s="3"/>
      <c r="H626" s="47"/>
      <c r="I626" s="66"/>
      <c r="J626" s="20"/>
      <c r="K626" s="31"/>
      <c r="L626" s="3"/>
      <c r="M626" s="8"/>
      <c r="N626" s="47"/>
      <c r="O626" s="66"/>
      <c r="P626" s="20"/>
      <c r="Q626" s="31"/>
      <c r="R626" s="3"/>
    </row>
    <row r="627" spans="1:18">
      <c r="A627" s="14"/>
      <c r="B627" s="9"/>
      <c r="C627" s="10" t="str">
        <f t="shared" si="103"/>
        <v>LEAD TECHNICAL DIRECTOR</v>
      </c>
      <c r="D627" s="9"/>
      <c r="E627" s="9" t="str">
        <f t="shared" si="104"/>
        <v>THANAPAT TUMMATI</v>
      </c>
      <c r="F627" s="9"/>
      <c r="G627" s="3"/>
      <c r="H627" s="47"/>
      <c r="I627" s="66" t="s">
        <v>570</v>
      </c>
      <c r="J627" s="20"/>
      <c r="K627" s="31" t="s">
        <v>571</v>
      </c>
      <c r="L627" s="3"/>
      <c r="M627" s="8"/>
      <c r="N627" s="47"/>
      <c r="O627" s="66" t="s">
        <v>570</v>
      </c>
      <c r="P627" s="20"/>
      <c r="Q627" s="31" t="s">
        <v>571</v>
      </c>
      <c r="R627" s="3"/>
    </row>
    <row r="628" spans="1:18">
      <c r="A628" s="14"/>
      <c r="B628" s="9"/>
      <c r="C628" s="10" t="str">
        <f t="shared" si="103"/>
        <v/>
      </c>
      <c r="D628" s="9"/>
      <c r="E628" s="9" t="str">
        <f t="shared" si="104"/>
        <v/>
      </c>
      <c r="F628" s="9"/>
      <c r="G628" s="3"/>
      <c r="H628" s="47"/>
      <c r="I628" s="66"/>
      <c r="J628" s="20"/>
      <c r="K628" s="31"/>
      <c r="L628" s="3"/>
      <c r="M628" s="8"/>
      <c r="N628" s="47"/>
      <c r="O628" s="66"/>
      <c r="P628" s="20"/>
      <c r="Q628" s="31"/>
      <c r="R628" s="3"/>
    </row>
    <row r="629" spans="1:18">
      <c r="A629" s="14"/>
      <c r="B629" s="9"/>
      <c r="C629" s="10" t="str">
        <f t="shared" si="103"/>
        <v>TECHNICAL DIRECTOR</v>
      </c>
      <c r="D629" s="9"/>
      <c r="E629" s="9" t="str">
        <f t="shared" si="104"/>
        <v>TANAWOOT SINGTHONGPRASERT</v>
      </c>
      <c r="F629" s="9"/>
      <c r="G629" s="3"/>
      <c r="H629" s="47"/>
      <c r="I629" s="66" t="s">
        <v>572</v>
      </c>
      <c r="J629" s="20"/>
      <c r="K629" s="31" t="s">
        <v>573</v>
      </c>
      <c r="L629" s="3"/>
      <c r="M629" s="8"/>
      <c r="N629" s="47"/>
      <c r="O629" s="66" t="s">
        <v>572</v>
      </c>
      <c r="P629" s="20"/>
      <c r="Q629" s="31" t="s">
        <v>573</v>
      </c>
      <c r="R629" s="3"/>
    </row>
    <row r="630" spans="1:18">
      <c r="A630" s="14"/>
      <c r="B630" s="9"/>
      <c r="C630" s="10" t="str">
        <f t="shared" si="103"/>
        <v/>
      </c>
      <c r="D630" s="9"/>
      <c r="E630" s="9" t="str">
        <f t="shared" si="104"/>
        <v>PEERAPAT SRIPENG</v>
      </c>
      <c r="F630" s="9"/>
      <c r="G630" s="3"/>
      <c r="H630" s="47"/>
      <c r="I630" s="66"/>
      <c r="J630" s="20"/>
      <c r="K630" s="31" t="s">
        <v>574</v>
      </c>
      <c r="L630" s="3"/>
      <c r="M630" s="8"/>
      <c r="N630" s="47"/>
      <c r="O630" s="66"/>
      <c r="P630" s="20"/>
      <c r="Q630" s="31" t="s">
        <v>574</v>
      </c>
      <c r="R630" s="3"/>
    </row>
    <row r="631" spans="1:18">
      <c r="A631" s="14"/>
      <c r="B631" s="9"/>
      <c r="C631" s="10" t="str">
        <f t="shared" si="103"/>
        <v/>
      </c>
      <c r="D631" s="9"/>
      <c r="E631" s="9" t="str">
        <f t="shared" si="104"/>
        <v>THIRADA THEETHUM</v>
      </c>
      <c r="F631" s="9"/>
      <c r="G631" s="3"/>
      <c r="H631" s="47"/>
      <c r="I631" s="66"/>
      <c r="J631" s="20"/>
      <c r="K631" s="31" t="s">
        <v>575</v>
      </c>
      <c r="L631" s="3"/>
      <c r="M631" s="8"/>
      <c r="N631" s="47"/>
      <c r="O631" s="66"/>
      <c r="P631" s="20"/>
      <c r="Q631" s="31" t="s">
        <v>575</v>
      </c>
      <c r="R631" s="3"/>
    </row>
    <row r="632" spans="1:18">
      <c r="A632" s="14"/>
      <c r="B632" s="9"/>
      <c r="C632" s="10" t="str">
        <f t="shared" si="103"/>
        <v/>
      </c>
      <c r="D632" s="9"/>
      <c r="E632" s="9" t="str">
        <f t="shared" si="104"/>
        <v>NICHAPAT KACHACHEEWA</v>
      </c>
      <c r="F632" s="9"/>
      <c r="G632" s="3"/>
      <c r="H632" s="47"/>
      <c r="I632" s="66"/>
      <c r="J632" s="20"/>
      <c r="K632" s="31" t="s">
        <v>576</v>
      </c>
      <c r="L632" s="3"/>
      <c r="M632" s="8"/>
      <c r="N632" s="47"/>
      <c r="O632" s="66"/>
      <c r="P632" s="20"/>
      <c r="Q632" s="31" t="s">
        <v>576</v>
      </c>
      <c r="R632" s="3"/>
    </row>
    <row r="633" spans="1:18">
      <c r="A633" s="14"/>
      <c r="B633" s="9"/>
      <c r="C633" s="10" t="str">
        <f t="shared" si="103"/>
        <v/>
      </c>
      <c r="D633" s="9"/>
      <c r="E633" s="9" t="str">
        <f t="shared" si="104"/>
        <v>SUCHADA KHAMWAN</v>
      </c>
      <c r="F633" s="9"/>
      <c r="G633" s="3"/>
      <c r="H633" s="47"/>
      <c r="I633" s="66"/>
      <c r="J633" s="20"/>
      <c r="K633" s="31" t="s">
        <v>762</v>
      </c>
      <c r="L633" s="3"/>
      <c r="M633" s="8"/>
      <c r="N633" s="47"/>
      <c r="O633" s="66"/>
      <c r="P633" s="20"/>
      <c r="Q633" s="31" t="s">
        <v>762</v>
      </c>
      <c r="R633" s="3"/>
    </row>
    <row r="634" spans="1:18">
      <c r="A634" s="14"/>
      <c r="B634" s="9"/>
      <c r="C634" s="10" t="str">
        <f t="shared" si="103"/>
        <v/>
      </c>
      <c r="D634" s="9"/>
      <c r="E634" s="9" t="str">
        <f t="shared" si="104"/>
        <v/>
      </c>
      <c r="F634" s="9"/>
      <c r="G634" s="3"/>
      <c r="H634" s="47"/>
      <c r="I634" s="66"/>
      <c r="J634" s="20"/>
      <c r="K634" s="31"/>
      <c r="L634" s="3"/>
      <c r="M634" s="8"/>
      <c r="N634" s="47"/>
      <c r="O634" s="66"/>
      <c r="P634" s="20"/>
      <c r="Q634" s="31"/>
      <c r="R634" s="3"/>
    </row>
    <row r="635" spans="1:18">
      <c r="A635" s="14"/>
      <c r="B635" s="9"/>
      <c r="C635" s="10" t="str">
        <f t="shared" si="103"/>
        <v>RIG TECHNICAL DIRECTOR</v>
      </c>
      <c r="D635" s="9"/>
      <c r="E635" s="9" t="str">
        <f t="shared" si="104"/>
        <v>PONGSOPON SROYSOMWONG</v>
      </c>
      <c r="F635" s="9"/>
      <c r="G635" s="3"/>
      <c r="H635" s="47"/>
      <c r="I635" s="66" t="s">
        <v>578</v>
      </c>
      <c r="J635" s="20"/>
      <c r="K635" s="31" t="s">
        <v>579</v>
      </c>
      <c r="L635" s="3"/>
      <c r="M635" s="8"/>
      <c r="N635" s="47"/>
      <c r="O635" s="66" t="s">
        <v>578</v>
      </c>
      <c r="P635" s="20"/>
      <c r="Q635" s="31" t="s">
        <v>579</v>
      </c>
      <c r="R635" s="3"/>
    </row>
    <row r="636" spans="1:18">
      <c r="A636" s="14"/>
      <c r="B636" s="9"/>
      <c r="C636" s="10" t="str">
        <f t="shared" si="103"/>
        <v/>
      </c>
      <c r="D636" s="9"/>
      <c r="E636" s="9" t="str">
        <f t="shared" si="104"/>
        <v>SARAWUT SUWAN</v>
      </c>
      <c r="F636" s="9"/>
      <c r="G636" s="3"/>
      <c r="H636" s="47"/>
      <c r="I636" s="66"/>
      <c r="J636" s="20"/>
      <c r="K636" s="31" t="s">
        <v>580</v>
      </c>
      <c r="L636" s="3"/>
      <c r="M636" s="8"/>
      <c r="N636" s="47"/>
      <c r="O636" s="66"/>
      <c r="P636" s="20"/>
      <c r="Q636" s="31" t="s">
        <v>580</v>
      </c>
      <c r="R636" s="3"/>
    </row>
    <row r="637" spans="1:18">
      <c r="A637" s="14"/>
      <c r="B637" s="6"/>
      <c r="C637" s="6"/>
      <c r="D637" s="6"/>
      <c r="E637" s="6"/>
      <c r="F637" s="6"/>
      <c r="G637" s="3"/>
      <c r="H637" s="48"/>
      <c r="I637" s="15"/>
      <c r="J637" s="15"/>
      <c r="K637" s="5"/>
      <c r="L637" s="48"/>
      <c r="M637" s="8"/>
      <c r="N637" s="47"/>
      <c r="O637" s="21"/>
      <c r="P637" s="20"/>
      <c r="Q637" s="47"/>
      <c r="R637" s="3"/>
    </row>
    <row r="638" spans="1:18">
      <c r="A638" s="14"/>
      <c r="B638" s="26"/>
      <c r="C638" s="26"/>
      <c r="D638" s="26"/>
      <c r="E638" s="26"/>
      <c r="F638" s="26"/>
      <c r="G638" s="3"/>
      <c r="H638" s="48"/>
      <c r="I638" s="48"/>
      <c r="J638" s="48"/>
      <c r="K638" s="74"/>
      <c r="L638" s="48"/>
      <c r="M638" s="8"/>
      <c r="N638" s="47"/>
      <c r="O638" s="21"/>
      <c r="P638" s="20"/>
      <c r="Q638" s="47"/>
      <c r="R638" s="3"/>
    </row>
    <row r="639" spans="1:18">
      <c r="A639" s="14"/>
      <c r="B639" s="6"/>
      <c r="C639" s="6"/>
      <c r="D639" s="6"/>
      <c r="E639" s="6"/>
      <c r="F639" s="6"/>
      <c r="G639" s="3"/>
      <c r="H639" s="48"/>
      <c r="I639" s="48"/>
      <c r="J639" s="48"/>
      <c r="K639" s="74"/>
      <c r="L639" s="48"/>
      <c r="M639" s="8"/>
      <c r="N639" s="47"/>
      <c r="O639" s="21"/>
      <c r="P639" s="20"/>
      <c r="Q639" s="47"/>
      <c r="R639" s="3"/>
    </row>
    <row r="640" spans="1:18">
      <c r="A640" s="14"/>
      <c r="B640" s="143" t="str">
        <f t="shared" ref="B640:B641" si="105">UPPER(H640)</f>
        <v>PRODUCTION SERVICES PROVIDED BY</v>
      </c>
      <c r="C640" s="141"/>
      <c r="D640" s="141"/>
      <c r="E640" s="141"/>
      <c r="F640" s="141"/>
      <c r="G640" s="3"/>
      <c r="H640" s="144" t="s">
        <v>530</v>
      </c>
      <c r="I640" s="141"/>
      <c r="J640" s="141"/>
      <c r="K640" s="141"/>
      <c r="L640" s="141"/>
      <c r="M640" s="8"/>
      <c r="N640" s="145" t="s">
        <v>940</v>
      </c>
      <c r="O640" s="141"/>
      <c r="P640" s="141"/>
      <c r="Q640" s="141"/>
      <c r="R640" s="141"/>
    </row>
    <row r="641" spans="1:18">
      <c r="A641" s="14"/>
      <c r="B641" s="146" t="str">
        <f t="shared" si="105"/>
        <v>THE MONK STUDIOS</v>
      </c>
      <c r="C641" s="141"/>
      <c r="D641" s="141"/>
      <c r="E641" s="141"/>
      <c r="F641" s="141"/>
      <c r="G641" s="8"/>
      <c r="H641" s="147" t="s">
        <v>202</v>
      </c>
      <c r="I641" s="141"/>
      <c r="J641" s="141"/>
      <c r="K641" s="141"/>
      <c r="L641" s="141"/>
      <c r="M641" s="8"/>
      <c r="N641" s="147" t="s">
        <v>202</v>
      </c>
      <c r="O641" s="141"/>
      <c r="P641" s="141"/>
      <c r="Q641" s="141"/>
      <c r="R641" s="141"/>
    </row>
    <row r="642" spans="1:18">
      <c r="A642" s="14"/>
      <c r="B642" s="9"/>
      <c r="C642" s="10"/>
      <c r="D642" s="9"/>
      <c r="E642" s="9"/>
      <c r="F642" s="9"/>
      <c r="G642" s="3"/>
      <c r="H642" s="47"/>
      <c r="I642" s="21"/>
      <c r="J642" s="20"/>
      <c r="K642" s="13"/>
      <c r="L642" s="3"/>
      <c r="M642" s="8"/>
      <c r="N642" s="47"/>
      <c r="O642" s="21"/>
      <c r="P642" s="20"/>
      <c r="Q642" s="13"/>
      <c r="R642" s="3"/>
    </row>
    <row r="643" spans="1:18">
      <c r="A643" s="14"/>
      <c r="B643" s="146" t="str">
        <f>UPPER(H643)</f>
        <v>IT</v>
      </c>
      <c r="C643" s="141"/>
      <c r="D643" s="141"/>
      <c r="E643" s="141"/>
      <c r="F643" s="141"/>
      <c r="G643" s="3"/>
      <c r="H643" s="142" t="s">
        <v>581</v>
      </c>
      <c r="I643" s="141"/>
      <c r="J643" s="141"/>
      <c r="K643" s="141"/>
      <c r="L643" s="141"/>
      <c r="M643" s="8"/>
      <c r="N643" s="142" t="s">
        <v>581</v>
      </c>
      <c r="O643" s="141"/>
      <c r="P643" s="141"/>
      <c r="Q643" s="141"/>
      <c r="R643" s="141"/>
    </row>
    <row r="644" spans="1:18">
      <c r="A644" s="14"/>
      <c r="B644" s="9"/>
      <c r="C644" s="10" t="str">
        <f t="shared" ref="C644:C651" si="106">UPPER(I644)</f>
        <v>IT DIRECTOR</v>
      </c>
      <c r="D644" s="9"/>
      <c r="E644" s="9" t="str">
        <f t="shared" ref="E644:E651" si="107">UPPER(K644)</f>
        <v>PAKORN CHUTINIMITKUL</v>
      </c>
      <c r="F644" s="9"/>
      <c r="G644" s="3"/>
      <c r="H644" s="47"/>
      <c r="I644" s="134" t="s">
        <v>582</v>
      </c>
      <c r="J644" s="20"/>
      <c r="K644" s="89" t="s">
        <v>583</v>
      </c>
      <c r="L644" s="3"/>
      <c r="M644" s="8"/>
      <c r="N644" s="47"/>
      <c r="O644" s="134" t="s">
        <v>582</v>
      </c>
      <c r="P644" s="20"/>
      <c r="Q644" s="89" t="s">
        <v>583</v>
      </c>
      <c r="R644" s="3"/>
    </row>
    <row r="645" spans="1:18">
      <c r="A645" s="14"/>
      <c r="B645" s="9"/>
      <c r="C645" s="10" t="str">
        <f t="shared" si="106"/>
        <v/>
      </c>
      <c r="D645" s="9"/>
      <c r="E645" s="9" t="str">
        <f t="shared" si="107"/>
        <v/>
      </c>
      <c r="F645" s="9"/>
      <c r="G645" s="3"/>
      <c r="H645" s="47"/>
      <c r="I645" s="134"/>
      <c r="J645" s="20"/>
      <c r="K645" s="89"/>
      <c r="L645" s="3"/>
      <c r="M645" s="8"/>
      <c r="N645" s="47"/>
      <c r="O645" s="134"/>
      <c r="P645" s="20"/>
      <c r="Q645" s="89"/>
      <c r="R645" s="3"/>
    </row>
    <row r="646" spans="1:18">
      <c r="A646" s="14"/>
      <c r="B646" s="9"/>
      <c r="C646" s="10" t="str">
        <f t="shared" si="106"/>
        <v>SYSTEM ENGINEER</v>
      </c>
      <c r="D646" s="9"/>
      <c r="E646" s="9" t="str">
        <f t="shared" si="107"/>
        <v>NATEE KOONJATURAPAT</v>
      </c>
      <c r="F646" s="9"/>
      <c r="G646" s="3"/>
      <c r="H646" s="47"/>
      <c r="I646" s="134" t="s">
        <v>584</v>
      </c>
      <c r="J646" s="20"/>
      <c r="K646" s="89" t="s">
        <v>585</v>
      </c>
      <c r="L646" s="3"/>
      <c r="M646" s="8"/>
      <c r="N646" s="47"/>
      <c r="O646" s="134" t="s">
        <v>584</v>
      </c>
      <c r="P646" s="20"/>
      <c r="Q646" s="89" t="s">
        <v>585</v>
      </c>
      <c r="R646" s="3"/>
    </row>
    <row r="647" spans="1:18">
      <c r="A647" s="14"/>
      <c r="B647" s="9"/>
      <c r="C647" s="10" t="str">
        <f t="shared" si="106"/>
        <v/>
      </c>
      <c r="D647" s="9"/>
      <c r="E647" s="9" t="str">
        <f t="shared" si="107"/>
        <v/>
      </c>
      <c r="F647" s="9"/>
      <c r="G647" s="3"/>
      <c r="H647" s="47"/>
      <c r="I647" s="134"/>
      <c r="J647" s="20"/>
      <c r="K647" s="89"/>
      <c r="L647" s="3"/>
      <c r="M647" s="8"/>
      <c r="N647" s="47"/>
      <c r="O647" s="134"/>
      <c r="P647" s="20"/>
      <c r="Q647" s="89"/>
      <c r="R647" s="3"/>
    </row>
    <row r="648" spans="1:18">
      <c r="A648" s="14"/>
      <c r="B648" s="9"/>
      <c r="C648" s="10" t="str">
        <f t="shared" si="106"/>
        <v>IT SUPPORT</v>
      </c>
      <c r="D648" s="9"/>
      <c r="E648" s="9" t="str">
        <f t="shared" si="107"/>
        <v>CHATCHAI LOHSIRI</v>
      </c>
      <c r="F648" s="9"/>
      <c r="G648" s="3"/>
      <c r="H648" s="47"/>
      <c r="I648" s="134" t="s">
        <v>586</v>
      </c>
      <c r="J648" s="20"/>
      <c r="K648" s="89" t="s">
        <v>587</v>
      </c>
      <c r="L648" s="3"/>
      <c r="M648" s="8"/>
      <c r="N648" s="47"/>
      <c r="O648" s="134" t="s">
        <v>586</v>
      </c>
      <c r="P648" s="20"/>
      <c r="Q648" s="89" t="s">
        <v>587</v>
      </c>
      <c r="R648" s="3"/>
    </row>
    <row r="649" spans="1:18">
      <c r="A649" s="14"/>
      <c r="B649" s="9"/>
      <c r="C649" s="10" t="str">
        <f t="shared" si="106"/>
        <v/>
      </c>
      <c r="D649" s="9"/>
      <c r="E649" s="9" t="str">
        <f t="shared" si="107"/>
        <v>WIMONWAN LERTTHONGKAM</v>
      </c>
      <c r="F649" s="9"/>
      <c r="G649" s="3"/>
      <c r="H649" s="47"/>
      <c r="I649" s="134"/>
      <c r="J649" s="20"/>
      <c r="K649" s="89" t="s">
        <v>588</v>
      </c>
      <c r="L649" s="3"/>
      <c r="M649" s="8"/>
      <c r="N649" s="47"/>
      <c r="O649" s="134"/>
      <c r="P649" s="20"/>
      <c r="Q649" s="89" t="s">
        <v>588</v>
      </c>
      <c r="R649" s="3"/>
    </row>
    <row r="650" spans="1:18">
      <c r="A650" s="14"/>
      <c r="B650" s="9"/>
      <c r="C650" s="10" t="str">
        <f t="shared" si="106"/>
        <v/>
      </c>
      <c r="D650" s="9"/>
      <c r="E650" s="9" t="str">
        <f t="shared" si="107"/>
        <v/>
      </c>
      <c r="F650" s="9"/>
      <c r="G650" s="3"/>
      <c r="H650" s="47"/>
      <c r="I650" s="21"/>
      <c r="J650" s="20"/>
      <c r="K650" s="76"/>
      <c r="L650" s="3"/>
      <c r="M650" s="8"/>
      <c r="N650" s="47"/>
      <c r="O650" s="21"/>
      <c r="P650" s="20"/>
      <c r="Q650" s="62"/>
      <c r="R650" s="3"/>
    </row>
    <row r="651" spans="1:18">
      <c r="A651" s="14"/>
      <c r="B651" s="11"/>
      <c r="C651" s="12" t="str">
        <f t="shared" si="106"/>
        <v/>
      </c>
      <c r="D651" s="11"/>
      <c r="E651" s="11" t="str">
        <f t="shared" si="107"/>
        <v/>
      </c>
      <c r="F651" s="11"/>
      <c r="G651" s="3"/>
      <c r="H651" s="20"/>
      <c r="I651" s="21"/>
      <c r="J651" s="20"/>
      <c r="K651" s="13"/>
      <c r="L651" s="3"/>
      <c r="M651" s="8"/>
      <c r="N651" s="8"/>
      <c r="O651" s="21"/>
      <c r="P651" s="3"/>
      <c r="Q651" s="3"/>
      <c r="R651" s="3"/>
    </row>
    <row r="652" spans="1:18">
      <c r="A652" s="14"/>
      <c r="B652" s="61"/>
      <c r="C652" s="61"/>
      <c r="D652" s="61"/>
      <c r="E652" s="61"/>
      <c r="F652" s="61"/>
      <c r="G652" s="3"/>
      <c r="H652" s="27"/>
      <c r="I652" s="27"/>
      <c r="J652" s="27"/>
      <c r="K652" s="7"/>
      <c r="L652" s="27"/>
      <c r="M652" s="8"/>
      <c r="N652" s="8"/>
      <c r="O652" s="21"/>
      <c r="P652" s="3"/>
      <c r="Q652" s="3"/>
      <c r="R652" s="3"/>
    </row>
    <row r="653" spans="1:18">
      <c r="A653" s="14"/>
      <c r="B653" s="143" t="str">
        <f t="shared" ref="B653:B654" si="108">UPPER(H653)</f>
        <v>PRODUCTION SERVICES PROVIDED BY</v>
      </c>
      <c r="C653" s="141"/>
      <c r="D653" s="141"/>
      <c r="E653" s="141"/>
      <c r="F653" s="141"/>
      <c r="G653" s="3"/>
      <c r="H653" s="144" t="s">
        <v>530</v>
      </c>
      <c r="I653" s="141"/>
      <c r="J653" s="141"/>
      <c r="K653" s="141"/>
      <c r="L653" s="141"/>
      <c r="M653" s="8"/>
      <c r="N653" s="145" t="s">
        <v>940</v>
      </c>
      <c r="O653" s="141"/>
      <c r="P653" s="141"/>
      <c r="Q653" s="141"/>
      <c r="R653" s="141"/>
    </row>
    <row r="654" spans="1:18">
      <c r="A654" s="14"/>
      <c r="B654" s="146" t="str">
        <f t="shared" si="108"/>
        <v>STUDIO GOINDOL INC.</v>
      </c>
      <c r="C654" s="141"/>
      <c r="D654" s="141"/>
      <c r="E654" s="141"/>
      <c r="F654" s="141"/>
      <c r="G654" s="3"/>
      <c r="H654" s="147" t="s">
        <v>176</v>
      </c>
      <c r="I654" s="141"/>
      <c r="J654" s="141"/>
      <c r="K654" s="141"/>
      <c r="L654" s="141"/>
      <c r="M654" s="8"/>
      <c r="N654" s="149" t="s">
        <v>176</v>
      </c>
      <c r="O654" s="141"/>
      <c r="P654" s="141"/>
      <c r="Q654" s="141"/>
      <c r="R654" s="141"/>
    </row>
    <row r="655" spans="1:18">
      <c r="A655" s="14"/>
      <c r="B655" s="6"/>
      <c r="C655" s="6"/>
      <c r="D655" s="6"/>
      <c r="E655" s="6"/>
      <c r="F655" s="6"/>
      <c r="G655" s="3"/>
      <c r="H655" s="15"/>
      <c r="I655" s="15"/>
      <c r="J655" s="15"/>
      <c r="K655" s="5"/>
      <c r="L655" s="15"/>
      <c r="M655" s="8"/>
      <c r="N655" s="15"/>
      <c r="O655" s="15"/>
      <c r="P655" s="15"/>
      <c r="Q655" s="15"/>
      <c r="R655" s="15"/>
    </row>
    <row r="656" spans="1:18">
      <c r="A656" s="14"/>
      <c r="B656" s="146" t="str">
        <f>UPPER(H656)</f>
        <v>STORYBOARD &amp; DESIGN</v>
      </c>
      <c r="C656" s="141"/>
      <c r="D656" s="141"/>
      <c r="E656" s="141"/>
      <c r="F656" s="141"/>
      <c r="G656" s="3"/>
      <c r="H656" s="147" t="s">
        <v>589</v>
      </c>
      <c r="I656" s="141"/>
      <c r="J656" s="141"/>
      <c r="K656" s="141"/>
      <c r="L656" s="141"/>
      <c r="M656" s="8"/>
      <c r="N656" s="149" t="s">
        <v>941</v>
      </c>
      <c r="O656" s="141"/>
      <c r="P656" s="141"/>
      <c r="Q656" s="141"/>
      <c r="R656" s="141"/>
    </row>
    <row r="657" spans="1:18">
      <c r="A657" s="14"/>
      <c r="B657" s="9"/>
      <c r="C657" s="10" t="str">
        <f>UPPER(I657)</f>
        <v>CHIEF PRODUCER</v>
      </c>
      <c r="D657" s="9"/>
      <c r="E657" s="9" t="str">
        <f>UPPER(K657)</f>
        <v>JUNGSOO HUR</v>
      </c>
      <c r="F657" s="9"/>
      <c r="G657" s="3"/>
      <c r="H657" s="20"/>
      <c r="I657" s="64" t="s">
        <v>590</v>
      </c>
      <c r="J657" s="20"/>
      <c r="K657" s="3" t="s">
        <v>591</v>
      </c>
      <c r="L657" s="3"/>
      <c r="M657" s="8"/>
      <c r="N657" s="3"/>
      <c r="O657" s="63" t="s">
        <v>772</v>
      </c>
      <c r="P657" s="3"/>
      <c r="Q657" s="3" t="s">
        <v>942</v>
      </c>
      <c r="R657" s="3"/>
    </row>
    <row r="658" spans="1:18">
      <c r="A658" s="14"/>
      <c r="B658" s="9"/>
      <c r="C658" s="10"/>
      <c r="D658" s="9"/>
      <c r="E658" s="9"/>
      <c r="F658" s="9"/>
      <c r="G658" s="3"/>
      <c r="H658" s="20"/>
      <c r="I658" s="21"/>
      <c r="J658" s="20"/>
      <c r="K658" s="3"/>
      <c r="L658" s="3"/>
      <c r="M658" s="8"/>
      <c r="N658" s="3"/>
      <c r="O658" s="8"/>
      <c r="P658" s="3"/>
      <c r="Q658" s="3"/>
      <c r="R658" s="3"/>
    </row>
    <row r="659" spans="1:18">
      <c r="A659" s="14"/>
      <c r="B659" s="9"/>
      <c r="C659" s="10" t="str">
        <f>UPPER(I659)</f>
        <v>PRODUCER</v>
      </c>
      <c r="D659" s="9"/>
      <c r="E659" s="9" t="str">
        <f>UPPER(K659)</f>
        <v>GEUNJEONG KIM</v>
      </c>
      <c r="F659" s="9"/>
      <c r="G659" s="3"/>
      <c r="H659" s="20"/>
      <c r="I659" s="21" t="s">
        <v>504</v>
      </c>
      <c r="J659" s="20"/>
      <c r="K659" s="3" t="s">
        <v>592</v>
      </c>
      <c r="L659" s="3"/>
      <c r="M659" s="8"/>
      <c r="N659" s="3"/>
      <c r="O659" s="8" t="s">
        <v>773</v>
      </c>
      <c r="P659" s="3"/>
      <c r="Q659" s="3" t="s">
        <v>943</v>
      </c>
      <c r="R659" s="3"/>
    </row>
    <row r="660" spans="1:18">
      <c r="A660" s="14"/>
      <c r="B660" s="9"/>
      <c r="C660" s="10"/>
      <c r="D660" s="9"/>
      <c r="E660" s="9"/>
      <c r="F660" s="9"/>
      <c r="G660" s="3"/>
      <c r="H660" s="20"/>
      <c r="I660" s="21"/>
      <c r="J660" s="20"/>
      <c r="K660" s="3"/>
      <c r="L660" s="3"/>
      <c r="M660" s="8"/>
      <c r="N660" s="3"/>
      <c r="O660" s="8"/>
      <c r="P660" s="3"/>
      <c r="Q660" s="3"/>
      <c r="R660" s="3"/>
    </row>
    <row r="661" spans="1:18">
      <c r="A661" s="14"/>
      <c r="B661" s="9"/>
      <c r="C661" s="10" t="str">
        <f>UPPER(I661)</f>
        <v>COORDINATOR</v>
      </c>
      <c r="D661" s="9"/>
      <c r="E661" s="9" t="str">
        <f>UPPER(K661)</f>
        <v>JOWON JUNG</v>
      </c>
      <c r="F661" s="9"/>
      <c r="G661" s="3"/>
      <c r="H661" s="20"/>
      <c r="I661" s="21" t="s">
        <v>593</v>
      </c>
      <c r="J661" s="20"/>
      <c r="K661" s="3" t="s">
        <v>594</v>
      </c>
      <c r="L661" s="3"/>
      <c r="M661" s="8"/>
      <c r="N661" s="3"/>
      <c r="O661" s="8" t="s">
        <v>944</v>
      </c>
      <c r="P661" s="3"/>
      <c r="Q661" s="3" t="s">
        <v>945</v>
      </c>
      <c r="R661" s="3"/>
    </row>
    <row r="662" spans="1:18">
      <c r="A662" s="14"/>
      <c r="B662" s="9"/>
      <c r="C662" s="10"/>
      <c r="D662" s="9"/>
      <c r="E662" s="9"/>
      <c r="F662" s="9"/>
      <c r="G662" s="3"/>
      <c r="H662" s="20"/>
      <c r="I662" s="21"/>
      <c r="J662" s="20"/>
      <c r="K662" s="3"/>
      <c r="L662" s="3"/>
      <c r="M662" s="8"/>
      <c r="N662" s="3"/>
      <c r="O662" s="8"/>
      <c r="P662" s="3"/>
      <c r="Q662" s="3"/>
      <c r="R662" s="3"/>
    </row>
    <row r="663" spans="1:18">
      <c r="A663" s="14"/>
      <c r="B663" s="9"/>
      <c r="C663" s="10" t="str">
        <f t="shared" ref="C663:C670" si="109">UPPER(I663)</f>
        <v>LEAD DESIGNER</v>
      </c>
      <c r="D663" s="9"/>
      <c r="E663" s="9" t="str">
        <f t="shared" ref="E663:E670" si="110">UPPER(K663)</f>
        <v>WOOJIN SEOK</v>
      </c>
      <c r="F663" s="9"/>
      <c r="G663" s="3"/>
      <c r="H663" s="20"/>
      <c r="I663" s="21" t="s">
        <v>595</v>
      </c>
      <c r="J663" s="20"/>
      <c r="K663" s="3" t="s">
        <v>596</v>
      </c>
      <c r="L663" s="3"/>
      <c r="M663" s="8"/>
      <c r="N663" s="3"/>
      <c r="O663" s="8" t="s">
        <v>946</v>
      </c>
      <c r="P663" s="3"/>
      <c r="Q663" s="3" t="s">
        <v>947</v>
      </c>
      <c r="R663" s="3"/>
    </row>
    <row r="664" spans="1:18">
      <c r="A664" s="14"/>
      <c r="B664" s="9"/>
      <c r="C664" s="10" t="str">
        <f t="shared" si="109"/>
        <v/>
      </c>
      <c r="D664" s="9"/>
      <c r="E664" s="9" t="str">
        <f t="shared" si="110"/>
        <v/>
      </c>
      <c r="F664" s="9"/>
      <c r="G664" s="3"/>
      <c r="H664" s="20"/>
      <c r="I664" s="21"/>
      <c r="J664" s="20"/>
      <c r="K664" s="3"/>
      <c r="L664" s="3"/>
      <c r="M664" s="8"/>
      <c r="N664" s="3"/>
      <c r="O664" s="8"/>
      <c r="P664" s="3"/>
      <c r="Q664" s="3"/>
      <c r="R664" s="3"/>
    </row>
    <row r="665" spans="1:18">
      <c r="A665" s="14"/>
      <c r="B665" s="9"/>
      <c r="C665" s="10" t="str">
        <f t="shared" si="109"/>
        <v>DESIGNER</v>
      </c>
      <c r="D665" s="9"/>
      <c r="E665" s="9" t="str">
        <f t="shared" si="110"/>
        <v>JIHYUN KIM</v>
      </c>
      <c r="F665" s="9"/>
      <c r="G665" s="3"/>
      <c r="H665" s="20"/>
      <c r="I665" s="21" t="s">
        <v>597</v>
      </c>
      <c r="J665" s="20"/>
      <c r="K665" s="3" t="s">
        <v>598</v>
      </c>
      <c r="L665" s="3"/>
      <c r="M665" s="8"/>
      <c r="N665" s="3"/>
      <c r="O665" s="8" t="s">
        <v>948</v>
      </c>
      <c r="P665" s="3"/>
      <c r="Q665" s="3" t="s">
        <v>771</v>
      </c>
      <c r="R665" s="3"/>
    </row>
    <row r="666" spans="1:18">
      <c r="A666" s="14"/>
      <c r="B666" s="9"/>
      <c r="C666" s="10" t="str">
        <f t="shared" si="109"/>
        <v/>
      </c>
      <c r="D666" s="9"/>
      <c r="E666" s="9" t="str">
        <f t="shared" si="110"/>
        <v>MINCHANG KIM</v>
      </c>
      <c r="F666" s="9"/>
      <c r="G666" s="3"/>
      <c r="H666" s="20"/>
      <c r="I666" s="21"/>
      <c r="J666" s="20"/>
      <c r="K666" s="3" t="s">
        <v>599</v>
      </c>
      <c r="L666" s="3"/>
      <c r="M666" s="8"/>
      <c r="N666" s="3"/>
      <c r="O666" s="3"/>
      <c r="P666" s="3"/>
      <c r="Q666" s="3" t="s">
        <v>949</v>
      </c>
      <c r="R666" s="3"/>
    </row>
    <row r="667" spans="1:18">
      <c r="A667" s="14"/>
      <c r="B667" s="9"/>
      <c r="C667" s="10" t="str">
        <f t="shared" si="109"/>
        <v/>
      </c>
      <c r="D667" s="9"/>
      <c r="E667" s="9" t="str">
        <f t="shared" si="110"/>
        <v>JAEWOOK JOO</v>
      </c>
      <c r="F667" s="9"/>
      <c r="G667" s="3"/>
      <c r="H667" s="20"/>
      <c r="I667" s="21"/>
      <c r="J667" s="20"/>
      <c r="K667" s="3" t="s">
        <v>600</v>
      </c>
      <c r="L667" s="3"/>
      <c r="M667" s="8"/>
      <c r="N667" s="3"/>
      <c r="O667" s="3"/>
      <c r="P667" s="3"/>
      <c r="Q667" s="3" t="s">
        <v>950</v>
      </c>
      <c r="R667" s="3"/>
    </row>
    <row r="668" spans="1:18">
      <c r="A668" s="14"/>
      <c r="B668" s="9"/>
      <c r="C668" s="10" t="str">
        <f t="shared" si="109"/>
        <v/>
      </c>
      <c r="D668" s="9"/>
      <c r="E668" s="9" t="str">
        <f t="shared" si="110"/>
        <v>NAMOK EU</v>
      </c>
      <c r="F668" s="9"/>
      <c r="G668" s="3"/>
      <c r="H668" s="20"/>
      <c r="I668" s="21"/>
      <c r="J668" s="20"/>
      <c r="K668" s="3" t="s">
        <v>601</v>
      </c>
      <c r="L668" s="3"/>
      <c r="M668" s="8"/>
      <c r="N668" s="3"/>
      <c r="O668" s="3"/>
      <c r="P668" s="3"/>
      <c r="Q668" s="3" t="s">
        <v>951</v>
      </c>
      <c r="R668" s="3"/>
    </row>
    <row r="669" spans="1:18">
      <c r="A669" s="14"/>
      <c r="B669" s="9"/>
      <c r="C669" s="10" t="str">
        <f t="shared" si="109"/>
        <v/>
      </c>
      <c r="D669" s="9"/>
      <c r="E669" s="9" t="str">
        <f t="shared" si="110"/>
        <v>DAI JEONG</v>
      </c>
      <c r="F669" s="9"/>
      <c r="G669" s="3"/>
      <c r="H669" s="20"/>
      <c r="I669" s="21"/>
      <c r="J669" s="20"/>
      <c r="K669" s="3" t="s">
        <v>602</v>
      </c>
      <c r="L669" s="3"/>
      <c r="M669" s="8"/>
      <c r="N669" s="3"/>
      <c r="O669" s="3"/>
      <c r="P669" s="3"/>
      <c r="Q669" s="3" t="s">
        <v>952</v>
      </c>
      <c r="R669" s="3"/>
    </row>
    <row r="670" spans="1:18">
      <c r="A670" s="14"/>
      <c r="B670" s="9"/>
      <c r="C670" s="10" t="str">
        <f t="shared" si="109"/>
        <v/>
      </c>
      <c r="D670" s="9"/>
      <c r="E670" s="9" t="str">
        <f t="shared" si="110"/>
        <v/>
      </c>
      <c r="F670" s="9"/>
      <c r="G670" s="3"/>
      <c r="H670" s="20"/>
      <c r="I670" s="21"/>
      <c r="J670" s="20"/>
      <c r="K670" s="3"/>
      <c r="L670" s="3"/>
      <c r="M670" s="8"/>
      <c r="N670" s="8"/>
      <c r="O670" s="21"/>
      <c r="P670" s="3"/>
      <c r="Q670" s="3"/>
      <c r="R670" s="3"/>
    </row>
    <row r="671" spans="1:18">
      <c r="A671" s="14"/>
      <c r="B671" s="3"/>
      <c r="C671" s="12"/>
      <c r="D671" s="3"/>
      <c r="E671" s="11"/>
      <c r="F671" s="3"/>
      <c r="G671" s="3"/>
      <c r="H671" s="21"/>
      <c r="I671" s="21"/>
      <c r="J671" s="21"/>
      <c r="K671" s="13"/>
      <c r="L671" s="12"/>
      <c r="M671" s="12"/>
      <c r="N671" s="12"/>
      <c r="O671" s="21"/>
      <c r="P671" s="3"/>
      <c r="Q671" s="3"/>
      <c r="R671" s="3"/>
    </row>
    <row r="672" spans="1:18">
      <c r="A672" s="14"/>
      <c r="B672" s="3"/>
      <c r="C672" s="12" t="str">
        <f>UPPER(I672)</f>
        <v/>
      </c>
      <c r="D672" s="11"/>
      <c r="E672" s="11" t="str">
        <f>UPPER(K672)</f>
        <v/>
      </c>
      <c r="F672" s="3"/>
      <c r="G672" s="3"/>
      <c r="H672" s="21"/>
      <c r="I672" s="21"/>
      <c r="J672" s="21"/>
      <c r="K672" s="13"/>
      <c r="L672" s="12"/>
      <c r="M672" s="12"/>
      <c r="N672" s="12"/>
      <c r="O672" s="21"/>
      <c r="P672" s="3"/>
      <c r="Q672" s="3"/>
      <c r="R672" s="3"/>
    </row>
    <row r="673" spans="1:18">
      <c r="A673" s="14"/>
      <c r="B673" s="3"/>
      <c r="C673" s="3"/>
      <c r="D673" s="3"/>
      <c r="E673" s="3"/>
      <c r="F673" s="3"/>
      <c r="G673" s="3"/>
      <c r="H673" s="20"/>
      <c r="I673" s="21"/>
      <c r="J673" s="20"/>
      <c r="K673" s="3"/>
      <c r="L673" s="3"/>
      <c r="M673" s="3"/>
      <c r="N673" s="3"/>
      <c r="O673" s="21"/>
      <c r="P673" s="3"/>
      <c r="Q673" s="3"/>
      <c r="R673" s="3"/>
    </row>
    <row r="674" spans="1:18"/>
    <row r="675" spans="1:18"/>
    <row r="676" spans="1:18"/>
    <row r="677" spans="1:18"/>
    <row r="678" spans="1:18"/>
    <row r="679" spans="1:18"/>
    <row r="680" spans="1:18"/>
    <row r="681" spans="1:18"/>
    <row r="682" spans="1:18"/>
    <row r="683" spans="1:18"/>
    <row r="684" spans="1:18"/>
    <row r="685" spans="1:18"/>
    <row r="686" spans="1:18"/>
    <row r="687" spans="1:18"/>
    <row r="688" spans="1:1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</sheetData>
  <mergeCells count="203">
    <mergeCell ref="N171:R171"/>
    <mergeCell ref="N172:R172"/>
    <mergeCell ref="B150:F150"/>
    <mergeCell ref="H150:L150"/>
    <mergeCell ref="N150:R150"/>
    <mergeCell ref="B171:F171"/>
    <mergeCell ref="H171:L171"/>
    <mergeCell ref="B172:F172"/>
    <mergeCell ref="H172:L172"/>
    <mergeCell ref="H204:L204"/>
    <mergeCell ref="N204:R204"/>
    <mergeCell ref="B191:F191"/>
    <mergeCell ref="H191:L191"/>
    <mergeCell ref="N191:R191"/>
    <mergeCell ref="B192:F192"/>
    <mergeCell ref="H192:L192"/>
    <mergeCell ref="N192:R192"/>
    <mergeCell ref="B204:F204"/>
    <mergeCell ref="H226:L226"/>
    <mergeCell ref="N226:R226"/>
    <mergeCell ref="B208:F208"/>
    <mergeCell ref="H208:L208"/>
    <mergeCell ref="N208:R208"/>
    <mergeCell ref="B221:F221"/>
    <mergeCell ref="H221:L221"/>
    <mergeCell ref="N221:R221"/>
    <mergeCell ref="B226:F226"/>
    <mergeCell ref="H274:L274"/>
    <mergeCell ref="N274:R274"/>
    <mergeCell ref="B248:F248"/>
    <mergeCell ref="H248:L248"/>
    <mergeCell ref="N248:R248"/>
    <mergeCell ref="B249:F249"/>
    <mergeCell ref="H249:L249"/>
    <mergeCell ref="N249:R249"/>
    <mergeCell ref="B274:F274"/>
    <mergeCell ref="H303:L303"/>
    <mergeCell ref="N303:R303"/>
    <mergeCell ref="B288:F288"/>
    <mergeCell ref="H288:L288"/>
    <mergeCell ref="N288:R288"/>
    <mergeCell ref="B289:F289"/>
    <mergeCell ref="H289:L289"/>
    <mergeCell ref="N289:R289"/>
    <mergeCell ref="B303:F303"/>
    <mergeCell ref="N321:R321"/>
    <mergeCell ref="N322:R322"/>
    <mergeCell ref="B304:F304"/>
    <mergeCell ref="H304:L304"/>
    <mergeCell ref="N304:R304"/>
    <mergeCell ref="B321:F321"/>
    <mergeCell ref="H321:L321"/>
    <mergeCell ref="B322:F322"/>
    <mergeCell ref="H322:L322"/>
    <mergeCell ref="H364:L364"/>
    <mergeCell ref="N364:R364"/>
    <mergeCell ref="B345:F345"/>
    <mergeCell ref="H345:L345"/>
    <mergeCell ref="N345:R345"/>
    <mergeCell ref="B346:F346"/>
    <mergeCell ref="H346:L346"/>
    <mergeCell ref="N346:R346"/>
    <mergeCell ref="B364:F364"/>
    <mergeCell ref="N613:R613"/>
    <mergeCell ref="N614:R614"/>
    <mergeCell ref="B587:F587"/>
    <mergeCell ref="H587:L587"/>
    <mergeCell ref="N587:R587"/>
    <mergeCell ref="B613:F613"/>
    <mergeCell ref="H613:L613"/>
    <mergeCell ref="B614:F614"/>
    <mergeCell ref="H614:L614"/>
    <mergeCell ref="H472:L472"/>
    <mergeCell ref="N472:R472"/>
    <mergeCell ref="B452:F452"/>
    <mergeCell ref="H452:L452"/>
    <mergeCell ref="N452:R452"/>
    <mergeCell ref="B453:F453"/>
    <mergeCell ref="H453:L453"/>
    <mergeCell ref="N453:R453"/>
    <mergeCell ref="B472:F472"/>
    <mergeCell ref="H516:L516"/>
    <mergeCell ref="B517:F517"/>
    <mergeCell ref="H517:L517"/>
    <mergeCell ref="B491:F491"/>
    <mergeCell ref="H491:L491"/>
    <mergeCell ref="N491:R491"/>
    <mergeCell ref="B492:F492"/>
    <mergeCell ref="H492:L492"/>
    <mergeCell ref="B493:F493"/>
    <mergeCell ref="H493:L493"/>
    <mergeCell ref="N492:R492"/>
    <mergeCell ref="N493:R493"/>
    <mergeCell ref="B656:F656"/>
    <mergeCell ref="H656:L656"/>
    <mergeCell ref="N656:R656"/>
    <mergeCell ref="B370:F370"/>
    <mergeCell ref="H370:L370"/>
    <mergeCell ref="N370:R370"/>
    <mergeCell ref="B373:F373"/>
    <mergeCell ref="B387:F387"/>
    <mergeCell ref="N387:R387"/>
    <mergeCell ref="B388:F388"/>
    <mergeCell ref="N388:R388"/>
    <mergeCell ref="H387:L387"/>
    <mergeCell ref="H388:L388"/>
    <mergeCell ref="B410:F410"/>
    <mergeCell ref="H410:L410"/>
    <mergeCell ref="N410:R410"/>
    <mergeCell ref="B426:F426"/>
    <mergeCell ref="H426:L426"/>
    <mergeCell ref="H439:L439"/>
    <mergeCell ref="N439:R439"/>
    <mergeCell ref="N426:R426"/>
    <mergeCell ref="N431:R431"/>
    <mergeCell ref="B432:F432"/>
    <mergeCell ref="H432:L432"/>
    <mergeCell ref="N432:R432"/>
    <mergeCell ref="N437:R437"/>
    <mergeCell ref="B439:F439"/>
    <mergeCell ref="A1:R2"/>
    <mergeCell ref="B4:F4"/>
    <mergeCell ref="H4:L4"/>
    <mergeCell ref="N4:R4"/>
    <mergeCell ref="B27:F27"/>
    <mergeCell ref="H27:L27"/>
    <mergeCell ref="N27:R27"/>
    <mergeCell ref="B67:F67"/>
    <mergeCell ref="H67:L67"/>
    <mergeCell ref="N67:R67"/>
    <mergeCell ref="B68:F68"/>
    <mergeCell ref="H68:L68"/>
    <mergeCell ref="N68:R68"/>
    <mergeCell ref="B87:F87"/>
    <mergeCell ref="H109:L109"/>
    <mergeCell ref="N109:R109"/>
    <mergeCell ref="B88:F88"/>
    <mergeCell ref="H88:L88"/>
    <mergeCell ref="N88:R88"/>
    <mergeCell ref="B100:F100"/>
    <mergeCell ref="H100:L100"/>
    <mergeCell ref="N100:R100"/>
    <mergeCell ref="B109:F109"/>
    <mergeCell ref="H149:L149"/>
    <mergeCell ref="N149:R149"/>
    <mergeCell ref="B122:F122"/>
    <mergeCell ref="H122:L122"/>
    <mergeCell ref="N122:R122"/>
    <mergeCell ref="B123:F123"/>
    <mergeCell ref="H123:L123"/>
    <mergeCell ref="N123:R123"/>
    <mergeCell ref="B149:F149"/>
    <mergeCell ref="B473:F473"/>
    <mergeCell ref="H473:L473"/>
    <mergeCell ref="N473:R473"/>
    <mergeCell ref="N543:R543"/>
    <mergeCell ref="N544:R544"/>
    <mergeCell ref="B532:F532"/>
    <mergeCell ref="H532:L532"/>
    <mergeCell ref="N532:R532"/>
    <mergeCell ref="B543:F543"/>
    <mergeCell ref="H543:L543"/>
    <mergeCell ref="B544:F544"/>
    <mergeCell ref="H544:L544"/>
    <mergeCell ref="H496:L496"/>
    <mergeCell ref="B503:F503"/>
    <mergeCell ref="H503:L503"/>
    <mergeCell ref="B504:F504"/>
    <mergeCell ref="H504:L504"/>
    <mergeCell ref="N516:R516"/>
    <mergeCell ref="N517:R517"/>
    <mergeCell ref="N518:R518"/>
    <mergeCell ref="N503:R503"/>
    <mergeCell ref="N504:R504"/>
    <mergeCell ref="H507:L507"/>
    <mergeCell ref="B516:F516"/>
    <mergeCell ref="N584:R584"/>
    <mergeCell ref="N585:R585"/>
    <mergeCell ref="B558:F558"/>
    <mergeCell ref="H558:L558"/>
    <mergeCell ref="N558:R558"/>
    <mergeCell ref="B584:F584"/>
    <mergeCell ref="H584:L584"/>
    <mergeCell ref="B585:F585"/>
    <mergeCell ref="H585:L585"/>
    <mergeCell ref="N640:R640"/>
    <mergeCell ref="N641:R641"/>
    <mergeCell ref="B616:F616"/>
    <mergeCell ref="H616:L616"/>
    <mergeCell ref="N616:R616"/>
    <mergeCell ref="B640:F640"/>
    <mergeCell ref="H640:L640"/>
    <mergeCell ref="B641:F641"/>
    <mergeCell ref="H641:L641"/>
    <mergeCell ref="N653:R653"/>
    <mergeCell ref="N654:R654"/>
    <mergeCell ref="B643:F643"/>
    <mergeCell ref="H643:L643"/>
    <mergeCell ref="N643:R643"/>
    <mergeCell ref="B653:F653"/>
    <mergeCell ref="H653:L653"/>
    <mergeCell ref="B654:F654"/>
    <mergeCell ref="H654:L654"/>
  </mergeCells>
  <phoneticPr fontId="5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HI EP201 (Kor)</vt:lpstr>
      <vt:lpstr>HI EP202 (Kor)</vt:lpstr>
      <vt:lpstr>HI EP203 (Kor)</vt:lpstr>
      <vt:lpstr>HI EP204 (Kor)</vt:lpstr>
      <vt:lpstr>HI EP205 (Kor)</vt:lpstr>
      <vt:lpstr>HI EP206 (Kor)</vt:lpstr>
      <vt:lpstr>HI EP207 (Kor)</vt:lpstr>
      <vt:lpstr>HI EP208 (Kor)</vt:lpstr>
      <vt:lpstr>HI EP209 (Kor)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IP-PC02</dc:creator>
  <cp:lastModifiedBy>백 가현</cp:lastModifiedBy>
  <dcterms:created xsi:type="dcterms:W3CDTF">2024-07-31T06:37:39Z</dcterms:created>
  <dcterms:modified xsi:type="dcterms:W3CDTF">2024-07-31T06:39:13Z</dcterms:modified>
</cp:coreProperties>
</file>