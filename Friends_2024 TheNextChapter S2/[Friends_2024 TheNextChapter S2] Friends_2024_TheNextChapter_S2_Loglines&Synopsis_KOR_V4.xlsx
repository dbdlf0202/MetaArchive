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sooyeong.kim/Downloads/LEGO/Friends S2/Friends S2 5th batch docs/"/>
    </mc:Choice>
  </mc:AlternateContent>
  <xr:revisionPtr revIDLastSave="0" documentId="13_ncr:1_{FECB9F66-E416-DD4B-8BB8-102BAF24B7DA}" xr6:coauthVersionLast="47" xr6:coauthVersionMax="47" xr10:uidLastSave="{00000000-0000-0000-0000-000000000000}"/>
  <bookViews>
    <workbookView xWindow="0" yWindow="740" windowWidth="20920" windowHeight="18380" xr2:uid="{00000000-000D-0000-FFFF-FFFF00000000}"/>
  </bookViews>
  <sheets>
    <sheet name="TITLES, LOGLINES &amp; SYNOPSES" sheetId="2"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 i="2" l="1"/>
  <c r="G16" i="2"/>
  <c r="K15" i="2"/>
  <c r="G15" i="2"/>
  <c r="K14" i="2"/>
  <c r="G14" i="2"/>
  <c r="K13" i="2"/>
  <c r="G13" i="2"/>
  <c r="K12" i="2"/>
  <c r="G12" i="2"/>
  <c r="K11" i="2"/>
  <c r="G11" i="2"/>
  <c r="K10" i="2"/>
  <c r="G10" i="2"/>
  <c r="K9" i="2"/>
  <c r="G9" i="2"/>
  <c r="K8" i="2"/>
  <c r="G8" i="2"/>
  <c r="K7" i="2"/>
  <c r="G7" i="2"/>
  <c r="K6" i="2"/>
  <c r="G6" i="2"/>
  <c r="K5" i="2"/>
  <c r="G5" i="2"/>
  <c r="K4" i="2"/>
  <c r="G4" i="2"/>
  <c r="K3" i="2"/>
  <c r="I3" i="2"/>
  <c r="G3" i="2"/>
  <c r="E3" i="2"/>
</calcChain>
</file>

<file path=xl/sharedStrings.xml><?xml version="1.0" encoding="utf-8"?>
<sst xmlns="http://schemas.openxmlformats.org/spreadsheetml/2006/main" count="102" uniqueCount="102">
  <si>
    <t>#</t>
  </si>
  <si>
    <t>ORG TITLES</t>
  </si>
  <si>
    <r>
      <rPr>
        <b/>
        <sz val="12"/>
        <rFont val="Calibri (Body)_x0000_"/>
      </rPr>
      <t>FLV</t>
    </r>
    <r>
      <rPr>
        <b/>
        <sz val="12"/>
        <rFont val="맑은 고딕"/>
        <family val="2"/>
        <scheme val="minor"/>
      </rPr>
      <t xml:space="preserve"> TITLES</t>
    </r>
  </si>
  <si>
    <t>ORG LOGLINES</t>
  </si>
  <si>
    <r>
      <rPr>
        <b/>
        <sz val="12"/>
        <rFont val="Calibri (Body)_x0000_"/>
      </rPr>
      <t>FLV</t>
    </r>
    <r>
      <rPr>
        <b/>
        <sz val="12"/>
        <rFont val="맑은 고딕"/>
        <family val="2"/>
        <scheme val="minor"/>
      </rPr>
      <t xml:space="preserve"> LOGLINES</t>
    </r>
  </si>
  <si>
    <t>Max.
150</t>
  </si>
  <si>
    <t>ORG SYNOPSES</t>
  </si>
  <si>
    <r>
      <rPr>
        <b/>
        <sz val="12"/>
        <rFont val="Calibri (Body)_x0000_"/>
      </rPr>
      <t>FLV</t>
    </r>
    <r>
      <rPr>
        <b/>
        <sz val="12"/>
        <rFont val="맑은 고딕"/>
        <family val="2"/>
        <scheme val="minor"/>
      </rPr>
      <t xml:space="preserve"> SYNOPSES</t>
    </r>
  </si>
  <si>
    <t>Max. 400</t>
  </si>
  <si>
    <t>SERIES</t>
  </si>
  <si>
    <t>n/a</t>
  </si>
  <si>
    <t>Season 2 (2024)</t>
  </si>
  <si>
    <t>LEGO® Friends The Next Chapter</t>
  </si>
  <si>
    <t>LOGLINES &amp; SYNOPSES -  LEGO® Friends The Next Chapter, Season 2 (2024)</t>
  </si>
  <si>
    <t>Ep. 201</t>
  </si>
  <si>
    <t>Farm Fest</t>
  </si>
  <si>
    <t>Ep. 202</t>
  </si>
  <si>
    <t>Space Race Competitioin</t>
  </si>
  <si>
    <t>Ep. 203</t>
  </si>
  <si>
    <t>Liann's Magic Lucky Charms</t>
  </si>
  <si>
    <t>Ep. 204</t>
  </si>
  <si>
    <t>Autumn’s Stunts Trouble</t>
  </si>
  <si>
    <t>Ep. 205</t>
  </si>
  <si>
    <t>Zac’s Job Hunt</t>
  </si>
  <si>
    <t>Ep. 206</t>
  </si>
  <si>
    <t>Ley-La, Rise of a Music Star</t>
  </si>
  <si>
    <t>Ep. 207</t>
  </si>
  <si>
    <t> Friends Fright Challenge</t>
  </si>
  <si>
    <t>Ep. 208</t>
  </si>
  <si>
    <t>Olly’s Quest For Fame</t>
  </si>
  <si>
    <t>Ep. 209</t>
  </si>
  <si>
    <t>Secret Crush</t>
  </si>
  <si>
    <t>Ep. 210</t>
  </si>
  <si>
    <t> Music “Battle of the Stars”</t>
  </si>
  <si>
    <t>Ep. 211</t>
  </si>
  <si>
    <t>Friends Reunite</t>
  </si>
  <si>
    <t>Ep. 212</t>
  </si>
  <si>
    <t>Holiday Gift Swap Disaster</t>
  </si>
  <si>
    <t>Olly signs Ley-La up for larger, more demanding venues, forcing Paisley to adopt a style and identity that isn't representative of who she really is.</t>
  </si>
  <si>
    <t xml:space="preserve">Autumn runs a Festival. Ben is unhappy to be there, but Autumn wins him over. Paisley performs as Ley-La, as her relationship with Olly suffers. </t>
  </si>
  <si>
    <t>Aliyah, Nova, Autumn and Leo team-up in a science fair. The winning team’s idea will go to space! Aliya and Nova inadvertently tank their own project.</t>
  </si>
  <si>
    <t>Liann explores her mystical self by selling good luck charms. Meanwhile, Leo struggles with a new bully and leans on his friends for support.</t>
  </si>
  <si>
    <t xml:space="preserve">Aliya inadvertently excludes Autumn because of physical differences. With Nova’s help, Autumn decides to try a prosthetic. </t>
  </si>
  <si>
    <t xml:space="preserve">Zac looks for a job. Autumn uses her prosthetic. Liann tries to figure out who Ley-La is. Olly pushes Paisley, and Zac encourages her to speak up. </t>
  </si>
  <si>
    <t>Olly feels pressure. Paisley asks Zac for dance help. Aliya and Liann pose as reporters and find a key clue about Ley-La’s identity: her guitar pick.</t>
  </si>
  <si>
    <t>Nova pranks her friends, but when things get really scary, it’s Autumn who reveals that she was the ultimate fright master!</t>
  </si>
  <si>
    <t xml:space="preserve">Paisley is fatigued by Olly’s obsession with their fame. Zac confronts Olly, It’s clear that he’s wrapped up in fame and can’t see what he’s doing. </t>
  </si>
  <si>
    <t>Zac seeks advice on how to court Sky. Paisley &amp; Zac make a plan: Paisley will confront Olly, Zac will tell Sky his feelings. Olly disappoints Paisley.</t>
  </si>
  <si>
    <t xml:space="preserve">Andrea's "Battle of the Stars" begins. Paisley tells Ollie to stop forcing her to be someone she isn’t. Ollie apologizes. Paisley is true to herself. </t>
  </si>
  <si>
    <t>Mia, Stephanie, Emma, Oliva, and Andrea are trapped in an old tunnel hidden under Andrea’s mansion while Autumn, Nova, Leo, Liann get to know Imani.</t>
  </si>
  <si>
    <t>Olly signs Ley-La up for larger, more demanding, more intimidating venues, forcing Paisley to adopt a style and identity that isn't representative of who she really is while the rest of the friend group begin to discover her secret. Meanwhile, Zac explores his first real crush, Nova learns to be a more integrated friend in the group, and Leo learns to stand up to a bully.</t>
  </si>
  <si>
    <t>Autumn sets up a Farm Festival, a fun-filled day that offers inner-city kids an opportunity to get to know her farm and animals. One child, Ben, is unhappy to be there, but ultimately Autumn wins him over when he helps deliver her horse’s baby foal. Meanwhile, Paisley performs for a second time as the mysterious Ley-La, and small cracks begin to form in Paisley and Ollie’s relationship.</t>
  </si>
  <si>
    <t xml:space="preserve">Aliya, Nova, Autumn, and Leo team-up to compete in a science fair. The winning team’s idea will actually be incorporated into Olivia’s next mission to space. While Candi runs the opposing team, the real competition is between Aliya and Nova, who inadvertently tank their own project. In an unexpected twist, their competition leads them to a new invention that ultimately wins the science fair. </t>
  </si>
  <si>
    <t>After Liann gives lucky charms to Zac and Aliya, stressed-out Leo becomes desperate for one to help prevent Candi from bullying him during soccer. Ultimately, it’s Autumn’s advice that gives Leo the courage to confront Candi, but with the addition of Liann’s charm, the confrontation goes too well: Candi now wants Leo as a best friend with hints of a budding romance!</t>
  </si>
  <si>
    <t xml:space="preserve">After Aliya offends Autumn’s abilities, she overreacts and ends up hurting herself and landing in the hospital. Meanwhile a boy that Liann babysits also ends up in the hospital. There, major chaos caused by Nurse Fifi, Churro, and Pickle. In the end, the doctor, with Nova’s help, convinces Autumn to get a prosthetic arm. </t>
  </si>
  <si>
    <t>After Zac lies to his dad, he is forced to find a job. Autumn uses her new prosthetic. Liann tries to figure out who Ley-La is. Olly pushes Paisley out of her performance comfort zone, but she doesn’t say anything and ends up deeply sad. Zac discovers she’s Ley-La, and he encourages her to speak up. She tells him she can’t -  she doesn’t want to ruin his dream of being a famous costume designer.</t>
  </si>
  <si>
    <t>Olly recognizes that being Ley-La’s costume designer is his big chance. Paisley asks Zac to help her dance. Obsessed, Aliya and Liann decide to become undercover detectives posing as reporters. Zac discovers their clue board and, wanting to protect Paisley’s secret identity, he destroys it. At the end of the concert, Aliya and Liann find one key clue: Ley-La’s guitar pick.</t>
  </si>
  <si>
    <t>Trying to win an online challenge, Nova pranks her friends. Upset by her pranks, Autumn convinces them they need to teach Nova a lesson. Later, when things begin to get really scary, Nova confesses to deliberately scaring them - but there’s a catch. She was scaring them before, but not anymore! Autumn reveals that she was the secret scarer - they agree that Autumn was the ultimate fright master!</t>
  </si>
  <si>
    <t xml:space="preserve">Olly’s obsession with fame is too much for Paisley. Zac is loyal to Paisley: he thwarts Aliya and Liann’s efforts to figure out who Ley-La is; he helps Paisley avoid Olly; and he confronts Olly, telling him he’s not listening to Paisley. Olly explodes, irritated that he doesn’t see the pressure Olly is under. It’s clear that he’s wrapped up in fame and doesn’t see what he’s doing to Paisley. </t>
  </si>
  <si>
    <t>Everyone gives Zac advice on getting Sky to like him; and he can’t act normally around her! Ley-La is invited to an upcoming competition, Battle of the Stars. Olly tries to tell Paisley, but she avoids him. Paisley and Zac make a pact to tackle their problems head on: Paisley will confront Olly, and Zac will confess his feelings to Sky. In the end, Olly stands Paisley up at their old treehouse.</t>
  </si>
  <si>
    <t>Andrea's "Battle of the Stars" competition begins. The whole town is excited except Paisley, who finally tells Ollie to stop forcing her to be someone she isn’t. Ollie gets it and apologizes. Paisley surprises him by performing. She lets him know that it’s because she isn’t being forced to be someone she isn’t - she’s being her true self. She removes her wig and sings her heart out. She wins!</t>
  </si>
  <si>
    <t>Mia, Stephanie, Emma, Oliva, Autumn, Nova, Leo, and Liann are invited to Andrea’s house. While the younger girls get to know Imani, Andrea’s daughter, Andrea gives a tour to her friends, who have an old time capsule to open! Things quickly go sideways when Autumn susses out that Imani is lying. The adults find themselves trapped in an old tunnel hidden under the mansion. It’s a crazy adventure.</t>
  </si>
  <si>
    <t xml:space="preserve">During the "Jolly Jingle Gift Swap", the friends realize the gifts have been stolen! While Nova and Liann go on a hunt to find the thief, Zac, Paisley, and Olly make new gifts. By the time Nova and Liann “catch” the thief, it’s too late - all of the gifts she stashed in the dumpster have been stolen by raccoons! Zac, Paisley, and Olly’s new gifts save the day!  </t>
  </si>
  <si>
    <t>The gifts have been stolen at the Jolly Jingle Gift Swap. Nova and Liann hunt to find the thief, and the others make new gifts that save the day.</t>
  </si>
  <si>
    <t>올리는 레일라를 더 크고, 더 까다롭고, 더 아슬아슬한 무대로 안내하면서 자신이 원하는 스타일의 의상과 노래에 맞추라고 강요한다. 페이즐리는 레일라의 정체가 영원히 밝혀지지 않길 바라지만, 팬들과 친구들에게 조금씩 꼬리가 밟힌다. 한편, 자크는 짝사랑 상대를 발견하고, 노바는 더 좋은 친구가 되는 법을 깨닫고, 레오는 자기를 괴롭히는 아이와 맞서는 법을 배운다.</t>
  </si>
  <si>
    <t>오텀은 도시 아이들에게 자연과 동물에 대해 체험할수 있는 기회를 주고자, 농장 축제를 연다. 벤은 농장이 전혀 재미없었지만, 망아지가 태어날때 큰 도움을 준다. 페이즐리는 베일에 싸인 레일라로 두 번째 공연을 성공적으로 마치지만, 올리와의 관계에 작은 균열이 생기기 시작한다.</t>
  </si>
  <si>
    <t>우주 발명품 대회에 한 팀이 된 알리야, 노바, 오텀, 레오! 우승팀의 아이디어는 실제로 올리비아의 다음 우주 미션에 포함될 예정이다. 캔디가 리더로 있는 상대팀과 경쟁해야 하지만, 알리야와 노바는 서로 자기 프로젝트가 좋다며 물러서지 않는다. 예상치 못한 반전으로, 둘의 신경전은 새로운 발명품으로 이끌고,  결국 우승을 차지한다</t>
  </si>
  <si>
    <t>리안이 준 행운의 돌로 자크와 알리야의 고민거리가 가볍게 해결된다. 레오는 신입생 캔디가 축구팀에서 자신을 괴롭히자 학교생활에 어려움을 느끼고 우울해지기까지 해, 도움이 절실한 상황! 오텀의 조언으로 캔디에게 맞서 싸울 용기얻고, 리안의 부적까지 더해지면서 자신감을 얻은 레오는 캔디에게 강하게 반응한다. 캔디는 돌변해 둘도없는 단짝친구가 되기로 약속한다.</t>
  </si>
  <si>
    <t>알리야가 장애가 있는 오텀의 능력을 의심하자 화가 난 오텀은 더욱 위험한 활동에 도전하다가 결국 부상을 입고 병원으로 간다. 한편 리안이 돌보던 아이도 보드 타다가 다쳐서 치료를 받게 된다. 피피 간호선생님은 병원을 돌아다니는 고양이와 강아지를 쫓아 다니고, 오텀은 노바의 조언으로 의수를 받아들이기로 한다.</t>
  </si>
  <si>
    <t>아빠에게 알바한다고 거짓말한 자크는 어쩔 수 없이 알바자리를 찾는다. 오텀은 의수를 쓰고, 리안은 레일라의 정체를 캐내려고 노력한다. 올리는 페이즐리의 등을 밀어 무대에 세우지만, 정작 페이즐리는 아무 말도 못 하고 답답해하기만 한다. 자크는 페이즐리가 레일라라는 것을 알고, 솔직히 자기 의견을 말하라고 응원하지만, 페이즐리는 유명한 의상 디자이너가 되려는 올리의 꿈을 망치고 싶지 않다</t>
  </si>
  <si>
    <t>올리는 레일라의 의상 디자이너가 되는 게 꿈을 이루는 기회라고 생각한다. 페이즐리는 자크한테 댄스를 배운다. 레일라의 열성팬이 된 알리야와 리안은 기자로 변신해 뒷조사를 하기 시작하고, 자크는 페이즐리의 비밀을 지켜주려고 방해한다. 콘서트가 끝날 때쯤, 알리야와 리안은 한 가지 중요한 단서인 레일라의 기타피크를 발견한다.</t>
  </si>
  <si>
    <t>깜짝 공포 챌린지 1등을 노리고 친구들을 깜짝 놀라게 하는 노바! 노바의 장난에 화가 난 오텀은 본때를 보여줘야 한다고 주장한다. 점점 분위기가 고조되고, 노바는 자기 짓이었다고 자수한다. 그런데 자수한 후에도 무서운 일들이 계속되는 게 아닌가? 그때 모습을 드러내는 오텀! 모든 것은 오텀이 꾸민 것이었다. 친구들은 오텀이 최고임을 인정한다</t>
  </si>
  <si>
    <t xml:space="preserve">유명해지고 싶은 올리의 집착때문에 힘들어하는 페이즐리! 자크는 페이즐리를 돕기로 한다. 알리야와 리안이 레일라 정체를 밝히는 것을 방해하고, 페이즐리가 올리를 피할 수 있도록 도와주고, 페이즐리가 자기 말을 듣지 않는다는 올리와 맞선다. 올리는 왜 자기가 받는 스트레스는 알아주지 않냐며 화를 낸다. 유명세에 눈이 멀어 페이즐리에게 무슨 짓을 하고 있는지 모르는 게 분명하다. </t>
  </si>
  <si>
    <t>스카이가 자길 좋아하게 만드는 방법을 친구들에게 묻는 자크. 스카이 앞에서는 좌충우돌 실수만 저지른다. 뮤직스타 배틀에 초대받았다는 사실을 알려주고 싶은 올리와 올리는 피하는 페이즐리! 페이즐리와 자크는 정면 돌파를 약속하며, 페이즐리는 올리에게, 자크는 스카이에게 자기 생각을 솔직히 말하기로 한다. 하지만 올리는 페이즐리와 만나기로 한 나무집 앞에서 발길을 돌린다.</t>
  </si>
  <si>
    <t>안드레아의 뮤직스타 배틀이 시작된다. 하트레이크 전체가 기대로 가득 찬 가운데, 페이즐리는 마침내 올리에게 나 아닌 사람이 되라고 강요하지 말라고 하고, 올리도 사과한다. 페이즐리는 배틀에 참가하고, 가발을 벗어던지고 레일라의 정체를 공개한다. 결국 뮤직스타 배틀에게 페이즐리가 우승자로 뽑힌다</t>
  </si>
  <si>
    <t>미아, 스테파니, 엠마, 올리바, 오텀, 노바, 레오, 그리고 리안은 안드레아의 집에 초대받는다. 오텀,노바,레오,리안이 안드레아의 딸인 이마니와 친해지는 동안, 안드레아는 오랜 친구들에게 저택을 구경시켜 주면서 타임캡슐을 공개하려 한다. 오텀이 이마니의 부풀린 거짓말을 눈치채기 시작하면서, 상황은 빠르게 악화되고, 어른들은 저택 아래에 숨겨진 오래된 터널에 갇히고 만다. 갇힌 자신들을 발견하고 오랜만에 흥미진진한 모험을 한다.</t>
  </si>
  <si>
    <t>크리스마스 선물교환식을 앞두고, 친구들은 그 많던 선물들이 사라졌다는 걸 알게 된다. 노바와 리안이 범인을 물색하는 동안, 잭, 페이즐리, 올리는 선물을 새로 만든다. 추격끝에 노바와 리안이 도둑을 잡았지만… 이미 너무 늦은 후였다. 쓰레기통에 둔 선물들이 너구리들에 의해 망가진 것… 그래도 잭, 페이즐리, 올리가 급조한 선물덕분에, 즐거운 하루가 된다.</t>
  </si>
  <si>
    <t>농장 축제</t>
  </si>
  <si>
    <t>우주 발명품 대회</t>
  </si>
  <si>
    <t>리안이 주는 행운의 부적</t>
  </si>
  <si>
    <t>오텀은 뭐든지 할수 있다</t>
  </si>
  <si>
    <t>자크의 알바 찾기</t>
  </si>
  <si>
    <t>미스터리 스타, 레일라</t>
  </si>
  <si>
    <t>깜짝 공포 챌린지</t>
  </si>
  <si>
    <t>올리의 위험한 야망</t>
  </si>
  <si>
    <t>자크의 짝사랑</t>
  </si>
  <si>
    <t>뮤직스타 배틀</t>
  </si>
  <si>
    <t>친구는 영원히 함께 하는 것</t>
  </si>
  <si>
    <t xml:space="preserve">크리스마스 선물 교환 파티 </t>
  </si>
  <si>
    <t xml:space="preserve">올리는 페이즐리를 전혀 스타일로 변신시켜, 새로운 캐릭터인 레일라를 만들어낸다. 처음 계획보다 더 크고 더 까다로운 무대에 서게 되면서, 페이즐리와 올리와의 갈등이 시작된다. </t>
  </si>
  <si>
    <t>오텀이 벌이는 농장축제! 친구들과 체험하러 온 벤은 지루하고 따분하지만, 오텀의 등쌀에 마지못해 억지로 농장을 둘러본다. 페이즐리는 레일라로 변신해 노래를 계속하면서, 올리와의 관계가 복잡해진다.</t>
  </si>
  <si>
    <t>알리야, 노바, 오텀, 레오는 팀을 이루어 과학 박람회에 출전한다. 우승팀의 아이디어는 실제 우주여행에 적용될 예정!. 알리야와 노바는 서로 자기 프로젝트가 좋다고 충돌한다</t>
  </si>
  <si>
    <t>리안은 행운의 돌을 팔면서 자신에게 마법의 파워가 있다는 걸 알아낸다. 한편, 레오는 캔디에게 괴롭힘을 당하자, 친구들에게 도움을 청한다.</t>
  </si>
  <si>
    <t>알리야는 신체적 장애 때문에 본의 아니게 오텀을 무시한다. 오텀은 노바의 조언을 받아들여 의수의 도움을 받기로 결정한다</t>
  </si>
  <si>
    <t>자크는 알바자리를 찾고, 오텀은 의수를 쓴다. 리안은 레일라의 정체를 밝히려고 애쓴다. 올리가 페이즐리를 밀어붙이는 가운데, 자크는 페이즐리에게 자기 의견을 솔직히 말하라고 응원한다.</t>
  </si>
  <si>
    <t>올리는 꿈을 이룰 생각에 들떠있고, 페이즐리는 자크에게 춤을 배운다. 알리야와 리안은 기자로 변신하며 뒷조사를 하다가  레이라의 정체를 밝혀줄 결정적인 단서, 기타피크를 발견한다.</t>
  </si>
  <si>
    <t xml:space="preserve">친구들을 무섭게 하는 노바! 공포분위기가 끝을 향해 가면서, 최고의 공포 메이커는 오텀이란 사실이 밝혀진다. </t>
  </si>
  <si>
    <t>페이즐리는 유명해지려는 올리의 집착에 지쳐간다. 올리와 만난 자크는, 올리가 유명세에 눈이 멀어 자기가 뭘 하는지 모른다고 생각한다</t>
  </si>
  <si>
    <t>스카이에게 잘 보이고 싶은 자크는 친구들에게 방법을 묻는다. 페이즐리는 올리에게, 자크는 스카이에게 솔직하게 말하자고 약속하지만, 올리는 페이즐리를 실망시킨다.</t>
  </si>
  <si>
    <t>안드레아가 주최하는 뮤직스타 배틀이 시작된다. 페이즐리는 올리에게 자기 아닌 다른 사람이 되도록 강요하지 말것을 요구하고, 올리는 사과한다. 페이즐리는 자기 정체를 공개한다.</t>
  </si>
  <si>
    <t>미아, 스테파니, 엠마, 올리바, 안드레아는 안드레아의 저택 아래 숨겨진 오래된 터널에 갇히게 되고, 오텀, 노바, 레오, 리안은 안드레아의 딸, 이마니와 친해진다.</t>
  </si>
  <si>
    <t>크리스마스 선물 교환식을 앞두고 모든 선물들이 사라진다. 노바와 리안은 범인을 찾는 한고, 친구들은 크리스마스를 위한 새로운 선물을 마련하기로 한다.</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</si>
</sst>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맑은 고딕"/>
      <family val="2"/>
      <scheme val="minor"/>
    </font>
    <font>
      <sz val="11"/>
      <color theme="1"/>
      <name val="맑은 고딕"/>
      <family val="2"/>
      <scheme val="minor"/>
    </font>
    <font>
      <b/>
      <sz val="11"/>
      <color theme="1"/>
      <name val="맑은 고딕"/>
      <family val="2"/>
      <scheme val="minor"/>
    </font>
    <font>
      <b/>
      <u/>
      <sz val="24"/>
      <color theme="1"/>
      <name val="맑은 고딕"/>
      <family val="2"/>
      <scheme val="minor"/>
    </font>
    <font>
      <b/>
      <sz val="12"/>
      <color theme="1"/>
      <name val="맑은 고딕"/>
      <family val="2"/>
      <scheme val="minor"/>
    </font>
    <font>
      <b/>
      <sz val="12"/>
      <name val="맑은 고딕"/>
      <family val="2"/>
      <scheme val="minor"/>
    </font>
    <font>
      <b/>
      <sz val="12"/>
      <name val="Calibri (Body)_x0000_"/>
    </font>
    <font>
      <b/>
      <sz val="9"/>
      <color theme="1"/>
      <name val="맑은 고딕"/>
      <family val="2"/>
      <scheme val="minor"/>
    </font>
    <font>
      <sz val="12"/>
      <color theme="1"/>
      <name val="맑은 고딕"/>
      <family val="2"/>
      <scheme val="minor"/>
    </font>
    <font>
      <sz val="8"/>
      <name val="맑은 고딕"/>
      <family val="3"/>
      <charset val="129"/>
      <scheme val="minor"/>
    </font>
  </fonts>
  <fills count="7">
    <fill>
      <patternFill patternType="none"/>
    </fill>
    <fill>
      <patternFill patternType="gray125"/>
    </fill>
    <fill>
      <patternFill patternType="solid">
        <fgColor theme="7" tint="0.79998168889431442"/>
        <bgColor indexed="65"/>
      </patternFill>
    </fill>
    <fill>
      <patternFill patternType="solid">
        <fgColor theme="8" tint="0.399975585192419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bgColor indexed="64"/>
      </patternFill>
    </fill>
  </fills>
  <borders count="2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0" fontId="1" fillId="0" borderId="0"/>
    <xf numFmtId="0" fontId="8" fillId="2" borderId="7">
      <alignment vertical="center"/>
      <protection locked="0"/>
    </xf>
  </cellStyleXfs>
  <cellXfs count="56">
    <xf numFmtId="0" fontId="0" fillId="0" borderId="0" xfId="0"/>
    <xf numFmtId="0" fontId="0" fillId="3" borderId="0" xfId="0" applyFill="1"/>
    <xf numFmtId="0" fontId="2" fillId="4" borderId="4" xfId="0" applyFont="1" applyFill="1" applyBorder="1" applyAlignment="1">
      <alignment vertical="center" wrapText="1"/>
    </xf>
    <xf numFmtId="0" fontId="0" fillId="4" borderId="6" xfId="0" applyFill="1" applyBorder="1" applyAlignment="1">
      <alignment vertical="center" wrapText="1"/>
    </xf>
    <xf numFmtId="0" fontId="0" fillId="4" borderId="7" xfId="0" applyFill="1" applyBorder="1" applyAlignment="1">
      <alignment vertical="center" wrapText="1"/>
    </xf>
    <xf numFmtId="0" fontId="2" fillId="3" borderId="3" xfId="0" applyFont="1" applyFill="1" applyBorder="1" applyAlignment="1">
      <alignment horizontal="center" vertical="center"/>
    </xf>
    <xf numFmtId="0" fontId="2" fillId="4" borderId="2" xfId="0" applyFont="1" applyFill="1" applyBorder="1" applyAlignment="1">
      <alignment vertical="center"/>
    </xf>
    <xf numFmtId="0" fontId="2" fillId="4" borderId="2" xfId="0" applyFont="1" applyFill="1" applyBorder="1" applyAlignment="1">
      <alignment horizontal="center" vertical="center"/>
    </xf>
    <xf numFmtId="0" fontId="1" fillId="0" borderId="0" xfId="0" applyFont="1"/>
    <xf numFmtId="0" fontId="1" fillId="0" borderId="7" xfId="1" applyBorder="1" applyAlignment="1">
      <alignment vertical="center"/>
    </xf>
    <xf numFmtId="0" fontId="1" fillId="4" borderId="7" xfId="0" applyFont="1" applyFill="1" applyBorder="1" applyAlignment="1">
      <alignment vertical="center"/>
    </xf>
    <xf numFmtId="0" fontId="1" fillId="5" borderId="7" xfId="0" applyFont="1" applyFill="1" applyBorder="1" applyAlignment="1">
      <alignment horizontal="center" vertical="center"/>
    </xf>
    <xf numFmtId="0" fontId="1" fillId="2" borderId="7" xfId="2" applyFont="1">
      <alignment vertical="center"/>
      <protection locked="0"/>
    </xf>
    <xf numFmtId="0" fontId="1" fillId="0" borderId="7" xfId="1" applyBorder="1" applyAlignment="1">
      <alignment vertical="top" wrapText="1"/>
    </xf>
    <xf numFmtId="0" fontId="1" fillId="4" borderId="7" xfId="0" applyFont="1" applyFill="1" applyBorder="1" applyAlignment="1">
      <alignment horizontal="center" vertical="top" wrapText="1"/>
    </xf>
    <xf numFmtId="0" fontId="1" fillId="0" borderId="7" xfId="0" applyFont="1" applyBorder="1" applyAlignment="1">
      <alignment horizontal="center" vertical="top" wrapText="1"/>
    </xf>
    <xf numFmtId="0" fontId="1" fillId="5" borderId="7" xfId="0" applyFont="1" applyFill="1" applyBorder="1" applyAlignment="1">
      <alignment horizontal="center" vertical="top" wrapText="1"/>
    </xf>
    <xf numFmtId="0" fontId="7" fillId="3" borderId="8"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4" borderId="12" xfId="0" applyFill="1" applyBorder="1" applyAlignment="1">
      <alignment vertical="center" wrapText="1"/>
    </xf>
    <xf numFmtId="0" fontId="0" fillId="0" borderId="13" xfId="0" applyBorder="1" applyAlignment="1">
      <alignment horizontal="center" vertical="center" wrapText="1"/>
    </xf>
    <xf numFmtId="0" fontId="5" fillId="3" borderId="15" xfId="0" applyFont="1" applyFill="1" applyBorder="1" applyAlignment="1">
      <alignment horizontal="center" vertical="center" wrapText="1"/>
    </xf>
    <xf numFmtId="0" fontId="3" fillId="3" borderId="14" xfId="0" applyFont="1" applyFill="1" applyBorder="1" applyAlignment="1">
      <alignment horizontal="left" vertical="center"/>
    </xf>
    <xf numFmtId="0" fontId="0" fillId="3" borderId="14" xfId="0" applyFill="1" applyBorder="1"/>
    <xf numFmtId="0" fontId="1" fillId="0" borderId="16" xfId="1" applyBorder="1" applyAlignment="1">
      <alignment horizontal="center" vertical="center"/>
    </xf>
    <xf numFmtId="0" fontId="1" fillId="0" borderId="17" xfId="1" applyBorder="1" applyAlignment="1">
      <alignment horizontal="center" vertical="center"/>
    </xf>
    <xf numFmtId="0" fontId="1" fillId="0" borderId="12" xfId="1" applyBorder="1" applyAlignment="1">
      <alignment vertical="center"/>
    </xf>
    <xf numFmtId="0" fontId="1" fillId="4" borderId="12" xfId="0" applyFont="1" applyFill="1" applyBorder="1" applyAlignment="1">
      <alignment vertical="center"/>
    </xf>
    <xf numFmtId="0" fontId="1" fillId="5" borderId="12" xfId="0" applyFont="1" applyFill="1" applyBorder="1" applyAlignment="1">
      <alignment horizontal="center" vertical="center"/>
    </xf>
    <xf numFmtId="0" fontId="1" fillId="0" borderId="12" xfId="1" applyBorder="1" applyAlignment="1">
      <alignment vertical="top" wrapText="1"/>
    </xf>
    <xf numFmtId="0" fontId="1" fillId="4" borderId="12" xfId="0" applyFont="1" applyFill="1" applyBorder="1" applyAlignment="1">
      <alignment horizontal="center" vertical="top" wrapText="1"/>
    </xf>
    <xf numFmtId="0" fontId="1" fillId="0" borderId="12" xfId="0" applyFont="1" applyBorder="1" applyAlignment="1">
      <alignment horizontal="center" vertical="top" wrapText="1"/>
    </xf>
    <xf numFmtId="0" fontId="1" fillId="5" borderId="12" xfId="0" applyFont="1" applyFill="1" applyBorder="1" applyAlignment="1">
      <alignment horizontal="center" vertical="top" wrapText="1"/>
    </xf>
    <xf numFmtId="0" fontId="4" fillId="3" borderId="5" xfId="1" applyFont="1" applyFill="1" applyBorder="1" applyAlignment="1">
      <alignment horizontal="center" vertical="center"/>
    </xf>
    <xf numFmtId="0" fontId="4" fillId="3" borderId="3" xfId="1" applyFont="1" applyFill="1" applyBorder="1" applyAlignment="1">
      <alignment horizontal="center" vertical="center"/>
    </xf>
    <xf numFmtId="0" fontId="5" fillId="3" borderId="3" xfId="0" applyFont="1" applyFill="1" applyBorder="1" applyAlignment="1">
      <alignment horizontal="center" vertical="center"/>
    </xf>
    <xf numFmtId="0" fontId="4" fillId="3" borderId="3" xfId="0" applyFont="1" applyFill="1" applyBorder="1" applyAlignment="1">
      <alignment horizontal="center" vertical="center"/>
    </xf>
    <xf numFmtId="0" fontId="7" fillId="3" borderId="3" xfId="0" applyFont="1" applyFill="1" applyBorder="1" applyAlignment="1">
      <alignment horizontal="center" vertical="center"/>
    </xf>
    <xf numFmtId="0" fontId="2" fillId="0" borderId="18" xfId="1" applyFont="1" applyBorder="1" applyAlignment="1">
      <alignment horizontal="center" vertical="center"/>
    </xf>
    <xf numFmtId="0" fontId="2" fillId="0" borderId="6" xfId="1" applyFont="1" applyBorder="1" applyAlignment="1">
      <alignment vertical="center"/>
    </xf>
    <xf numFmtId="0" fontId="2" fillId="4" borderId="6" xfId="0" applyFont="1" applyFill="1" applyBorder="1" applyAlignment="1">
      <alignment vertical="center"/>
    </xf>
    <xf numFmtId="0" fontId="2" fillId="5" borderId="6" xfId="0" applyFont="1" applyFill="1" applyBorder="1" applyAlignment="1">
      <alignment horizontal="center" vertical="center"/>
    </xf>
    <xf numFmtId="0" fontId="2" fillId="6" borderId="6" xfId="1" applyFont="1" applyFill="1" applyBorder="1" applyAlignment="1">
      <alignment horizontal="left" vertical="top" wrapText="1"/>
    </xf>
    <xf numFmtId="0" fontId="2" fillId="4" borderId="6" xfId="0" applyFont="1" applyFill="1" applyBorder="1" applyAlignment="1">
      <alignment horizontal="center" vertical="top" wrapText="1"/>
    </xf>
    <xf numFmtId="0" fontId="2" fillId="0" borderId="6" xfId="0" applyFont="1" applyBorder="1" applyAlignment="1">
      <alignment horizontal="center" vertical="top" wrapText="1"/>
    </xf>
    <xf numFmtId="0" fontId="2" fillId="5" borderId="6" xfId="0" applyFont="1" applyFill="1" applyBorder="1" applyAlignment="1">
      <alignment horizontal="center" vertical="top" wrapText="1"/>
    </xf>
    <xf numFmtId="0" fontId="2" fillId="0" borderId="1" xfId="1" applyFont="1" applyBorder="1" applyAlignment="1">
      <alignment horizontal="center" vertical="center"/>
    </xf>
    <xf numFmtId="0" fontId="2" fillId="0" borderId="2" xfId="1" applyFont="1" applyBorder="1" applyAlignment="1">
      <alignment vertical="center"/>
    </xf>
    <xf numFmtId="0" fontId="2" fillId="5" borderId="2" xfId="0" applyFont="1" applyFill="1" applyBorder="1" applyAlignment="1">
      <alignment horizontal="center" vertical="center"/>
    </xf>
    <xf numFmtId="0" fontId="2" fillId="6" borderId="2" xfId="1" applyFont="1" applyFill="1" applyBorder="1" applyAlignment="1">
      <alignment horizontal="left" vertical="center"/>
    </xf>
    <xf numFmtId="0" fontId="2" fillId="0" borderId="2" xfId="0" applyFont="1" applyBorder="1" applyAlignment="1">
      <alignment horizontal="center" vertical="center"/>
    </xf>
    <xf numFmtId="0" fontId="2" fillId="4" borderId="19" xfId="0" applyFont="1" applyFill="1" applyBorder="1" applyAlignment="1">
      <alignment vertical="center" wrapText="1"/>
    </xf>
    <xf numFmtId="0" fontId="0" fillId="0" borderId="12" xfId="1" applyFont="1" applyBorder="1" applyAlignment="1">
      <alignment vertical="top" wrapText="1"/>
    </xf>
  </cellXfs>
  <cellStyles count="3">
    <cellStyle name="표준" xfId="0" builtinId="0"/>
    <cellStyle name="Fill in" xfId="2" xr:uid="{00000000-0005-0000-0000-00000000000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ionMetadata_LF2_2024_v01_songs%20still%20missing_11DE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INFO - PLEASE READ"/>
      <sheetName val="GENERAL INFO"/>
      <sheetName val="SONG LIST"/>
      <sheetName val="CHARACTER LIST"/>
      <sheetName val="KEY PHRASES, LOCATIONS, PROPS.."/>
      <sheetName val="LOGLINES &amp; SYNOPSES"/>
      <sheetName val="DUBBING BIBLE"/>
      <sheetName val="TITLES, LOGLINES &amp; SYNOPSES"/>
      <sheetName val="TERMS LIST"/>
      <sheetName val="CREDITS"/>
    </sheetNames>
    <sheetDataSet>
      <sheetData sheetId="0"/>
      <sheetData sheetId="1">
        <row r="6">
          <cell r="C6" t="str">
            <v>LEGO®</v>
          </cell>
        </row>
      </sheetData>
      <sheetData sheetId="2"/>
      <sheetData sheetId="3"/>
      <sheetData sheetId="4"/>
      <sheetData sheetId="5">
        <row r="6">
          <cell r="D6" t="str">
            <v>Olly signs Ley-La up for larger, more demanding venues, forcing Paisley to adopt a style and identity that isn't representative of who she really is.</v>
          </cell>
        </row>
      </sheetData>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tabSelected="1" workbookViewId="0">
      <selection activeCell="F17" sqref="F17"/>
    </sheetView>
  </sheetViews>
  <sheetFormatPr baseColWidth="10" defaultColWidth="8.83203125" defaultRowHeight="17"/>
  <cols>
    <col min="1" max="1" width="16.5" customWidth="1"/>
    <col min="2" max="3" width="32.5" customWidth="1"/>
    <col min="4" max="4" width="1.5" customWidth="1"/>
    <col min="5" max="5" width="69.6640625" customWidth="1"/>
    <col min="6" max="6" width="71" customWidth="1"/>
    <col min="8" max="8" width="1.5" customWidth="1"/>
    <col min="9" max="9" width="70.5" customWidth="1"/>
    <col min="10" max="10" width="71" customWidth="1"/>
  </cols>
  <sheetData>
    <row r="1" spans="1:11" ht="36" thickBot="1">
      <c r="A1" s="25" t="s">
        <v>13</v>
      </c>
      <c r="B1" s="26"/>
      <c r="C1" s="26"/>
      <c r="D1" s="26"/>
      <c r="E1" s="26"/>
      <c r="F1" s="26"/>
      <c r="G1" s="26"/>
      <c r="H1" s="26"/>
      <c r="I1" s="26"/>
      <c r="J1" s="1"/>
      <c r="K1" s="1"/>
    </row>
    <row r="2" spans="1:11" ht="20" thickBot="1">
      <c r="A2" s="36" t="s">
        <v>0</v>
      </c>
      <c r="B2" s="37" t="s">
        <v>1</v>
      </c>
      <c r="C2" s="38" t="s">
        <v>2</v>
      </c>
      <c r="D2" s="5"/>
      <c r="E2" s="39" t="s">
        <v>3</v>
      </c>
      <c r="F2" s="38" t="s">
        <v>4</v>
      </c>
      <c r="G2" s="40" t="s">
        <v>5</v>
      </c>
      <c r="H2" s="5"/>
      <c r="I2" s="39" t="s">
        <v>6</v>
      </c>
      <c r="J2" s="24" t="s">
        <v>7</v>
      </c>
      <c r="K2" s="17" t="s">
        <v>8</v>
      </c>
    </row>
    <row r="3" spans="1:11" s="8" customFormat="1" ht="18" thickBot="1">
      <c r="A3" s="49" t="s">
        <v>9</v>
      </c>
      <c r="B3" s="50" t="s">
        <v>12</v>
      </c>
      <c r="C3" s="6"/>
      <c r="D3" s="51"/>
      <c r="E3" s="52" t="str">
        <f>IF('[1]LOGLINES &amp; SYNOPSES'!D5&lt;&gt;"",'[1]LOGLINES &amp; SYNOPSES'!D5,"")</f>
        <v/>
      </c>
      <c r="F3" s="7"/>
      <c r="G3" s="53">
        <f>LEN(F3)</f>
        <v>0</v>
      </c>
      <c r="H3" s="51"/>
      <c r="I3" s="52" t="str">
        <f>IF('[1]LOGLINES &amp; SYNOPSES'!F5&lt;&gt;"",'[1]LOGLINES &amp; SYNOPSES'!F5,"")</f>
        <v/>
      </c>
      <c r="J3" s="54"/>
      <c r="K3" s="18">
        <f>LEN(J3)</f>
        <v>0</v>
      </c>
    </row>
    <row r="4" spans="1:11" s="8" customFormat="1" ht="91" thickBot="1">
      <c r="A4" s="41" t="s">
        <v>11</v>
      </c>
      <c r="B4" s="42" t="s">
        <v>10</v>
      </c>
      <c r="C4" s="43"/>
      <c r="D4" s="44"/>
      <c r="E4" s="45" t="s">
        <v>38</v>
      </c>
      <c r="F4" s="46" t="s">
        <v>89</v>
      </c>
      <c r="G4" s="47">
        <f>LEN(F4)</f>
        <v>98</v>
      </c>
      <c r="H4" s="48"/>
      <c r="I4" s="45" t="s">
        <v>50</v>
      </c>
      <c r="J4" s="2" t="s">
        <v>64</v>
      </c>
      <c r="K4" s="19">
        <f>LEN(J4)</f>
        <v>203</v>
      </c>
    </row>
    <row r="5" spans="1:11" s="8" customFormat="1" ht="90">
      <c r="A5" s="27" t="s">
        <v>14</v>
      </c>
      <c r="B5" s="9" t="s">
        <v>15</v>
      </c>
      <c r="C5" s="10" t="s">
        <v>77</v>
      </c>
      <c r="D5" s="11"/>
      <c r="E5" s="13" t="s">
        <v>39</v>
      </c>
      <c r="F5" s="14" t="s">
        <v>90</v>
      </c>
      <c r="G5" s="15">
        <f>LEN(F5)</f>
        <v>109</v>
      </c>
      <c r="H5" s="16"/>
      <c r="I5" s="13" t="s">
        <v>51</v>
      </c>
      <c r="J5" s="3" t="s">
        <v>65</v>
      </c>
      <c r="K5" s="20">
        <f>LEN(J5)</f>
        <v>154</v>
      </c>
    </row>
    <row r="6" spans="1:11" s="8" customFormat="1" ht="90">
      <c r="A6" s="27" t="s">
        <v>16</v>
      </c>
      <c r="B6" s="9" t="s">
        <v>17</v>
      </c>
      <c r="C6" s="10" t="s">
        <v>78</v>
      </c>
      <c r="D6" s="11"/>
      <c r="E6" s="13" t="s">
        <v>40</v>
      </c>
      <c r="F6" s="14" t="s">
        <v>91</v>
      </c>
      <c r="G6" s="15">
        <f t="shared" ref="G6:G16" si="0">LEN(F6)</f>
        <v>96</v>
      </c>
      <c r="H6" s="16"/>
      <c r="I6" s="13" t="s">
        <v>52</v>
      </c>
      <c r="J6" s="4" t="s">
        <v>66</v>
      </c>
      <c r="K6" s="21">
        <f t="shared" ref="K6:K16" si="1">LEN(J6)</f>
        <v>185</v>
      </c>
    </row>
    <row r="7" spans="1:11" s="8" customFormat="1" ht="90">
      <c r="A7" s="27" t="s">
        <v>18</v>
      </c>
      <c r="B7" s="9" t="s">
        <v>19</v>
      </c>
      <c r="C7" s="10" t="s">
        <v>79</v>
      </c>
      <c r="D7" s="11"/>
      <c r="E7" s="13" t="s">
        <v>41</v>
      </c>
      <c r="F7" s="14" t="s">
        <v>92</v>
      </c>
      <c r="G7" s="15">
        <f t="shared" si="0"/>
        <v>77</v>
      </c>
      <c r="H7" s="16"/>
      <c r="I7" s="13" t="s">
        <v>53</v>
      </c>
      <c r="J7" s="4" t="s">
        <v>67</v>
      </c>
      <c r="K7" s="21">
        <f t="shared" si="1"/>
        <v>199</v>
      </c>
    </row>
    <row r="8" spans="1:11" s="8" customFormat="1" ht="72">
      <c r="A8" s="27" t="s">
        <v>20</v>
      </c>
      <c r="B8" s="9" t="s">
        <v>21</v>
      </c>
      <c r="C8" s="10" t="s">
        <v>80</v>
      </c>
      <c r="D8" s="11"/>
      <c r="E8" s="13" t="s">
        <v>42</v>
      </c>
      <c r="F8" s="14" t="s">
        <v>93</v>
      </c>
      <c r="G8" s="15">
        <f t="shared" si="0"/>
        <v>66</v>
      </c>
      <c r="H8" s="16"/>
      <c r="I8" s="13" t="s">
        <v>54</v>
      </c>
      <c r="J8" s="4" t="s">
        <v>68</v>
      </c>
      <c r="K8" s="21">
        <f t="shared" si="1"/>
        <v>172</v>
      </c>
    </row>
    <row r="9" spans="1:11" s="8" customFormat="1" ht="108">
      <c r="A9" s="27" t="s">
        <v>22</v>
      </c>
      <c r="B9" s="9" t="s">
        <v>23</v>
      </c>
      <c r="C9" s="12" t="s">
        <v>81</v>
      </c>
      <c r="D9" s="11"/>
      <c r="E9" s="13" t="s">
        <v>43</v>
      </c>
      <c r="F9" s="14" t="s">
        <v>94</v>
      </c>
      <c r="G9" s="15">
        <f t="shared" si="0"/>
        <v>102</v>
      </c>
      <c r="H9" s="16"/>
      <c r="I9" s="13" t="s">
        <v>55</v>
      </c>
      <c r="J9" s="4" t="s">
        <v>69</v>
      </c>
      <c r="K9" s="21">
        <f t="shared" si="1"/>
        <v>217</v>
      </c>
    </row>
    <row r="10" spans="1:11" s="8" customFormat="1" ht="90">
      <c r="A10" s="27" t="s">
        <v>24</v>
      </c>
      <c r="B10" s="9" t="s">
        <v>25</v>
      </c>
      <c r="C10" s="10" t="s">
        <v>82</v>
      </c>
      <c r="D10" s="11"/>
      <c r="E10" s="13" t="s">
        <v>44</v>
      </c>
      <c r="F10" s="14" t="s">
        <v>95</v>
      </c>
      <c r="G10" s="15">
        <f t="shared" si="0"/>
        <v>100</v>
      </c>
      <c r="H10" s="16"/>
      <c r="I10" s="13" t="s">
        <v>56</v>
      </c>
      <c r="J10" s="4" t="s">
        <v>70</v>
      </c>
      <c r="K10" s="21">
        <f t="shared" si="1"/>
        <v>180</v>
      </c>
    </row>
    <row r="11" spans="1:11" s="8" customFormat="1" ht="108">
      <c r="A11" s="27" t="s">
        <v>26</v>
      </c>
      <c r="B11" s="9" t="s">
        <v>27</v>
      </c>
      <c r="C11" s="10" t="s">
        <v>83</v>
      </c>
      <c r="D11" s="11"/>
      <c r="E11" s="13" t="s">
        <v>45</v>
      </c>
      <c r="F11" s="14" t="s">
        <v>96</v>
      </c>
      <c r="G11" s="15">
        <f t="shared" si="0"/>
        <v>61</v>
      </c>
      <c r="H11" s="16"/>
      <c r="I11" s="13" t="s">
        <v>57</v>
      </c>
      <c r="J11" s="4" t="s">
        <v>71</v>
      </c>
      <c r="K11" s="21">
        <f t="shared" si="1"/>
        <v>191</v>
      </c>
    </row>
    <row r="12" spans="1:11" s="8" customFormat="1" ht="90">
      <c r="A12" s="27" t="s">
        <v>28</v>
      </c>
      <c r="B12" s="9" t="s">
        <v>29</v>
      </c>
      <c r="C12" s="10" t="s">
        <v>84</v>
      </c>
      <c r="D12" s="11"/>
      <c r="E12" s="13" t="s">
        <v>46</v>
      </c>
      <c r="F12" s="14" t="s">
        <v>97</v>
      </c>
      <c r="G12" s="15">
        <f t="shared" si="0"/>
        <v>73</v>
      </c>
      <c r="H12" s="16"/>
      <c r="I12" s="13" t="s">
        <v>58</v>
      </c>
      <c r="J12" s="4" t="s">
        <v>72</v>
      </c>
      <c r="K12" s="21">
        <f t="shared" si="1"/>
        <v>211</v>
      </c>
    </row>
    <row r="13" spans="1:11" s="8" customFormat="1" ht="90">
      <c r="A13" s="27" t="s">
        <v>30</v>
      </c>
      <c r="B13" s="9" t="s">
        <v>31</v>
      </c>
      <c r="C13" s="10" t="s">
        <v>85</v>
      </c>
      <c r="D13" s="11"/>
      <c r="E13" s="13" t="s">
        <v>47</v>
      </c>
      <c r="F13" s="14" t="s">
        <v>98</v>
      </c>
      <c r="G13" s="15">
        <f t="shared" si="0"/>
        <v>89</v>
      </c>
      <c r="H13" s="16"/>
      <c r="I13" s="13" t="s">
        <v>59</v>
      </c>
      <c r="J13" s="4" t="s">
        <v>73</v>
      </c>
      <c r="K13" s="21">
        <f t="shared" si="1"/>
        <v>206</v>
      </c>
    </row>
    <row r="14" spans="1:11" s="8" customFormat="1" ht="90">
      <c r="A14" s="27" t="s">
        <v>32</v>
      </c>
      <c r="B14" s="9" t="s">
        <v>33</v>
      </c>
      <c r="C14" s="10" t="s">
        <v>86</v>
      </c>
      <c r="D14" s="11"/>
      <c r="E14" s="13" t="s">
        <v>48</v>
      </c>
      <c r="F14" s="14" t="s">
        <v>99</v>
      </c>
      <c r="G14" s="15">
        <f t="shared" si="0"/>
        <v>97</v>
      </c>
      <c r="H14" s="16"/>
      <c r="I14" s="13" t="s">
        <v>60</v>
      </c>
      <c r="J14" s="4" t="s">
        <v>74</v>
      </c>
      <c r="K14" s="21">
        <f t="shared" si="1"/>
        <v>164</v>
      </c>
    </row>
    <row r="15" spans="1:11" s="8" customFormat="1" ht="108">
      <c r="A15" s="27" t="s">
        <v>34</v>
      </c>
      <c r="B15" s="9" t="s">
        <v>35</v>
      </c>
      <c r="C15" s="10" t="s">
        <v>87</v>
      </c>
      <c r="D15" s="11"/>
      <c r="E15" s="13" t="s">
        <v>49</v>
      </c>
      <c r="F15" s="14" t="s">
        <v>100</v>
      </c>
      <c r="G15" s="15">
        <f t="shared" si="0"/>
        <v>92</v>
      </c>
      <c r="H15" s="16"/>
      <c r="I15" s="13" t="s">
        <v>61</v>
      </c>
      <c r="J15" s="4" t="s">
        <v>75</v>
      </c>
      <c r="K15" s="21">
        <f t="shared" si="1"/>
        <v>241</v>
      </c>
    </row>
    <row r="16" spans="1:11" s="8" customFormat="1" ht="91" thickBot="1">
      <c r="A16" s="28" t="s">
        <v>36</v>
      </c>
      <c r="B16" s="29" t="s">
        <v>37</v>
      </c>
      <c r="C16" s="30" t="s">
        <v>88</v>
      </c>
      <c r="D16" s="31"/>
      <c r="E16" s="55" t="s">
        <v>63</v>
      </c>
      <c r="F16" s="33" t="s">
        <v>101</v>
      </c>
      <c r="G16" s="34">
        <f t="shared" si="0"/>
        <v>83</v>
      </c>
      <c r="H16" s="35"/>
      <c r="I16" s="32" t="s">
        <v>62</v>
      </c>
      <c r="J16" s="22" t="s">
        <v>76</v>
      </c>
      <c r="K16" s="23">
        <f t="shared" si="1"/>
        <v>199</v>
      </c>
    </row>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20a28b43-b175-48c9-a9cb-6c1443a420ea">
      <Terms xmlns="http://schemas.microsoft.com/office/infopath/2007/PartnerControls"/>
    </lcf76f155ced4ddcb4097134ff3c332f>
    <TaxCatchAll xmlns="10dc02e7-f128-4651-a5c8-33374ff82d7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99E7E85F80FDED49A36AFA52FE2BC38D" ma:contentTypeVersion="20" ma:contentTypeDescription="새 문서를 만듭니다." ma:contentTypeScope="" ma:versionID="849ea3485c30c80ad4918ad5f8d753b1">
  <xsd:schema xmlns:xsd="http://www.w3.org/2001/XMLSchema" xmlns:xs="http://www.w3.org/2001/XMLSchema" xmlns:p="http://schemas.microsoft.com/office/2006/metadata/properties" xmlns:ns1="http://schemas.microsoft.com/sharepoint/v3" xmlns:ns2="20a28b43-b175-48c9-a9cb-6c1443a420ea" xmlns:ns3="10dc02e7-f128-4651-a5c8-33374ff82d70" targetNamespace="http://schemas.microsoft.com/office/2006/metadata/properties" ma:root="true" ma:fieldsID="22661a04253af29bbbf92b4b003b9228" ns1:_="" ns2:_="" ns3:_="">
    <xsd:import namespace="http://schemas.microsoft.com/sharepoint/v3"/>
    <xsd:import namespace="20a28b43-b175-48c9-a9cb-6c1443a420ea"/>
    <xsd:import namespace="10dc02e7-f128-4651-a5c8-33374ff82d7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통합 준수 정책 속성" ma:hidden="true" ma:internalName="_ip_UnifiedCompliancePolicyProperties">
      <xsd:simpleType>
        <xsd:restriction base="dms:Note"/>
      </xsd:simpleType>
    </xsd:element>
    <xsd:element name="_ip_UnifiedCompliancePolicyUIAction" ma:index="22" nillable="true" ma:displayName="통합 준수 정책 UI 작업"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a28b43-b175-48c9-a9cb-6c1443a420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이미지 태그" ma:readOnly="false" ma:fieldId="{5cf76f15-5ced-4ddc-b409-7134ff3c332f}" ma:taxonomyMulti="true" ma:sspId="cda59523-cae3-4a93-ad14-9717a5d946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dc02e7-f128-4651-a5c8-33374ff82d70" elementFormDefault="qualified">
    <xsd:import namespace="http://schemas.microsoft.com/office/2006/documentManagement/types"/>
    <xsd:import namespace="http://schemas.microsoft.com/office/infopath/2007/PartnerControls"/>
    <xsd:element name="SharedWithUsers" ma:index="14"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세부 정보 공유" ma:internalName="SharedWithDetails" ma:readOnly="true">
      <xsd:simpleType>
        <xsd:restriction base="dms:Note">
          <xsd:maxLength value="255"/>
        </xsd:restriction>
      </xsd:simpleType>
    </xsd:element>
    <xsd:element name="TaxCatchAll" ma:index="25" nillable="true" ma:displayName="Taxonomy Catch All Column" ma:hidden="true" ma:list="{68a7c486-a55f-498d-96cb-ec768c24d55c}" ma:internalName="TaxCatchAll" ma:showField="CatchAllData" ma:web="10dc02e7-f128-4651-a5c8-33374ff82d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91215B-2DE6-4FC3-A3CC-B03C65F4790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1FF2D31-D627-417F-8FC0-E1334C4CC1A6}">
  <ds:schemaRefs>
    <ds:schemaRef ds:uri="http://schemas.microsoft.com/sharepoint/v3/contenttype/forms"/>
  </ds:schemaRefs>
</ds:datastoreItem>
</file>

<file path=customXml/itemProps3.xml><?xml version="1.0" encoding="utf-8"?>
<ds:datastoreItem xmlns:ds="http://schemas.openxmlformats.org/officeDocument/2006/customXml" ds:itemID="{A4F1FE69-3A6E-4DE5-9515-264976C379D6}"/>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TITLES, LOGLINES &amp; SYNOPSES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Bruce</dc:creator>
  <cp:keywords/>
  <dc:description/>
  <cp:lastModifiedBy>Sooyeong Kim</cp:lastModifiedBy>
  <cp:revision/>
  <dcterms:created xsi:type="dcterms:W3CDTF">2023-12-11T11:55:10Z</dcterms:created>
  <dcterms:modified xsi:type="dcterms:W3CDTF">2024-08-27T09:00:52Z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0x01010099E7E85F80FDED49A36AFA52FE2BC38D</vt:lpwstr>
  </property>
</Properties>
</file>