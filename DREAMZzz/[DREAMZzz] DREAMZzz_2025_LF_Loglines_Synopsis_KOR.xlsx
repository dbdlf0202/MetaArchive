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2"/>
  <workbookPr/>
  <mc:AlternateContent xmlns:mc="http://schemas.openxmlformats.org/markup-compatibility/2006">
    <mc:Choice Requires="x15">
      <x15ac:absPath xmlns:x15ac="http://schemas.microsoft.com/office/spreadsheetml/2010/11/ac" url="https://sdimedia-my.sharepoint.com/personal/katarzyna_wozniak_iyuno_com/Documents/Documents/Documents/00_LEGO PROJECTS/S3/LF/FOR STUDIOS/"/>
    </mc:Choice>
  </mc:AlternateContent>
  <xr:revisionPtr revIDLastSave="254" documentId="8_{AB39EC99-9EB8-4EF7-AE2C-944E8BF22E6D}" xr6:coauthVersionLast="47" xr6:coauthVersionMax="47" xr10:uidLastSave="{AE30EFA9-A54F-40CD-BD08-A30B9F84E5A6}"/>
  <bookViews>
    <workbookView xWindow="19090" yWindow="-110" windowWidth="19420" windowHeight="10420" xr2:uid="{54ABD980-FE25-432E-8BE2-25E9E6F65733}"/>
  </bookViews>
  <sheets>
    <sheet name="TITLES, LOGLINES &amp; SYNOPSES" sheetId="1"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K3" i="1"/>
  <c r="K4" i="1"/>
  <c r="K5" i="1"/>
  <c r="K6" i="1"/>
  <c r="K7" i="1"/>
  <c r="K8" i="1"/>
  <c r="K9" i="1"/>
  <c r="K10" i="1"/>
  <c r="K11" i="1"/>
  <c r="K12" i="1"/>
  <c r="K13" i="1"/>
  <c r="K14" i="1"/>
  <c r="K15" i="1"/>
  <c r="K16" i="1"/>
  <c r="K17" i="1"/>
  <c r="K18" i="1"/>
  <c r="K19" i="1"/>
  <c r="K20" i="1"/>
  <c r="K21" i="1"/>
  <c r="K22" i="1"/>
  <c r="K23" i="1"/>
  <c r="K24" i="1"/>
  <c r="K44" i="1"/>
  <c r="I44" i="1"/>
  <c r="G44" i="1"/>
  <c r="E44" i="1"/>
  <c r="B44" i="1"/>
  <c r="A44" i="1"/>
  <c r="K43" i="1"/>
  <c r="I43" i="1"/>
  <c r="G43" i="1"/>
  <c r="E43" i="1"/>
  <c r="B43" i="1"/>
  <c r="A43" i="1"/>
  <c r="K42" i="1"/>
  <c r="I42" i="1"/>
  <c r="G42" i="1"/>
  <c r="E42" i="1"/>
  <c r="B42" i="1"/>
  <c r="A42" i="1"/>
  <c r="K41" i="1"/>
  <c r="I41" i="1"/>
  <c r="G41" i="1"/>
  <c r="E41" i="1"/>
  <c r="B41" i="1"/>
  <c r="A41" i="1"/>
  <c r="K40" i="1"/>
  <c r="I40" i="1"/>
  <c r="G40" i="1"/>
  <c r="E40" i="1"/>
  <c r="B40" i="1"/>
  <c r="A40" i="1"/>
  <c r="K39" i="1"/>
  <c r="I39" i="1"/>
  <c r="G39" i="1"/>
  <c r="E39" i="1"/>
  <c r="B39" i="1"/>
  <c r="A39" i="1"/>
  <c r="K38" i="1"/>
  <c r="I38" i="1"/>
  <c r="G38" i="1"/>
  <c r="E38" i="1"/>
  <c r="B38" i="1"/>
  <c r="A38" i="1"/>
  <c r="K37" i="1"/>
  <c r="I37" i="1"/>
  <c r="G37" i="1"/>
  <c r="E37" i="1"/>
  <c r="B37" i="1"/>
  <c r="A37" i="1"/>
  <c r="K36" i="1"/>
  <c r="I36" i="1"/>
  <c r="G36" i="1"/>
  <c r="E36" i="1"/>
  <c r="B36" i="1"/>
  <c r="A36" i="1"/>
  <c r="K35" i="1"/>
  <c r="I35" i="1"/>
  <c r="G35" i="1"/>
  <c r="E35" i="1"/>
  <c r="B35" i="1"/>
  <c r="A35" i="1"/>
  <c r="K34" i="1"/>
  <c r="I34" i="1"/>
  <c r="G34" i="1"/>
  <c r="E34" i="1"/>
  <c r="B34" i="1"/>
  <c r="A34" i="1"/>
  <c r="K33" i="1"/>
  <c r="I33" i="1"/>
  <c r="G33" i="1"/>
  <c r="E33" i="1"/>
  <c r="B33" i="1"/>
  <c r="A33" i="1"/>
  <c r="K32" i="1"/>
  <c r="I32" i="1"/>
  <c r="G32" i="1"/>
  <c r="E32" i="1"/>
  <c r="B32" i="1"/>
  <c r="A32" i="1"/>
  <c r="K31" i="1"/>
  <c r="I31" i="1"/>
  <c r="G31" i="1"/>
  <c r="E31" i="1"/>
  <c r="B31" i="1"/>
  <c r="A31" i="1"/>
  <c r="K30" i="1"/>
  <c r="I30" i="1"/>
  <c r="G30" i="1"/>
  <c r="E30" i="1"/>
  <c r="B30" i="1"/>
  <c r="A30" i="1"/>
  <c r="K29" i="1"/>
  <c r="I29" i="1"/>
  <c r="G29" i="1"/>
  <c r="E29" i="1"/>
  <c r="B29" i="1"/>
  <c r="A29" i="1"/>
  <c r="K28" i="1"/>
  <c r="I28" i="1"/>
  <c r="G28" i="1"/>
  <c r="E28" i="1"/>
  <c r="B28" i="1"/>
  <c r="A28" i="1"/>
  <c r="K27" i="1"/>
  <c r="I27" i="1"/>
  <c r="G27" i="1"/>
  <c r="E27" i="1"/>
  <c r="B27" i="1"/>
  <c r="A27" i="1"/>
  <c r="K26" i="1"/>
  <c r="I26" i="1"/>
  <c r="G26" i="1"/>
  <c r="E26" i="1"/>
  <c r="B26" i="1"/>
  <c r="A26" i="1"/>
  <c r="K25" i="1"/>
  <c r="G25" i="1"/>
  <c r="E25" i="1"/>
  <c r="B25" i="1"/>
  <c r="A25" i="1"/>
  <c r="A1" i="1"/>
</calcChain>
</file>

<file path=xl/sharedStrings.xml><?xml version="1.0" encoding="utf-8"?>
<sst xmlns="http://schemas.openxmlformats.org/spreadsheetml/2006/main" count="147" uniqueCount="147">
  <si>
    <t>#</t>
  </si>
  <si>
    <t>ORG TITLES</t>
  </si>
  <si>
    <r>
      <rPr>
        <b/>
        <sz val="12"/>
        <rFont val="Calibri (Body)_x0000_"/>
      </rPr>
      <t>FLV</t>
    </r>
    <r>
      <rPr>
        <b/>
        <sz val="12"/>
        <rFont val="Aptos Narrow"/>
        <family val="2"/>
        <scheme val="minor"/>
      </rPr>
      <t xml:space="preserve"> TITLES</t>
    </r>
  </si>
  <si>
    <t>ORG LOGLINES</t>
  </si>
  <si>
    <r>
      <rPr>
        <b/>
        <sz val="12"/>
        <rFont val="Calibri (Body)_x0000_"/>
      </rPr>
      <t>FLV</t>
    </r>
    <r>
      <rPr>
        <b/>
        <sz val="12"/>
        <rFont val="Aptos Narrow"/>
        <family val="2"/>
        <scheme val="minor"/>
      </rPr>
      <t xml:space="preserve"> LOGLINES</t>
    </r>
  </si>
  <si>
    <t>Max.
150</t>
  </si>
  <si>
    <t>ORG SYNOPSES</t>
  </si>
  <si>
    <r>
      <rPr>
        <b/>
        <sz val="12"/>
        <rFont val="Calibri (Body)_x0000_"/>
      </rPr>
      <t>FLV</t>
    </r>
    <r>
      <rPr>
        <b/>
        <sz val="12"/>
        <rFont val="Aptos Narrow"/>
        <family val="2"/>
        <scheme val="minor"/>
      </rPr>
      <t xml:space="preserve"> SYNOPSES</t>
    </r>
  </si>
  <si>
    <t>Max. 400</t>
  </si>
  <si>
    <t>SERIES</t>
  </si>
  <si>
    <t xml:space="preserve">LEGO® DREAMZzz </t>
  </si>
  <si>
    <t>Season 3 (2025)</t>
  </si>
  <si>
    <t>Enter The Cyber Game</t>
  </si>
  <si>
    <t>사이버 게임 속으로</t>
  </si>
  <si>
    <t>When strange towers appear in the dream world, Mateo, Izzie and the dream chasers take action to learn who is behind this attack on creativity.</t>
  </si>
  <si>
    <t>드림월드에 수상한 타워가 등장하자, 마테오, 이지, 그리고 드림 체이서들은 모두의 창의력을 위협하는 배후에 누가 있는지 밝히기 위해 행동을 개시한다.</t>
  </si>
  <si>
    <t>When new technologically advanced villains and strange towers appear in the dream world, Mateo, Izzie and the dream chasers get back into action and find out what they're up to. They soon learn that a highly intelligent mastermind is trying to restructure the dream world in its own image and lead a direct attack on creativity and inspiration that may change the dream world forever.</t>
  </si>
  <si>
    <t xml:space="preserve">첨단 기술로 무장한 새로운 악당들과 정체불명의 타워가 드림월드에 등장하자, 마테오, 이지, 그리고 드림 체이서들은 배후와 그들의 음모를 밝히기 위해 행동에 나선다. 그리고 곧, 고도의 지능을 지닌 누군가가 꿈꾸는 아이들의 창의력과 영감을 파괴하고 현재의 드림월드를 자신의 설계대로 영원히 바꿔버리려고 한다는 사실을 알게 된다. </t>
  </si>
  <si>
    <t>Ep. 301</t>
  </si>
  <si>
    <t>Everything's Changed</t>
  </si>
  <si>
    <t>불편한 평화</t>
  </si>
  <si>
    <t xml:space="preserve">The dream chaser’s jobs are on the line now that the dream world is under the guardianship of a mysterious new hero called “Dreamsmasher.” </t>
  </si>
  <si>
    <t>정체를 알 수 없는 새로운 영웅, 드림스매셔가 등장해 드림월드의 크고 작은 위협들을 막으며 질서 유지를 위해 활약하자, 드림 체이서들은 설 자리를 잃는다.</t>
  </si>
  <si>
    <t>The dream world has changed, and with it, Mateo’s job. Now acting as “dream consultant” Mateo is bored beyond comprehension. And with the appearance of a new hero who calls himself “Dreamsmasher” there isn’t much for him to do. But when a familiar nightmare named SNEAK shows up asking for help, Mateo uncovers a mystery that will lead to an epic season ahead.</t>
  </si>
  <si>
    <t>드림월드에 평화가 찾아오자 마테오의 임무 또한 '드림 안내자'로 변해버리고, 마테오는 이 평화가 지루하기만 하다. 게다가 자신을 드림스매셔라고 부르는 새로운 영웅까지 나타났으니  할 수 있는 일이 이젠 거의 없다. 그러다 친구이자 그림스펀인 스니크가 나타나 도움을 청하면서, 마테오는 앞으로 맞닥뜨리게 될 거대한 음모를 향해 한 발짝 다가서게 되는데!</t>
  </si>
  <si>
    <t>Ep. 302</t>
  </si>
  <si>
    <t>Join The Club</t>
  </si>
  <si>
    <t>클럽 데이</t>
  </si>
  <si>
    <t>After an argument, Z-Blob refuses to follow Mateo back into the waking world, inspiring them to take two very different journeys of self-discovery.</t>
  </si>
  <si>
    <t>말다툼 끝에, 지 블롭이 마테오와 함께 꿈 밖 세상으로 나가길 거부하면서, 마테오와 지 블롭은 각자의 방법으로 자신을 알아가기 위한 도전에 나선다.</t>
  </si>
  <si>
    <t>While spying on Dreamsmasher, Mateo takes Z-Blob for granted, causing Z-Blob to refuse to go back to the waking world. Now irked and on his own, Mateo tries to find a school club to join to prove he doesn’t need his friend. Meanwhile, Z-Blob goes on a pranking spree when he joins Sneak and Zian’s mischief-making crew. Unfortunately for them, mischief is exactly what Dreamsmasher seeks to destroy.</t>
  </si>
  <si>
    <t>드림스매셔를 감시하는 일에 몰두하던 마테오는 그 일로 지 블롭과 말다툼을 벌이게 되고, 지 블롭이 급기야 꿈 밖 세상으로 돌아가길 거부하자 갑자기 혼자가 되어 버린다. 하지만 오늘은 마침 클럽 데이! 마테오는 지 블롭 없이도 문제 없다는 걸 증명하기 위해 재미있는 클럽을 찾아다니고, 그 사이 지 블롭은 스니크, 자이언과 악동 클럽을 결성해 장난을 치다가 드림스매셔의 표적이 되고 마는데!</t>
  </si>
  <si>
    <t>Ep. 303</t>
  </si>
  <si>
    <t>Whack Race 2025</t>
  </si>
  <si>
    <t>광란의 레이스 2025</t>
  </si>
  <si>
    <t>Being bored in the waking world, Mateo spices things up by organizing an off-road dream vehicle race in the dream world.</t>
  </si>
  <si>
    <t>지루한 일상이 계속되자, 마테오는 친구들에게 드림월드에서의 오프로드 레이스를 제안하고, 한바탕 질주가 시작된다.</t>
  </si>
  <si>
    <t>As dream consultants for the Bright Bureau, the gang hungers for action as Dreamsmasher takes care of every problem. An off-road race in the dream world gets everyone excited for a little fun. While racing, Mateo discovers Dreamsmasher doing something mysterious. Now it’s a race to the finish line as Mateo and Z-Blob are chased by Dreamsmasher’s minions, the Meanie Screenies.</t>
  </si>
  <si>
    <t>이젠 브라이트 기사단의 드림 안내자로 일하는 아이들은, 작은 소동이라도 일어나면 바로 드림스매셔가 출동하는 바람에 옴짝달싹 못하게 되자 슬슬 신나는 액션을 그리워하게 되고, 마침 마테오가 오프로드 레이스를 제안하자 한바탕 질주가 시작된다. 하지만 레이스 중, 마테오는 드림스매셔의 수상한 행동을 목격하게 되고, 그의 부하들인 소름쫙 스크린들의 공격을 받게 되는데!</t>
  </si>
  <si>
    <t>Ep. 304</t>
  </si>
  <si>
    <t>Dreamocracy</t>
  </si>
  <si>
    <t>드림 민주주의 월드</t>
  </si>
  <si>
    <t>In order to consolidate his power within the dream world, Izzie suggests that Dreamsmasher holds an election to become the legendary dream keeper!</t>
  </si>
  <si>
    <t>드림월드에서의 권력을 굳건히 할 방법으로 이지는 드림스매셔에게 선거를 제안하고, 드림스매셔는 전설적인 드림 관리자가 되기 위해 나서는데!</t>
  </si>
  <si>
    <t>Izzie, still smarting from letting Dreamsmasher down, suggests that he run for “dream keeper,” the same title that was once used by Lunia. But Mateo, worried that Dreamsmasher will get even more power, decides to run against him, along with a ton of other dream creatures! All is fair in dreams and politics, when the election unveils a secret that will change Izzie and the dream chasers forever!</t>
  </si>
  <si>
    <t>드림스매셔를 실망시킨 일로 속상해 하던 이지는, 루니아가 사라지고 드림 관리자 자리가 비어 있다는 데 착안, 드림스매셔에게 선거를 통해 드림 관리자가 될 것을 제안하고, 드림스매셔가 더 강한 힘을 갖게 될까 두려운 마테오는 자신도 후보가 될 것을 선언한다. 다른 후보들까지 나서면서 더욱 치열해진 드림 관리자 투표! 하지만 투표는 뜻밖의 방향으로 흘러가고 엄청난 비밀이 모습을 드러내는데!</t>
  </si>
  <si>
    <t>Ep. 305</t>
  </si>
  <si>
    <t>Freak-quencies</t>
  </si>
  <si>
    <t>위험한 전략</t>
  </si>
  <si>
    <t>After discovering the identity of Dreamsmasher, the dream chasers must figure out a way to stop him before he changes the dream world permanently.</t>
  </si>
  <si>
    <t xml:space="preserve">드림스매셔의 정체가 밝혀진 후, 드림 체이서들은 드림스매셔가 드림월드를 완전히 바꿔버리기 전에 그의 폭주를 막을 방법을 고민한다.  </t>
  </si>
  <si>
    <t>After learning that Dreamsmasher is none other than Claudius, Izzie is filled with self-doubt, having championing the so-called “hero” for so long. But, working together, the dream chasers come up with a way to make Claudius an unaware dreamer yet again, and hopefully rid the dream world of him once and for all.</t>
  </si>
  <si>
    <t>드림스매셔가 클라우디우스라는 사실이 밝혀지자, 오랫동안 그를 영웅으로 믿고 따랐던 이지는 깊은 자책감에 휩싸인다. 하지만 다시 힘을 합한 드림 체이서들은 클라우디우스를 완전히 드림월드와 분리할 수 있는 방법을 생각해내기에 이르고, 드디어 작전 실행에 들어가는데!</t>
  </si>
  <si>
    <t>Ep. 306</t>
  </si>
  <si>
    <t>InterFEARence</t>
  </si>
  <si>
    <t>두 개의 주파수</t>
  </si>
  <si>
    <t>The dream splitter has an unexpected effect as it throws our dream chasers in different dream frequencies!</t>
  </si>
  <si>
    <t>드림 분리 장치는 위험한 역효과를 낳게 되고, 드림 체이서들은 두 개의 주파수 안에 갇히게 되는데!</t>
  </si>
  <si>
    <t>With our two teams separated in different dream frequencies, they must roam a strange version of the Deserts of Duralumina in hopes of finding a way out. But while they sojourn across a dangerous new landscape, they discover another person trapped along with them: the person that they’ve been looking for forever – Lunia!</t>
  </si>
  <si>
    <t>두 팀으로 나뉘어 두 개의 다른 주파수대에 갇혀버린 드림 체이서들! 낯선 모습의 두랄루미나 사막엔 고요와 어둠만이 있을 뿐, 길이라곤 보이질 않는다. 기괴한 전기 양들과 싸우며 나갈 방법을 모색하던 드림 체이서들은 같은 주파수에 갇힌 의문의 한 사람을 발견하게 되는데, 그의 정체는 바로 모두가 찾던 루니아!</t>
  </si>
  <si>
    <t>Ep. 307</t>
  </si>
  <si>
    <t>Lunia</t>
  </si>
  <si>
    <t>루니아</t>
  </si>
  <si>
    <t>When Lunia’s true identity is revealed, she regales the dream chasers with the epic story of how she became the legendary dream keeper.</t>
  </si>
  <si>
    <t>루니아의 정체가 밝혀지고, 루니아는 드림 체이서들에게 전설적인 드림 관리자가 되기까지의 모든 이야기를 들려준다.</t>
  </si>
  <si>
    <t>After regaining her memories of who she once was, Mrs. C tells the dream chasers the story of her humble beginnings. As a young girl who cared for others, she was picked to be the successor to the former dream keeper. During her training, she is told of three rules that she must abide by, or it will lead to worlds of trouble!</t>
  </si>
  <si>
    <t>기억을 되찾은 카스티요 부인은 드림 체이서들에게 드림 관리자가 되기까지의 이야기를 들려준다. 누구보다 따뜻한 마음을 가졌던 카스티요 부인은 선대 드림 관리자에게 후계자로 선택된 후, 열심히 훈련에 매진한다. 그리고 드림월드를 위험에 빠뜨리지 않기 위해 관리자가 반드시 지켜야 할 세 가지 규칙에 대해서도 알게 되는데!</t>
  </si>
  <si>
    <t>Ep. 308</t>
  </si>
  <si>
    <t>Moving On Up</t>
  </si>
  <si>
    <t>드러난 실체</t>
  </si>
  <si>
    <t>The dream chasers hunt for Lunia’s hourglass, which they believe will help them defeat the evil Dreamsmasher.</t>
  </si>
  <si>
    <t>루니아의 모래 시계가 드림 스매셔를 물리치는 데 도움이 될 거란 생각에 드림 체이서들은 모래 시계를 찾아 나선다!</t>
  </si>
  <si>
    <t>After learning that Mrs. C is, in fact, Lunia, the team is on the hunt for Lunia’s hourglass, in hopes that it will give Lunia her former dream keeper powers. The team splits up with Mateo and Izzie trying their luck in the waking world, where their school has been completely taken over by Happy App!</t>
  </si>
  <si>
    <t>카스티요 부인이 루니아라는 사실을 알게 된 드림 체이서들은, 루니아가 드림 관리자의 파워를 되찾을 수 있다는 희망을 품고 모래 시계를 찾아 나선다. 한편, 마테오와 이지는 학교까지 해피 앱의 손아귀에 들어가버린 위험천만한 꿈 밖 세상에서 또 다른 중요한 임무를 시작하는데!</t>
  </si>
  <si>
    <t>Ep. 309</t>
  </si>
  <si>
    <t>Brainstorm</t>
  </si>
  <si>
    <t>브레인스톰</t>
  </si>
  <si>
    <t>After locating Lunia’s hourglass, the team heads to the dream world’s sun, which holds more secrets than the object they’re searching for!</t>
  </si>
  <si>
    <t>모래 시계의 위치를 알아낸 드림 체이서들은 드림 월드의 태양으로 향하고, 그 안엔 예상치 못했던 수많은 비밀이 숨겨져 있었는데!</t>
  </si>
  <si>
    <t>The team find out that the “Sun” in the dream world is nothing more than a shell holding a myriad of secrets, and maybe, just maybe, Lunia’s hourglass. There, they discover a “Sorting facility” that is cataloguing all the dream creatures down below. After being discovered, the dream chasers need to keep themselves from being unboxed while finding Lunia’s hourglass and save the day!</t>
  </si>
  <si>
    <t>놀라운 비밀과 함께 루니아의 모래 시계도 어쩌면 '태양' 안에 숨겨져 있다는 사실을 알게 된 드림 체이서들! 안으로 숨어들어간 드림 체이서들은 드림 월드의 모든 생명체들이 두 가지로 분류돼 각기 다른 공장에서 상자에 포장되고 있는 모습에 경악을 금치 못한다. 하지만 루니아의 모래 시계를 찾아 세상을 구하기도 전에 적에게 발각돼 상자에 갇힐 위기에 처하고 마는데!</t>
  </si>
  <si>
    <t>Ep. 310</t>
  </si>
  <si>
    <t>Boxed In</t>
  </si>
  <si>
    <t>달콤한 함정</t>
  </si>
  <si>
    <t>Z-Blob returns in a daring rescue to break Mateo out of Dreamsmasher’s “box” and helps him find Lunia’s hourglass!</t>
  </si>
  <si>
    <t>상자에 갇힌 마테오를 구하기 위해 위험한 구조 작전에 나선 지 블롭! 마테오를 구한 후, 함께 모래 시계를 찾기 시작하는데!</t>
  </si>
  <si>
    <t>Mateo is saved by Z-Blob who has returned to unbox him from Dreamsmasher’s prison. The two dream chasers unbox the rest of their team and wreak havoc in the GLOWING ORB in order to try and retrieve Lunia’s hourglass and save the dream world from harm. But not everything is as it appears, as Mateo’s plan seems to go more smoothly than he had imagined.</t>
  </si>
  <si>
    <t>지 블롭은 드림 스매셔의 감옥에서 마테오를 구해내고, 마테오와 지 블롭은 친구들을 찾아 모두 상자에서 구해낸다. 그리고 루니아의 모래 시계를 되찾고 드림 월드를 지키기 위해, 드림 스매셔의 본부, '번쩍이는 구체'를 누비며 종횡무진 활약하는 마테오! 일이 풀려도 너무 잘 풀린다. 하지만, 곧 눈에 보이는 것이 전부가 아니라는 사실이 드러난다.</t>
  </si>
  <si>
    <t>Ep. 311</t>
  </si>
  <si>
    <t>The Happy App Trap</t>
  </si>
  <si>
    <t>해피 앱의 거대한 음모</t>
  </si>
  <si>
    <r>
      <rPr>
        <sz val="12"/>
        <color rgb="FF000000"/>
        <rFont val="Aptos Narrow"/>
        <scheme val="minor"/>
      </rPr>
      <t>The Berlin</t>
    </r>
    <r>
      <rPr>
        <sz val="12"/>
        <color rgb="FFFF0000"/>
        <rFont val="Aptos Narrow"/>
        <scheme val="minor"/>
      </rPr>
      <t xml:space="preserve"> Bright Bureau </t>
    </r>
    <r>
      <rPr>
        <sz val="12"/>
        <color rgb="FF000000"/>
        <rFont val="Aptos Narrow"/>
        <scheme val="minor"/>
      </rPr>
      <t>receives a mysterious package with new “goggles” to help them become more efficient dream chasers, but at what cost?</t>
    </r>
  </si>
  <si>
    <t>드림 기사단 베를린 지부로 배달된  수상한 고글! 드림 체이서들의 능력 향상을 돕는 장비라고 하기엔 석연치 않은 점이 한두 가지가 아니다.</t>
  </si>
  <si>
    <r>
      <rPr>
        <sz val="12"/>
        <color rgb="FF000000"/>
        <rFont val="Aptos Narrow"/>
        <scheme val="minor"/>
      </rPr>
      <t xml:space="preserve">When the Berlin </t>
    </r>
    <r>
      <rPr>
        <sz val="12"/>
        <color rgb="FFFF0000"/>
        <rFont val="Aptos Narrow"/>
        <scheme val="minor"/>
      </rPr>
      <t>Bright Bureau</t>
    </r>
    <r>
      <rPr>
        <sz val="12"/>
        <color rgb="FF000000"/>
        <rFont val="Aptos Narrow"/>
        <scheme val="minor"/>
      </rPr>
      <t xml:space="preserve"> receives a  package containing Happy App Goggles, they happily accept the opportunity to beta test the devices. After all, the goggles are said to make dreaming more efficient! However, the agents are now trapped within Happy App's trap! Now Astrid must find a way to free her colleagues and battle a mysterious foe in order to free everyone from this new enemy.</t>
    </r>
  </si>
  <si>
    <t>해피 앱 고글이 담긴 상자를 받은 드림 기사단 베를린 지부의 드림 체이서들은 새로운 장비를 시험할 기회를 기쁘게 받아들인다. 꿈을 더 효율적으로 만들어준다는 고글! 하지만 그 말을 믿고 시험에 나섰던 드림 체이서들은 해피 앱의 함정에 갇혀버리는데! 홀로 상황을 깨달은 아스트리드는 동료들을 구하고, 정체를 알 수 없는 적을 상대할 방법을 찾아야 한다.</t>
  </si>
  <si>
    <t>Ep. 312</t>
  </si>
  <si>
    <t>Mission: Ungoggle-Able</t>
  </si>
  <si>
    <t>임무명: 고글을 벗겨라</t>
  </si>
  <si>
    <t>Mateo, Izzie, Zoey, and Cooper are unwilling participants in a sleep study at Happy App Headquarters, and it’s up to the others to break them out!</t>
  </si>
  <si>
    <t>마테오, 이지, 조이, 그리고 쿠퍼는 해피 앱 본부로 잡혀가 수면 연구에 참여하게 되고, 남은 드림 체이서들에겐 이들을 구해야 하는 임무가 주어지는데!</t>
  </si>
  <si>
    <t>Happy App has begun its sleep study of Mateo, Izzie, Zoey, and Cooper by subduing them with goggles. The rest of the team launches a two-pronged mission: Z-Blob breaks them out of Happy App HQ while Logan, Astrid, Mr. Oz, and Mrs. Castillo try to wake them up. All goes according to plan until Dreamsmasher, desperate to keep his job, captures Mateo, demanding to learn the secrets of dream crafting.</t>
  </si>
  <si>
    <t>해피 앱은 고글을 쓴 마테오, 이지, 조이, 쿠퍼의 수면 연구를 시작한다. 그사이 남은 팀원들은 두 가지 임무에 나서는데, 지 블롭은 해피 앱 본사로 들어가 친구들을 구출하는 임무를, 그리고 로건, 아스트리드, 오즈와 카스티요 부인은 아이들을 깨울 방법을 찾는 임무를 맡는다. 해고 위기에 처한 드림 스매셔가 마테오에게 드림 크래프트를 배우려고 하기 전까진 모든 게 계획대로 착착 진행돼 가는데!</t>
  </si>
  <si>
    <t>Ep. 313</t>
  </si>
  <si>
    <t>D-Shock</t>
  </si>
  <si>
    <t>D-쇼크</t>
  </si>
  <si>
    <t>The gang flees to the wilds of Central Park where they plan their next move against the Brain, and also receive an unexpected visitor.</t>
  </si>
  <si>
    <t>공원 안, 깊은 숲에 있는 보의 집으로 피신해 브레인과 맞설 계획을 세우던 드림 체이서들은 예상치 못했던 손님을 맞이하게 되는데!</t>
  </si>
  <si>
    <t>Our heroes lay low in Central Park at the new and improved Beau’s place, much to Zoey’s embarrassment, as he’s now a pacifist, granola version of himself called Light Hunter. There, they learn that the dream world has become a police state, with them as public enemy #1. They also meet Dreamsmasher’s replacement, D-Shock, who is determined to catch them.</t>
  </si>
  <si>
    <t>루니아와 오즈, 마테오와 친구들은 센트럴 파크 안에 숨겨져 있는 보의 새로운 집으로 몸을 피한다. 조이가 부끄러워할 만큼 심하게 변해버린 보는 평화와 자연을 사랑하는 자칭 라이트 헌터가 되어 있다. 그곳에서 드림 체이서들은 드림 월드가 이미 경찰국가로 변했으며, 자신들이 공공의 적 1호임을 알게 되고, 곧 드림 스매셔의 후임이자 자신들을 붙잡으려 하는 D-쇼크와 맞닥뜨리게 된다.</t>
  </si>
  <si>
    <t>Ep. 314</t>
  </si>
  <si>
    <t>Robot Fight Club</t>
  </si>
  <si>
    <t>로봇 파이트 클럽</t>
  </si>
  <si>
    <t>When our heroes infiltrate the Happy App building to disrupt production they find themselves thrust into a robot fight club where they must compete!</t>
  </si>
  <si>
    <t>고글 생산을 막기 위해 해피 앱 건물로 숨어 들어간 마테오와 친구들! 그곳에서 로봇 파이트 클럽의 로봇들과 치열한 격투기 대결을 펼치게 되는데!</t>
  </si>
  <si>
    <t>Realizing that Happy App goggle production is way up, our heroes decide to infiltrate the Happy App building and shut down production. There, they run into a group of disused robots that are now living a Lord of the Flies existence under the Happy App building.  Can Mateo, Izzie and the rest of the crew overcome being forced to join a Robot Fight Club and still complete their mission?</t>
  </si>
  <si>
    <t>늘어나는 고글 생산이 문제라고 생각한 마테오와 친구들은 해피 앱 건물로 숨어들어가 고글 생산을 막기로 결심한다. 하지만 지하통로로 들어간 아이들 앞에 나타난 건 공장에서 밀려난 후, 몰래 지하로 숨어든 로봇들이다. 어쩔 수 없이 그들만의 리그, 로봇 파이트 클럽에서 챔피언 로봇과 격투기 대결을 펼치게 된 아이들은 과연 공장 파괴 임무를 완수할 수 있을까?</t>
  </si>
  <si>
    <t>Ep. 315</t>
  </si>
  <si>
    <t>Fish Out Of Water</t>
  </si>
  <si>
    <t>물 밖의 물고기</t>
  </si>
  <si>
    <t>As the team goes to investigate an area of the dream world that scares the Brain, Zoey falls into a strange dimension and an even stranger adventure.</t>
  </si>
  <si>
    <t xml:space="preserve">브레인이 두려워하는 곳을 조사하기 위해 드림 월드로 향한 드림 체이서들! 하지만 조이는 우연히 이상한 차원으로 떨어지고 더 이상한 모험을 하게 되는데! </t>
  </si>
  <si>
    <t>After learning that there is a part of the dream world that scares the “Brain”, the dream chasers make their way to the location to investigate. After a battle turns sideways, Zoey falls into a strange land where familiar faces help her make her way to an audition where she has to prove she’s a star in order to go back home.</t>
  </si>
  <si>
    <t>드림 월드에 브레인이 두려워하는 곳이 있다는 걸 알게 된 드림 체이서들은 조사를 위해 그곳으로 향한다. 뒤이어 나타난 적들과 치열한 전투를 벌이던 중, 조이는 이상한 세상으로 떨어지게 되고, 낯익은 얼굴을 가진 새로운 친구들의 도움으로 오디션 무대로 향한다. 무대에 선 조이는 집으로 가기 위해 스타의 자격을 증명해야만 하는데!</t>
  </si>
  <si>
    <t>Ep. 316</t>
  </si>
  <si>
    <t>Cyber Drain</t>
  </si>
  <si>
    <t>사이버 드레인</t>
  </si>
  <si>
    <t>After playing a video game that mimics their lives, the dream chasers visit the Cyber Realm to learn how to beat the final boss and defeat Happy App.</t>
  </si>
  <si>
    <t>When Mateo and the team play a video game that mimics their lives, they think beating the final boss will give them the key to defeating Happy App. When that proves difficult, they enter the GAME CREATOR'S dream in the Cyber Realm, where they must complete three tasks in exchange for the secret to beating the game. However, Dreamsmasher’s replacement, D-Shock, won’t let them win that easily…</t>
  </si>
  <si>
    <t>Ep. 317</t>
  </si>
  <si>
    <t xml:space="preserve">School Spirit </t>
  </si>
  <si>
    <t>학교를 구하라</t>
  </si>
  <si>
    <t>Nova sends out an S.O.S. that has the dream chasers rushing to her rescue and straight into a trap!</t>
  </si>
  <si>
    <t>The team hears a distress call from their classmate Nova! She’s trapped at the school and is desperate for help. Mateo, Izzie, and Zoey sneak their way in and are confronted by the villainous HALL MONITOR, while Oz, Cooper, and Lunia head to the dream world to test a few theories about the significance of “the Wrench!”</t>
  </si>
  <si>
    <t>Ep. 318</t>
  </si>
  <si>
    <t>The Undreamt</t>
  </si>
  <si>
    <t>언드림트</t>
  </si>
  <si>
    <t>Our heroes have no choice but to ask The Undreamnt to help them in their fight against D-Shock and the Happy App.</t>
  </si>
  <si>
    <t>After deciding to ally with the Undreamt, Lunia and the Kids must break into a dream world prison and free it, which turns out to be more dangerous than they imagined. Meanwhile Logan, Cooper, Z-Blob, and Albert face off against D-Shock.</t>
  </si>
  <si>
    <t>Ep. 319</t>
  </si>
  <si>
    <t>Missing Pieces</t>
  </si>
  <si>
    <t>Working with the dangerous UNDREAMT, our heroes must use its creative chaotic energy to try and bring life back to the unsaturated dream world.</t>
  </si>
  <si>
    <t>Now that Lunia has taken control of the Undreamt the dream chasers come up with a daring plan to take the “Brain” down once and for all. Creating an awesome vehicle that can house the chaotic creative energy of the Undreamt, the team race to Castle Nocturnia where they hope to launch the Undreamt at the Brain’s headquarters in the sky and bring back the dream world’s creativity!</t>
  </si>
  <si>
    <t>Ep. 320</t>
  </si>
  <si>
    <t>Outside The Box</t>
  </si>
  <si>
    <t>The dream chasers are faced with the Brain’s Final Protocol, to box the dream world for all of eternity.</t>
  </si>
  <si>
    <t>After failing to defeat the Brain with the Creative Bomb, the Brain has retaliated with its final protocol. It has determined the only way to create a safe dream world is to box the old one and start anew. Taking a new, robotic form, the Brain sets about its apocalyptic plan as our heroes launch a desperate attack in order to save the day!</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</si>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</sst>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b/>
      <u/>
      <sz val="24"/>
      <color theme="1"/>
      <name val="Aptos Narrow"/>
      <family val="2"/>
      <scheme val="minor"/>
    </font>
    <font>
      <b/>
      <sz val="12"/>
      <color theme="1"/>
      <name val="Aptos Narrow"/>
      <family val="2"/>
      <scheme val="minor"/>
    </font>
    <font>
      <b/>
      <sz val="12"/>
      <name val="Aptos Narrow"/>
      <family val="2"/>
      <scheme val="minor"/>
    </font>
    <font>
      <b/>
      <sz val="12"/>
      <name val="Calibri (Body)_x0000_"/>
    </font>
    <font>
      <b/>
      <sz val="9"/>
      <color theme="1"/>
      <name val="Aptos Narrow"/>
      <family val="2"/>
      <scheme val="minor"/>
    </font>
    <font>
      <sz val="12"/>
      <color rgb="FF000000"/>
      <name val="Aptos Narrow"/>
      <scheme val="minor"/>
    </font>
    <font>
      <sz val="12"/>
      <color rgb="FFFF0000"/>
      <name val="Aptos Narrow"/>
      <scheme val="minor"/>
    </font>
    <font>
      <sz val="12"/>
      <color theme="1"/>
      <name val="Aptos Narrow"/>
      <scheme val="minor"/>
    </font>
  </fonts>
  <fills count="8">
    <fill>
      <patternFill patternType="none"/>
    </fill>
    <fill>
      <patternFill patternType="gray125"/>
    </fill>
    <fill>
      <patternFill patternType="solid">
        <fgColor theme="7" tint="0.79998168889431442"/>
        <bgColor indexed="65"/>
      </patternFill>
    </fill>
    <fill>
      <patternFill patternType="solid">
        <fgColor theme="8" tint="0.39997558519241921"/>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3" fillId="2" borderId="1">
      <alignment vertical="center"/>
      <protection locked="0"/>
    </xf>
  </cellStyleXfs>
  <cellXfs count="29">
    <xf numFmtId="0" fontId="0" fillId="0" borderId="0" xfId="0"/>
    <xf numFmtId="0" fontId="4" fillId="3" borderId="2" xfId="0" applyFont="1" applyFill="1" applyBorder="1" applyAlignment="1">
      <alignment horizontal="left" vertical="center" indent="1"/>
    </xf>
    <xf numFmtId="0" fontId="0" fillId="3" borderId="2" xfId="0" applyFill="1" applyBorder="1"/>
    <xf numFmtId="0" fontId="5" fillId="3" borderId="2" xfId="1" applyFont="1" applyFill="1" applyBorder="1" applyAlignment="1">
      <alignment horizontal="center" vertical="center" wrapText="1"/>
    </xf>
    <xf numFmtId="0" fontId="6" fillId="3"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2" fillId="3" borderId="2" xfId="0" applyFont="1" applyFill="1" applyBorder="1" applyAlignment="1">
      <alignment wrapText="1"/>
    </xf>
    <xf numFmtId="0" fontId="5" fillId="0" borderId="2" xfId="1" applyFont="1" applyBorder="1" applyAlignment="1">
      <alignment horizontal="center" vertical="center" wrapText="1"/>
    </xf>
    <xf numFmtId="0" fontId="5" fillId="0" borderId="2" xfId="1" applyFont="1" applyBorder="1" applyAlignment="1">
      <alignment vertical="center" wrapText="1"/>
    </xf>
    <xf numFmtId="0" fontId="2" fillId="4" borderId="2" xfId="0" applyFont="1" applyFill="1" applyBorder="1" applyAlignment="1">
      <alignment vertical="center" wrapText="1"/>
    </xf>
    <xf numFmtId="0" fontId="2" fillId="5" borderId="2" xfId="0" applyFont="1" applyFill="1" applyBorder="1" applyAlignment="1">
      <alignment horizontal="center" vertical="center" wrapText="1"/>
    </xf>
    <xf numFmtId="0" fontId="5" fillId="6" borderId="2" xfId="1" applyFont="1" applyFill="1" applyBorder="1" applyAlignment="1">
      <alignment horizontal="left" vertical="center" wrapText="1"/>
    </xf>
    <xf numFmtId="0" fontId="2" fillId="4" borderId="2" xfId="0" applyFont="1" applyFill="1" applyBorder="1" applyAlignment="1">
      <alignment horizontal="center" vertical="center" wrapText="1"/>
    </xf>
    <xf numFmtId="0" fontId="2" fillId="0" borderId="2" xfId="0" applyFont="1" applyBorder="1" applyAlignment="1">
      <alignment wrapText="1"/>
    </xf>
    <xf numFmtId="0" fontId="3" fillId="0" borderId="2" xfId="1" applyFont="1" applyBorder="1" applyAlignment="1">
      <alignment horizontal="center" vertical="center" wrapText="1"/>
    </xf>
    <xf numFmtId="0" fontId="3" fillId="0" borderId="2" xfId="1" applyFont="1" applyBorder="1" applyAlignment="1">
      <alignment vertical="center" wrapText="1"/>
    </xf>
    <xf numFmtId="0" fontId="0" fillId="4" borderId="2" xfId="0" applyFill="1" applyBorder="1" applyAlignment="1">
      <alignment vertical="center" wrapText="1"/>
    </xf>
    <xf numFmtId="0" fontId="0" fillId="5" borderId="2" xfId="0" applyFill="1" applyBorder="1" applyAlignment="1">
      <alignment horizontal="center" vertical="center" wrapText="1"/>
    </xf>
    <xf numFmtId="0" fontId="0" fillId="4" borderId="2" xfId="0"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wrapText="1"/>
    </xf>
    <xf numFmtId="0" fontId="3" fillId="2" borderId="2" xfId="2" applyBorder="1" applyAlignment="1">
      <alignment vertical="center" wrapText="1"/>
      <protection locked="0"/>
    </xf>
    <xf numFmtId="0" fontId="0" fillId="0" borderId="2" xfId="0" applyBorder="1" applyAlignment="1">
      <alignment vertical="center" wrapText="1"/>
    </xf>
    <xf numFmtId="0" fontId="1" fillId="0" borderId="2" xfId="0" applyFont="1" applyBorder="1" applyAlignment="1">
      <alignment horizontal="center" vertical="center" wrapText="1"/>
    </xf>
    <xf numFmtId="0" fontId="11" fillId="0" borderId="2" xfId="1" applyFont="1" applyBorder="1" applyAlignment="1">
      <alignment vertical="center" wrapText="1"/>
    </xf>
    <xf numFmtId="0" fontId="11" fillId="4" borderId="2" xfId="0" applyFont="1" applyFill="1" applyBorder="1" applyAlignment="1">
      <alignment horizontal="center" vertical="center" wrapText="1"/>
    </xf>
    <xf numFmtId="0" fontId="11" fillId="4" borderId="2" xfId="0" applyFont="1" applyFill="1" applyBorder="1" applyAlignment="1">
      <alignment vertical="center" wrapText="1"/>
    </xf>
  </cellXfs>
  <cellStyles count="3">
    <cellStyle name="Fill in" xfId="2" xr:uid="{B4DB6F11-4628-4C66-95BA-4C7E5EF9B814}"/>
    <cellStyle name="Normal 2" xfId="1" xr:uid="{A80DA7B3-C7FC-4748-A97D-84ECD1E81EA4}"/>
    <cellStyle name="표준"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badesal\Downloads\DREAMZzz%20fka%20TITAN_S3_ProductionMetadata_DubbingBible_v02_Sept26-2024.xlsx" TargetMode="External"/><Relationship Id="rId1" Type="http://schemas.openxmlformats.org/officeDocument/2006/relationships/externalLinkPath" Target="file:///C:\Users\gbadesal\Downloads\DREAMZzz%20fka%20TITAN_S3_ProductionMetadata_DubbingBible_v02_Sept26-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MPLATE INFO - PLEASE READ"/>
      <sheetName val="GENERAL INFO"/>
      <sheetName val="SONG LIST"/>
      <sheetName val="KEY PHRASES, LOCATIONS, PROPS.."/>
      <sheetName val="LOGLINES &amp; SYNOPSES"/>
      <sheetName val="CHARACTER LIST"/>
      <sheetName val="DUBBING BIBLE"/>
      <sheetName val="TITLES, LOGLINES &amp; SYNOPSES"/>
      <sheetName val="TERMS LIST"/>
      <sheetName val="CREDITS"/>
    </sheetNames>
    <sheetDataSet>
      <sheetData sheetId="0"/>
      <sheetData sheetId="1">
        <row r="6">
          <cell r="C6" t="str">
            <v>LEGO®</v>
          </cell>
          <cell r="D6" t="str">
            <v>DREAMZzz</v>
          </cell>
          <cell r="E6" t="str">
            <v>Enter The Cyber Game</v>
          </cell>
        </row>
        <row r="8">
          <cell r="C8">
            <v>3</v>
          </cell>
        </row>
        <row r="10">
          <cell r="C10">
            <v>2025</v>
          </cell>
        </row>
      </sheetData>
      <sheetData sheetId="2"/>
      <sheetData sheetId="3"/>
      <sheetData sheetId="4">
        <row r="7">
          <cell r="D7" t="str">
            <v xml:space="preserve">The dream chaser’s jobs are on the line now that the dream world is under the guardianship of a mysterious new hero called “Dreamsmasher.” </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E0E8E-FF4E-42A6-999C-3BB15DDF8AB1}">
  <sheetPr>
    <tabColor theme="0" tint="-0.249977111117893"/>
  </sheetPr>
  <dimension ref="A1:K44"/>
  <sheetViews>
    <sheetView tabSelected="1" zoomScale="60" zoomScaleNormal="60" workbookViewId="0">
      <pane ySplit="2" topLeftCell="F20" activePane="bottomLeft" state="frozen"/>
      <selection pane="bottomLeft" activeCell="J21" sqref="J21"/>
    </sheetView>
  </sheetViews>
  <sheetFormatPr defaultColWidth="9.125" defaultRowHeight="15.75" customHeight="1" outlineLevelCol="1"/>
  <cols>
    <col min="1" max="1" width="25.125" style="21" customWidth="1"/>
    <col min="2" max="3" width="27.625" style="24" customWidth="1"/>
    <col min="4" max="4" width="1.5" style="19" customWidth="1"/>
    <col min="5" max="5" width="45.875" style="24" customWidth="1" outlineLevel="1"/>
    <col min="6" max="6" width="45.875" style="21" customWidth="1"/>
    <col min="7" max="7" width="6" style="21" customWidth="1"/>
    <col min="8" max="8" width="1.5" style="19" customWidth="1"/>
    <col min="9" max="9" width="73" style="24" customWidth="1" outlineLevel="1"/>
    <col min="10" max="10" width="73" style="24" customWidth="1"/>
    <col min="11" max="11" width="5.375" style="21" customWidth="1"/>
    <col min="12" max="16384" width="9.125" style="22"/>
  </cols>
  <sheetData>
    <row r="1" spans="1:11" s="2" customFormat="1" ht="31.5">
      <c r="A1" s="1" t="str">
        <f>"LOGLINES &amp; SYNOPSES - "&amp;" "&amp;'[1]GENERAL INFO'!C6&amp;" "&amp;'[1]GENERAL INFO'!D6&amp;" "&amp;'[1]GENERAL INFO'!E6&amp;","&amp;" "&amp;"Season"&amp;" "&amp;'[1]GENERAL INFO'!C8&amp;" "&amp;"("&amp;'[1]GENERAL INFO'!C10&amp;")"</f>
        <v>LOGLINES &amp; SYNOPSES -  LEGO® DREAMZzz Enter The Cyber Game, Season 3 (2025)</v>
      </c>
    </row>
    <row r="2" spans="1:11" s="8" customFormat="1" ht="23.25">
      <c r="A2" s="3" t="s">
        <v>0</v>
      </c>
      <c r="B2" s="3" t="s">
        <v>1</v>
      </c>
      <c r="C2" s="4" t="s">
        <v>2</v>
      </c>
      <c r="D2" s="5"/>
      <c r="E2" s="6" t="s">
        <v>3</v>
      </c>
      <c r="F2" s="4" t="s">
        <v>4</v>
      </c>
      <c r="G2" s="7" t="s">
        <v>5</v>
      </c>
      <c r="H2" s="5"/>
      <c r="I2" s="6" t="s">
        <v>6</v>
      </c>
      <c r="J2" s="4" t="s">
        <v>7</v>
      </c>
      <c r="K2" s="7" t="s">
        <v>8</v>
      </c>
    </row>
    <row r="3" spans="1:11" s="15" customFormat="1">
      <c r="A3" s="9" t="s">
        <v>9</v>
      </c>
      <c r="B3" s="10" t="s">
        <v>10</v>
      </c>
      <c r="C3" s="11"/>
      <c r="D3" s="12"/>
      <c r="E3" s="13"/>
      <c r="F3" s="14"/>
      <c r="G3" s="25">
        <f>LEN(F3)</f>
        <v>0</v>
      </c>
      <c r="H3" s="12"/>
      <c r="I3" s="13"/>
      <c r="J3" s="11"/>
      <c r="K3" s="25">
        <f>LEN(J3)</f>
        <v>0</v>
      </c>
    </row>
    <row r="4" spans="1:11" s="15" customFormat="1" ht="77.25">
      <c r="A4" s="9" t="s">
        <v>11</v>
      </c>
      <c r="B4" s="10" t="s">
        <v>12</v>
      </c>
      <c r="C4" s="11" t="s">
        <v>13</v>
      </c>
      <c r="D4" s="12"/>
      <c r="E4" s="13" t="s">
        <v>14</v>
      </c>
      <c r="F4" s="14" t="s">
        <v>15</v>
      </c>
      <c r="G4" s="25">
        <f>LEN(F4)</f>
        <v>83</v>
      </c>
      <c r="H4" s="12"/>
      <c r="I4" s="13" t="s">
        <v>16</v>
      </c>
      <c r="J4" s="11" t="s">
        <v>17</v>
      </c>
      <c r="K4" s="25">
        <f>LEN(J4)</f>
        <v>183</v>
      </c>
    </row>
    <row r="5" spans="1:11" ht="87">
      <c r="A5" s="16" t="s">
        <v>18</v>
      </c>
      <c r="B5" s="17" t="s">
        <v>19</v>
      </c>
      <c r="C5" s="18" t="s">
        <v>20</v>
      </c>
      <c r="E5" s="17" t="s">
        <v>21</v>
      </c>
      <c r="F5" s="20" t="s">
        <v>22</v>
      </c>
      <c r="G5" s="25">
        <f>LEN(F5)</f>
        <v>86</v>
      </c>
      <c r="I5" s="17" t="s">
        <v>23</v>
      </c>
      <c r="J5" s="18" t="s">
        <v>24</v>
      </c>
      <c r="K5" s="25">
        <f>LEN(J5)</f>
        <v>196</v>
      </c>
    </row>
    <row r="6" spans="1:11" ht="87">
      <c r="A6" s="16" t="s">
        <v>25</v>
      </c>
      <c r="B6" s="17" t="s">
        <v>26</v>
      </c>
      <c r="C6" s="18" t="s">
        <v>27</v>
      </c>
      <c r="E6" s="17" t="s">
        <v>28</v>
      </c>
      <c r="F6" s="20" t="s">
        <v>29</v>
      </c>
      <c r="G6" s="25">
        <f>LEN(F6)</f>
        <v>82</v>
      </c>
      <c r="I6" s="17" t="s">
        <v>30</v>
      </c>
      <c r="J6" s="18" t="s">
        <v>31</v>
      </c>
      <c r="K6" s="25">
        <f>LEN(J6)</f>
        <v>217</v>
      </c>
    </row>
    <row r="7" spans="1:11" ht="87">
      <c r="A7" s="16" t="s">
        <v>32</v>
      </c>
      <c r="B7" s="17" t="s">
        <v>33</v>
      </c>
      <c r="C7" s="18" t="s">
        <v>34</v>
      </c>
      <c r="E7" s="17" t="s">
        <v>35</v>
      </c>
      <c r="F7" s="20" t="s">
        <v>36</v>
      </c>
      <c r="G7" s="25">
        <f>LEN(F7)</f>
        <v>62</v>
      </c>
      <c r="I7" s="17" t="s">
        <v>37</v>
      </c>
      <c r="J7" s="18" t="s">
        <v>38</v>
      </c>
      <c r="K7" s="25">
        <f>LEN(J7)</f>
        <v>203</v>
      </c>
    </row>
    <row r="8" spans="1:11" ht="87">
      <c r="A8" s="16" t="s">
        <v>39</v>
      </c>
      <c r="B8" s="17" t="s">
        <v>40</v>
      </c>
      <c r="C8" s="18" t="s">
        <v>41</v>
      </c>
      <c r="E8" s="17" t="s">
        <v>42</v>
      </c>
      <c r="F8" s="20" t="s">
        <v>43</v>
      </c>
      <c r="G8" s="25">
        <f>LEN(F8)</f>
        <v>76</v>
      </c>
      <c r="I8" s="17" t="s">
        <v>44</v>
      </c>
      <c r="J8" s="18" t="s">
        <v>45</v>
      </c>
      <c r="K8" s="25">
        <f>LEN(J8)</f>
        <v>217</v>
      </c>
    </row>
    <row r="9" spans="1:11" ht="69">
      <c r="A9" s="16" t="s">
        <v>46</v>
      </c>
      <c r="B9" s="17" t="s">
        <v>47</v>
      </c>
      <c r="C9" s="23" t="s">
        <v>48</v>
      </c>
      <c r="E9" s="17" t="s">
        <v>49</v>
      </c>
      <c r="F9" s="20" t="s">
        <v>50</v>
      </c>
      <c r="G9" s="25">
        <f>LEN(F9)</f>
        <v>74</v>
      </c>
      <c r="I9" s="17" t="s">
        <v>51</v>
      </c>
      <c r="J9" s="18" t="s">
        <v>52</v>
      </c>
      <c r="K9" s="25">
        <f>LEN(J9)</f>
        <v>146</v>
      </c>
    </row>
    <row r="10" spans="1:11" ht="69">
      <c r="A10" s="16" t="s">
        <v>53</v>
      </c>
      <c r="B10" s="17" t="s">
        <v>54</v>
      </c>
      <c r="C10" s="18" t="s">
        <v>55</v>
      </c>
      <c r="E10" s="17" t="s">
        <v>56</v>
      </c>
      <c r="F10" s="20" t="s">
        <v>57</v>
      </c>
      <c r="G10" s="25">
        <f>LEN(F10)</f>
        <v>55</v>
      </c>
      <c r="I10" s="17" t="s">
        <v>58</v>
      </c>
      <c r="J10" s="18" t="s">
        <v>59</v>
      </c>
      <c r="K10" s="25">
        <f>LEN(J10)</f>
        <v>172</v>
      </c>
    </row>
    <row r="11" spans="1:11" ht="69">
      <c r="A11" s="16" t="s">
        <v>60</v>
      </c>
      <c r="B11" s="17" t="s">
        <v>61</v>
      </c>
      <c r="C11" s="18" t="s">
        <v>62</v>
      </c>
      <c r="E11" s="17" t="s">
        <v>63</v>
      </c>
      <c r="F11" s="20" t="s">
        <v>64</v>
      </c>
      <c r="G11" s="25">
        <f>LEN(F11)</f>
        <v>62</v>
      </c>
      <c r="I11" s="17" t="s">
        <v>65</v>
      </c>
      <c r="J11" s="18" t="s">
        <v>66</v>
      </c>
      <c r="K11" s="25">
        <f>LEN(J11)</f>
        <v>177</v>
      </c>
    </row>
    <row r="12" spans="1:11" ht="69">
      <c r="A12" s="16" t="s">
        <v>67</v>
      </c>
      <c r="B12" s="17" t="s">
        <v>68</v>
      </c>
      <c r="C12" s="18" t="s">
        <v>69</v>
      </c>
      <c r="E12" s="17" t="s">
        <v>70</v>
      </c>
      <c r="F12" s="20" t="s">
        <v>71</v>
      </c>
      <c r="G12" s="25">
        <f>LEN(F12)</f>
        <v>63</v>
      </c>
      <c r="I12" s="17" t="s">
        <v>72</v>
      </c>
      <c r="J12" s="18" t="s">
        <v>73</v>
      </c>
      <c r="K12" s="25">
        <f>LEN(J12)</f>
        <v>152</v>
      </c>
    </row>
    <row r="13" spans="1:11" ht="87">
      <c r="A13" s="16" t="s">
        <v>74</v>
      </c>
      <c r="B13" s="17" t="s">
        <v>75</v>
      </c>
      <c r="C13" s="18" t="s">
        <v>76</v>
      </c>
      <c r="E13" s="17" t="s">
        <v>77</v>
      </c>
      <c r="F13" s="20" t="s">
        <v>78</v>
      </c>
      <c r="G13" s="25">
        <f>LEN(F13)</f>
        <v>71</v>
      </c>
      <c r="I13" s="17" t="s">
        <v>79</v>
      </c>
      <c r="J13" s="18" t="s">
        <v>80</v>
      </c>
      <c r="K13" s="25">
        <f>LEN(J13)</f>
        <v>203</v>
      </c>
    </row>
    <row r="14" spans="1:11" ht="87">
      <c r="A14" s="16" t="s">
        <v>81</v>
      </c>
      <c r="B14" s="17" t="s">
        <v>82</v>
      </c>
      <c r="C14" s="18" t="s">
        <v>83</v>
      </c>
      <c r="E14" s="17" t="s">
        <v>84</v>
      </c>
      <c r="F14" s="20" t="s">
        <v>85</v>
      </c>
      <c r="G14" s="25">
        <f>LEN(F14)</f>
        <v>69</v>
      </c>
      <c r="I14" s="17" t="s">
        <v>86</v>
      </c>
      <c r="J14" s="18" t="s">
        <v>87</v>
      </c>
      <c r="K14" s="25">
        <f>LEN(J14)</f>
        <v>192</v>
      </c>
    </row>
    <row r="15" spans="1:11" ht="87">
      <c r="A15" s="16" t="s">
        <v>88</v>
      </c>
      <c r="B15" s="17" t="s">
        <v>89</v>
      </c>
      <c r="C15" s="18" t="s">
        <v>90</v>
      </c>
      <c r="E15" s="26" t="s">
        <v>91</v>
      </c>
      <c r="F15" s="27" t="s">
        <v>92</v>
      </c>
      <c r="G15" s="25">
        <f>LEN(F15)</f>
        <v>77</v>
      </c>
      <c r="I15" s="26" t="s">
        <v>93</v>
      </c>
      <c r="J15" s="28" t="s">
        <v>94</v>
      </c>
      <c r="K15" s="25">
        <f>LEN(J15)</f>
        <v>196</v>
      </c>
    </row>
    <row r="16" spans="1:11" ht="87">
      <c r="A16" s="16" t="s">
        <v>95</v>
      </c>
      <c r="B16" s="17" t="s">
        <v>96</v>
      </c>
      <c r="C16" s="18" t="s">
        <v>97</v>
      </c>
      <c r="E16" s="17" t="s">
        <v>98</v>
      </c>
      <c r="F16" s="20" t="s">
        <v>99</v>
      </c>
      <c r="G16" s="25">
        <f>LEN(F16)</f>
        <v>84</v>
      </c>
      <c r="I16" s="17" t="s">
        <v>100</v>
      </c>
      <c r="J16" s="18" t="s">
        <v>101</v>
      </c>
      <c r="K16" s="25">
        <f>LEN(J16)</f>
        <v>221</v>
      </c>
    </row>
    <row r="17" spans="1:11" ht="87">
      <c r="A17" s="16" t="s">
        <v>102</v>
      </c>
      <c r="B17" s="17" t="s">
        <v>103</v>
      </c>
      <c r="C17" s="18" t="s">
        <v>104</v>
      </c>
      <c r="E17" s="17" t="s">
        <v>105</v>
      </c>
      <c r="F17" s="20" t="s">
        <v>106</v>
      </c>
      <c r="G17" s="25">
        <f>LEN(F17)</f>
        <v>72</v>
      </c>
      <c r="I17" s="17" t="s">
        <v>107</v>
      </c>
      <c r="J17" s="18" t="s">
        <v>108</v>
      </c>
      <c r="K17" s="25">
        <f>LEN(J17)</f>
        <v>213</v>
      </c>
    </row>
    <row r="18" spans="1:11" ht="87">
      <c r="A18" s="16" t="s">
        <v>109</v>
      </c>
      <c r="B18" s="17" t="s">
        <v>110</v>
      </c>
      <c r="C18" s="18" t="s">
        <v>111</v>
      </c>
      <c r="E18" s="17" t="s">
        <v>112</v>
      </c>
      <c r="F18" s="20" t="s">
        <v>113</v>
      </c>
      <c r="G18" s="25">
        <f>LEN(F18)</f>
        <v>80</v>
      </c>
      <c r="I18" s="17" t="s">
        <v>114</v>
      </c>
      <c r="J18" s="18" t="s">
        <v>115</v>
      </c>
      <c r="K18" s="25">
        <f>LEN(J18)</f>
        <v>199</v>
      </c>
    </row>
    <row r="19" spans="1:11" ht="87">
      <c r="A19" s="16" t="s">
        <v>116</v>
      </c>
      <c r="B19" s="17" t="s">
        <v>117</v>
      </c>
      <c r="C19" s="18" t="s">
        <v>118</v>
      </c>
      <c r="E19" s="17" t="s">
        <v>119</v>
      </c>
      <c r="F19" s="20" t="s">
        <v>120</v>
      </c>
      <c r="G19" s="25">
        <f>LEN(F19)</f>
        <v>85</v>
      </c>
      <c r="I19" s="17" t="s">
        <v>121</v>
      </c>
      <c r="J19" s="18" t="s">
        <v>122</v>
      </c>
      <c r="K19" s="25">
        <f>LEN(J19)</f>
        <v>183</v>
      </c>
    </row>
    <row r="20" spans="1:11" ht="77.25">
      <c r="A20" s="16" t="s">
        <v>123</v>
      </c>
      <c r="B20" s="17" t="s">
        <v>124</v>
      </c>
      <c r="C20" s="18" t="s">
        <v>125</v>
      </c>
      <c r="E20" s="17" t="s">
        <v>126</v>
      </c>
      <c r="F20" s="20"/>
      <c r="G20" s="25">
        <f>LEN(F20)</f>
        <v>0</v>
      </c>
      <c r="I20" s="17" t="s">
        <v>127</v>
      </c>
      <c r="J20" s="18"/>
      <c r="K20" s="25">
        <f>LEN(J20)</f>
        <v>0</v>
      </c>
    </row>
    <row r="21" spans="1:11" ht="61.5">
      <c r="A21" s="16" t="s">
        <v>128</v>
      </c>
      <c r="B21" s="17" t="s">
        <v>129</v>
      </c>
      <c r="C21" s="18" t="s">
        <v>130</v>
      </c>
      <c r="E21" s="17" t="s">
        <v>131</v>
      </c>
      <c r="F21" s="20"/>
      <c r="G21" s="25">
        <f>LEN(F21)</f>
        <v>0</v>
      </c>
      <c r="I21" s="17" t="s">
        <v>132</v>
      </c>
      <c r="J21" s="18"/>
      <c r="K21" s="25">
        <f>LEN(J21)</f>
        <v>0</v>
      </c>
    </row>
    <row r="22" spans="1:11" ht="46.5">
      <c r="A22" s="16" t="s">
        <v>133</v>
      </c>
      <c r="B22" s="17" t="s">
        <v>134</v>
      </c>
      <c r="C22" s="18" t="s">
        <v>135</v>
      </c>
      <c r="E22" s="17" t="s">
        <v>136</v>
      </c>
      <c r="F22" s="20"/>
      <c r="G22" s="25">
        <f>LEN(F22)</f>
        <v>0</v>
      </c>
      <c r="I22" s="17" t="s">
        <v>137</v>
      </c>
      <c r="J22" s="18"/>
      <c r="K22" s="25">
        <f>LEN(J22)</f>
        <v>0</v>
      </c>
    </row>
    <row r="23" spans="1:11" ht="77.25">
      <c r="A23" s="16" t="s">
        <v>138</v>
      </c>
      <c r="B23" s="17" t="s">
        <v>139</v>
      </c>
      <c r="C23" s="18"/>
      <c r="E23" s="17" t="s">
        <v>140</v>
      </c>
      <c r="F23" s="20"/>
      <c r="G23" s="25">
        <f>LEN(F23)</f>
        <v>0</v>
      </c>
      <c r="I23" s="17" t="s">
        <v>141</v>
      </c>
      <c r="J23" s="18"/>
      <c r="K23" s="25">
        <f>LEN(J23)</f>
        <v>0</v>
      </c>
    </row>
    <row r="24" spans="1:11" ht="61.5">
      <c r="A24" s="16" t="s">
        <v>142</v>
      </c>
      <c r="B24" s="17" t="s">
        <v>143</v>
      </c>
      <c r="C24" s="18"/>
      <c r="E24" s="17" t="s">
        <v>144</v>
      </c>
      <c r="F24" s="20"/>
      <c r="G24" s="25">
        <f>LEN(F24)</f>
        <v>0</v>
      </c>
      <c r="I24" s="17" t="s">
        <v>145</v>
      </c>
      <c r="J24" s="18"/>
      <c r="K24" s="25">
        <f>LEN(J24)</f>
        <v>0</v>
      </c>
    </row>
    <row r="25" spans="1:11">
      <c r="A25" s="16" t="str">
        <f>IF('[1]GENERAL INFO'!H26&lt;&gt;"","Ep."&amp;" "&amp;'[1]GENERAL INFO'!H26,"")</f>
        <v/>
      </c>
      <c r="B25" s="17" t="str">
        <f>IF('[1]GENERAL INFO'!J26&lt;&gt;"",'[1]GENERAL INFO'!J26,"")</f>
        <v/>
      </c>
      <c r="C25" s="18"/>
      <c r="E25" s="17" t="str">
        <f>IF('[1]LOGLINES &amp; SYNOPSES'!D27&lt;&gt;"",'[1]LOGLINES &amp; SYNOPSES'!D27,"")</f>
        <v/>
      </c>
      <c r="F25" s="20"/>
      <c r="G25" s="21" t="e">
        <f>LEN(#REF!)</f>
        <v>#REF!</v>
      </c>
      <c r="I25" s="17" t="s">
        <v>146</v>
      </c>
      <c r="J25" s="18"/>
      <c r="K25" s="21" t="e">
        <f>LEN(#REF!)</f>
        <v>#REF!</v>
      </c>
    </row>
    <row r="26" spans="1:11">
      <c r="A26" s="16" t="str">
        <f>IF('[1]GENERAL INFO'!H27&lt;&gt;"","Ep."&amp;" "&amp;'[1]GENERAL INFO'!H27,"")</f>
        <v/>
      </c>
      <c r="B26" s="17" t="str">
        <f>IF('[1]GENERAL INFO'!J27&lt;&gt;"",'[1]GENERAL INFO'!J27,"")</f>
        <v/>
      </c>
      <c r="C26" s="18"/>
      <c r="E26" s="17" t="str">
        <f>IF('[1]LOGLINES &amp; SYNOPSES'!D28&lt;&gt;"",'[1]LOGLINES &amp; SYNOPSES'!D28,"")</f>
        <v/>
      </c>
      <c r="F26" s="20"/>
      <c r="G26" s="21" t="e">
        <f>LEN(#REF!)</f>
        <v>#REF!</v>
      </c>
      <c r="I26" s="17" t="str">
        <f>IF('[1]LOGLINES &amp; SYNOPSES'!F28&lt;&gt;"",'[1]LOGLINES &amp; SYNOPSES'!F28,"")</f>
        <v/>
      </c>
      <c r="J26" s="18"/>
      <c r="K26" s="21" t="e">
        <f>LEN(#REF!)</f>
        <v>#REF!</v>
      </c>
    </row>
    <row r="27" spans="1:11">
      <c r="A27" s="16" t="str">
        <f>IF('[1]GENERAL INFO'!H28&lt;&gt;"","Ep."&amp;" "&amp;'[1]GENERAL INFO'!H28,"")</f>
        <v/>
      </c>
      <c r="B27" s="17" t="str">
        <f>IF('[1]GENERAL INFO'!J28&lt;&gt;"",'[1]GENERAL INFO'!J28,"")</f>
        <v/>
      </c>
      <c r="C27" s="18"/>
      <c r="E27" s="17" t="str">
        <f>IF('[1]LOGLINES &amp; SYNOPSES'!D29&lt;&gt;"",'[1]LOGLINES &amp; SYNOPSES'!D29,"")</f>
        <v/>
      </c>
      <c r="F27" s="20"/>
      <c r="G27" s="21" t="e">
        <f>LEN(#REF!)</f>
        <v>#REF!</v>
      </c>
      <c r="I27" s="17" t="str">
        <f>IF('[1]LOGLINES &amp; SYNOPSES'!F29&lt;&gt;"",'[1]LOGLINES &amp; SYNOPSES'!F29,"")</f>
        <v/>
      </c>
      <c r="J27" s="18"/>
      <c r="K27" s="21" t="e">
        <f>LEN(#REF!)</f>
        <v>#REF!</v>
      </c>
    </row>
    <row r="28" spans="1:11">
      <c r="A28" s="16" t="str">
        <f>IF('[1]GENERAL INFO'!H29&lt;&gt;"","Ep."&amp;" "&amp;'[1]GENERAL INFO'!H29,"")</f>
        <v/>
      </c>
      <c r="B28" s="17" t="str">
        <f>IF('[1]GENERAL INFO'!J29&lt;&gt;"",'[1]GENERAL INFO'!J29,"")</f>
        <v/>
      </c>
      <c r="C28" s="18"/>
      <c r="E28" s="17" t="str">
        <f>IF('[1]LOGLINES &amp; SYNOPSES'!D30&lt;&gt;"",'[1]LOGLINES &amp; SYNOPSES'!D30,"")</f>
        <v/>
      </c>
      <c r="F28" s="20"/>
      <c r="G28" s="21" t="e">
        <f>LEN(#REF!)</f>
        <v>#REF!</v>
      </c>
      <c r="I28" s="17" t="str">
        <f>IF('[1]LOGLINES &amp; SYNOPSES'!F30&lt;&gt;"",'[1]LOGLINES &amp; SYNOPSES'!F30,"")</f>
        <v/>
      </c>
      <c r="J28" s="18"/>
      <c r="K28" s="21" t="e">
        <f>LEN(#REF!)</f>
        <v>#REF!</v>
      </c>
    </row>
    <row r="29" spans="1:11">
      <c r="A29" s="16" t="str">
        <f>IF('[1]GENERAL INFO'!H30&lt;&gt;"","Ep."&amp;" "&amp;'[1]GENERAL INFO'!H30,"")</f>
        <v/>
      </c>
      <c r="B29" s="17" t="str">
        <f>IF('[1]GENERAL INFO'!J30&lt;&gt;"",'[1]GENERAL INFO'!J30,"")</f>
        <v/>
      </c>
      <c r="C29" s="18"/>
      <c r="E29" s="17" t="str">
        <f>IF('[1]LOGLINES &amp; SYNOPSES'!D31&lt;&gt;"",'[1]LOGLINES &amp; SYNOPSES'!D31,"")</f>
        <v/>
      </c>
      <c r="F29" s="20"/>
      <c r="G29" s="21" t="e">
        <f>LEN(#REF!)</f>
        <v>#REF!</v>
      </c>
      <c r="I29" s="17" t="str">
        <f>IF('[1]LOGLINES &amp; SYNOPSES'!F31&lt;&gt;"",'[1]LOGLINES &amp; SYNOPSES'!F31,"")</f>
        <v/>
      </c>
      <c r="J29" s="18"/>
      <c r="K29" s="21" t="e">
        <f>LEN(#REF!)</f>
        <v>#REF!</v>
      </c>
    </row>
    <row r="30" spans="1:11">
      <c r="A30" s="16" t="str">
        <f>IF('[1]GENERAL INFO'!H31&lt;&gt;"","Ep."&amp;" "&amp;'[1]GENERAL INFO'!H31,"")</f>
        <v/>
      </c>
      <c r="B30" s="17" t="str">
        <f>IF('[1]GENERAL INFO'!J31&lt;&gt;"",'[1]GENERAL INFO'!J31,"")</f>
        <v/>
      </c>
      <c r="C30" s="18"/>
      <c r="E30" s="17" t="str">
        <f>IF('[1]LOGLINES &amp; SYNOPSES'!D32&lt;&gt;"",'[1]LOGLINES &amp; SYNOPSES'!D32,"")</f>
        <v/>
      </c>
      <c r="F30" s="20"/>
      <c r="G30" s="21" t="e">
        <f>LEN(#REF!)</f>
        <v>#REF!</v>
      </c>
      <c r="I30" s="17" t="str">
        <f>IF('[1]LOGLINES &amp; SYNOPSES'!F32&lt;&gt;"",'[1]LOGLINES &amp; SYNOPSES'!F32,"")</f>
        <v/>
      </c>
      <c r="J30" s="18"/>
      <c r="K30" s="21" t="e">
        <f>LEN(#REF!)</f>
        <v>#REF!</v>
      </c>
    </row>
    <row r="31" spans="1:11">
      <c r="A31" s="16" t="str">
        <f>IF('[1]GENERAL INFO'!H32&lt;&gt;"","Ep."&amp;" "&amp;'[1]GENERAL INFO'!H32,"")</f>
        <v/>
      </c>
      <c r="B31" s="17" t="str">
        <f>IF('[1]GENERAL INFO'!J32&lt;&gt;"",'[1]GENERAL INFO'!J32,"")</f>
        <v/>
      </c>
      <c r="C31" s="18"/>
      <c r="E31" s="17" t="str">
        <f>IF('[1]LOGLINES &amp; SYNOPSES'!D33&lt;&gt;"",'[1]LOGLINES &amp; SYNOPSES'!D33,"")</f>
        <v/>
      </c>
      <c r="F31" s="20"/>
      <c r="G31" s="21" t="e">
        <f>LEN(#REF!)</f>
        <v>#REF!</v>
      </c>
      <c r="I31" s="17" t="str">
        <f>IF('[1]LOGLINES &amp; SYNOPSES'!F33&lt;&gt;"",'[1]LOGLINES &amp; SYNOPSES'!F33,"")</f>
        <v/>
      </c>
      <c r="J31" s="18"/>
      <c r="K31" s="21" t="e">
        <f>LEN(#REF!)</f>
        <v>#REF!</v>
      </c>
    </row>
    <row r="32" spans="1:11">
      <c r="A32" s="16" t="str">
        <f>IF('[1]GENERAL INFO'!H33&lt;&gt;"","Ep."&amp;" "&amp;'[1]GENERAL INFO'!H33,"")</f>
        <v/>
      </c>
      <c r="B32" s="17" t="str">
        <f>IF('[1]GENERAL INFO'!J33&lt;&gt;"",'[1]GENERAL INFO'!J33,"")</f>
        <v/>
      </c>
      <c r="C32" s="18"/>
      <c r="E32" s="17" t="str">
        <f>IF('[1]LOGLINES &amp; SYNOPSES'!D34&lt;&gt;"",'[1]LOGLINES &amp; SYNOPSES'!D34,"")</f>
        <v/>
      </c>
      <c r="F32" s="20"/>
      <c r="G32" s="21" t="e">
        <f>LEN(#REF!)</f>
        <v>#REF!</v>
      </c>
      <c r="I32" s="17" t="str">
        <f>IF('[1]LOGLINES &amp; SYNOPSES'!F34&lt;&gt;"",'[1]LOGLINES &amp; SYNOPSES'!F34,"")</f>
        <v/>
      </c>
      <c r="J32" s="18"/>
      <c r="K32" s="21" t="e">
        <f>LEN(#REF!)</f>
        <v>#REF!</v>
      </c>
    </row>
    <row r="33" spans="1:11">
      <c r="A33" s="16" t="str">
        <f>IF('[1]GENERAL INFO'!H34&lt;&gt;"","Ep."&amp;" "&amp;'[1]GENERAL INFO'!H34,"")</f>
        <v/>
      </c>
      <c r="B33" s="17" t="str">
        <f>IF('[1]GENERAL INFO'!J34&lt;&gt;"",'[1]GENERAL INFO'!J34,"")</f>
        <v/>
      </c>
      <c r="C33" s="18"/>
      <c r="E33" s="17" t="str">
        <f>IF('[1]LOGLINES &amp; SYNOPSES'!D35&lt;&gt;"",'[1]LOGLINES &amp; SYNOPSES'!D35,"")</f>
        <v/>
      </c>
      <c r="F33" s="20"/>
      <c r="G33" s="21" t="e">
        <f>LEN(#REF!)</f>
        <v>#REF!</v>
      </c>
      <c r="I33" s="17" t="str">
        <f>IF('[1]LOGLINES &amp; SYNOPSES'!F35&lt;&gt;"",'[1]LOGLINES &amp; SYNOPSES'!F35,"")</f>
        <v/>
      </c>
      <c r="J33" s="18"/>
      <c r="K33" s="21" t="e">
        <f>LEN(#REF!)</f>
        <v>#REF!</v>
      </c>
    </row>
    <row r="34" spans="1:11">
      <c r="A34" s="16" t="str">
        <f>IF('[1]GENERAL INFO'!H35&lt;&gt;"","Ep."&amp;" "&amp;'[1]GENERAL INFO'!H35,"")</f>
        <v/>
      </c>
      <c r="B34" s="17" t="str">
        <f>IF('[1]GENERAL INFO'!J35&lt;&gt;"",'[1]GENERAL INFO'!J35,"")</f>
        <v/>
      </c>
      <c r="C34" s="18"/>
      <c r="E34" s="17" t="str">
        <f>IF('[1]LOGLINES &amp; SYNOPSES'!D36&lt;&gt;"",'[1]LOGLINES &amp; SYNOPSES'!D36,"")</f>
        <v/>
      </c>
      <c r="F34" s="20"/>
      <c r="G34" s="21" t="e">
        <f>LEN(#REF!)</f>
        <v>#REF!</v>
      </c>
      <c r="I34" s="17" t="str">
        <f>IF('[1]LOGLINES &amp; SYNOPSES'!F36&lt;&gt;"",'[1]LOGLINES &amp; SYNOPSES'!F36,"")</f>
        <v/>
      </c>
      <c r="J34" s="18"/>
      <c r="K34" s="21" t="e">
        <f>LEN(#REF!)</f>
        <v>#REF!</v>
      </c>
    </row>
    <row r="35" spans="1:11">
      <c r="A35" s="16" t="str">
        <f>IF('[1]GENERAL INFO'!H36&lt;&gt;"","Ep."&amp;" "&amp;'[1]GENERAL INFO'!H36,"")</f>
        <v/>
      </c>
      <c r="B35" s="17" t="str">
        <f>IF('[1]GENERAL INFO'!J36&lt;&gt;"",'[1]GENERAL INFO'!J36,"")</f>
        <v/>
      </c>
      <c r="C35" s="18"/>
      <c r="E35" s="17" t="str">
        <f>IF('[1]LOGLINES &amp; SYNOPSES'!D37&lt;&gt;"",'[1]LOGLINES &amp; SYNOPSES'!D37,"")</f>
        <v/>
      </c>
      <c r="F35" s="20"/>
      <c r="G35" s="21" t="e">
        <f>LEN(#REF!)</f>
        <v>#REF!</v>
      </c>
      <c r="I35" s="17" t="str">
        <f>IF('[1]LOGLINES &amp; SYNOPSES'!F37&lt;&gt;"",'[1]LOGLINES &amp; SYNOPSES'!F37,"")</f>
        <v/>
      </c>
      <c r="J35" s="18"/>
      <c r="K35" s="21" t="e">
        <f>LEN(#REF!)</f>
        <v>#REF!</v>
      </c>
    </row>
    <row r="36" spans="1:11">
      <c r="A36" s="16" t="str">
        <f>IF('[1]GENERAL INFO'!H37&lt;&gt;"","Ep."&amp;" "&amp;'[1]GENERAL INFO'!H37,"")</f>
        <v/>
      </c>
      <c r="B36" s="17" t="str">
        <f>IF('[1]GENERAL INFO'!J37&lt;&gt;"",'[1]GENERAL INFO'!J37,"")</f>
        <v/>
      </c>
      <c r="C36" s="18"/>
      <c r="E36" s="17" t="str">
        <f>IF('[1]LOGLINES &amp; SYNOPSES'!D38&lt;&gt;"",'[1]LOGLINES &amp; SYNOPSES'!D38,"")</f>
        <v/>
      </c>
      <c r="F36" s="20"/>
      <c r="G36" s="21" t="e">
        <f>LEN(#REF!)</f>
        <v>#REF!</v>
      </c>
      <c r="I36" s="17" t="str">
        <f>IF('[1]LOGLINES &amp; SYNOPSES'!F38&lt;&gt;"",'[1]LOGLINES &amp; SYNOPSES'!F38,"")</f>
        <v/>
      </c>
      <c r="J36" s="18"/>
      <c r="K36" s="21" t="e">
        <f>LEN(#REF!)</f>
        <v>#REF!</v>
      </c>
    </row>
    <row r="37" spans="1:11">
      <c r="A37" s="16" t="str">
        <f>IF('[1]GENERAL INFO'!H38&lt;&gt;"","Ep."&amp;" "&amp;'[1]GENERAL INFO'!H38,"")</f>
        <v/>
      </c>
      <c r="B37" s="17" t="str">
        <f>IF('[1]GENERAL INFO'!J38&lt;&gt;"",'[1]GENERAL INFO'!J38,"")</f>
        <v/>
      </c>
      <c r="C37" s="18"/>
      <c r="E37" s="17" t="str">
        <f>IF('[1]LOGLINES &amp; SYNOPSES'!D39&lt;&gt;"",'[1]LOGLINES &amp; SYNOPSES'!D39,"")</f>
        <v/>
      </c>
      <c r="F37" s="20"/>
      <c r="G37" s="21" t="e">
        <f>LEN(#REF!)</f>
        <v>#REF!</v>
      </c>
      <c r="I37" s="17" t="str">
        <f>IF('[1]LOGLINES &amp; SYNOPSES'!F39&lt;&gt;"",'[1]LOGLINES &amp; SYNOPSES'!F39,"")</f>
        <v/>
      </c>
      <c r="J37" s="18"/>
      <c r="K37" s="21" t="e">
        <f>LEN(#REF!)</f>
        <v>#REF!</v>
      </c>
    </row>
    <row r="38" spans="1:11">
      <c r="A38" s="16" t="str">
        <f>IF('[1]GENERAL INFO'!H39&lt;&gt;"","Ep."&amp;" "&amp;'[1]GENERAL INFO'!H39,"")</f>
        <v/>
      </c>
      <c r="B38" s="17" t="str">
        <f>IF('[1]GENERAL INFO'!J39&lt;&gt;"",'[1]GENERAL INFO'!J39,"")</f>
        <v/>
      </c>
      <c r="C38" s="18"/>
      <c r="E38" s="17" t="str">
        <f>IF('[1]LOGLINES &amp; SYNOPSES'!D40&lt;&gt;"",'[1]LOGLINES &amp; SYNOPSES'!D40,"")</f>
        <v/>
      </c>
      <c r="F38" s="20"/>
      <c r="G38" s="21" t="e">
        <f>LEN(#REF!)</f>
        <v>#REF!</v>
      </c>
      <c r="I38" s="17" t="str">
        <f>IF('[1]LOGLINES &amp; SYNOPSES'!F40&lt;&gt;"",'[1]LOGLINES &amp; SYNOPSES'!F40,"")</f>
        <v/>
      </c>
      <c r="J38" s="18"/>
      <c r="K38" s="21" t="e">
        <f>LEN(#REF!)</f>
        <v>#REF!</v>
      </c>
    </row>
    <row r="39" spans="1:11">
      <c r="A39" s="16" t="str">
        <f>IF('[1]GENERAL INFO'!H40&lt;&gt;"","Ep."&amp;" "&amp;'[1]GENERAL INFO'!H40,"")</f>
        <v/>
      </c>
      <c r="B39" s="17" t="str">
        <f>IF('[1]GENERAL INFO'!J40&lt;&gt;"",'[1]GENERAL INFO'!J40,"")</f>
        <v/>
      </c>
      <c r="C39" s="18"/>
      <c r="E39" s="17" t="str">
        <f>IF('[1]LOGLINES &amp; SYNOPSES'!D41&lt;&gt;"",'[1]LOGLINES &amp; SYNOPSES'!D41,"")</f>
        <v/>
      </c>
      <c r="F39" s="20"/>
      <c r="G39" s="21" t="e">
        <f>LEN(#REF!)</f>
        <v>#REF!</v>
      </c>
      <c r="I39" s="17" t="str">
        <f>IF('[1]LOGLINES &amp; SYNOPSES'!F41&lt;&gt;"",'[1]LOGLINES &amp; SYNOPSES'!F41,"")</f>
        <v/>
      </c>
      <c r="J39" s="18"/>
      <c r="K39" s="21" t="e">
        <f>LEN(#REF!)</f>
        <v>#REF!</v>
      </c>
    </row>
    <row r="40" spans="1:11">
      <c r="A40" s="16" t="str">
        <f>IF('[1]GENERAL INFO'!H41&lt;&gt;"","Ep."&amp;" "&amp;'[1]GENERAL INFO'!H41,"")</f>
        <v/>
      </c>
      <c r="B40" s="17" t="str">
        <f>IF('[1]GENERAL INFO'!J41&lt;&gt;"",'[1]GENERAL INFO'!J41,"")</f>
        <v/>
      </c>
      <c r="C40" s="18"/>
      <c r="E40" s="17" t="str">
        <f>IF('[1]LOGLINES &amp; SYNOPSES'!D42&lt;&gt;"",'[1]LOGLINES &amp; SYNOPSES'!D42,"")</f>
        <v/>
      </c>
      <c r="F40" s="20"/>
      <c r="G40" s="21" t="e">
        <f>LEN(#REF!)</f>
        <v>#REF!</v>
      </c>
      <c r="I40" s="17" t="str">
        <f>IF('[1]LOGLINES &amp; SYNOPSES'!F42&lt;&gt;"",'[1]LOGLINES &amp; SYNOPSES'!F42,"")</f>
        <v/>
      </c>
      <c r="J40" s="18"/>
      <c r="K40" s="21" t="e">
        <f>LEN(#REF!)</f>
        <v>#REF!</v>
      </c>
    </row>
    <row r="41" spans="1:11">
      <c r="A41" s="16" t="str">
        <f>IF('[1]GENERAL INFO'!H42&lt;&gt;"","Ep."&amp;" "&amp;'[1]GENERAL INFO'!H42,"")</f>
        <v/>
      </c>
      <c r="B41" s="17" t="str">
        <f>IF('[1]GENERAL INFO'!J42&lt;&gt;"",'[1]GENERAL INFO'!J42,"")</f>
        <v/>
      </c>
      <c r="C41" s="18"/>
      <c r="E41" s="17" t="str">
        <f>IF('[1]LOGLINES &amp; SYNOPSES'!D43&lt;&gt;"",'[1]LOGLINES &amp; SYNOPSES'!D43,"")</f>
        <v/>
      </c>
      <c r="F41" s="20"/>
      <c r="G41" s="21" t="e">
        <f>LEN(#REF!)</f>
        <v>#REF!</v>
      </c>
      <c r="I41" s="17" t="str">
        <f>IF('[1]LOGLINES &amp; SYNOPSES'!F43&lt;&gt;"",'[1]LOGLINES &amp; SYNOPSES'!F43,"")</f>
        <v/>
      </c>
      <c r="J41" s="18"/>
      <c r="K41" s="21" t="e">
        <f>LEN(#REF!)</f>
        <v>#REF!</v>
      </c>
    </row>
    <row r="42" spans="1:11">
      <c r="A42" s="16" t="str">
        <f>IF('[1]GENERAL INFO'!H43&lt;&gt;"","Ep."&amp;" "&amp;'[1]GENERAL INFO'!H43,"")</f>
        <v/>
      </c>
      <c r="B42" s="17" t="str">
        <f>IF('[1]GENERAL INFO'!J43&lt;&gt;"",'[1]GENERAL INFO'!J43,"")</f>
        <v/>
      </c>
      <c r="C42" s="18"/>
      <c r="E42" s="17" t="str">
        <f>IF('[1]LOGLINES &amp; SYNOPSES'!D44&lt;&gt;"",'[1]LOGLINES &amp; SYNOPSES'!D44,"")</f>
        <v/>
      </c>
      <c r="F42" s="20"/>
      <c r="G42" s="21" t="e">
        <f>LEN(#REF!)</f>
        <v>#REF!</v>
      </c>
      <c r="I42" s="17" t="str">
        <f>IF('[1]LOGLINES &amp; SYNOPSES'!F44&lt;&gt;"",'[1]LOGLINES &amp; SYNOPSES'!F44,"")</f>
        <v/>
      </c>
      <c r="J42" s="18"/>
      <c r="K42" s="21" t="e">
        <f>LEN(#REF!)</f>
        <v>#REF!</v>
      </c>
    </row>
    <row r="43" spans="1:11">
      <c r="A43" s="16" t="str">
        <f>IF('[1]GENERAL INFO'!H44&lt;&gt;"","Ep."&amp;" "&amp;'[1]GENERAL INFO'!H44,"")</f>
        <v/>
      </c>
      <c r="B43" s="17" t="str">
        <f>IF('[1]GENERAL INFO'!J44&lt;&gt;"",'[1]GENERAL INFO'!J44,"")</f>
        <v/>
      </c>
      <c r="C43" s="18"/>
      <c r="E43" s="17" t="str">
        <f>IF('[1]LOGLINES &amp; SYNOPSES'!D45&lt;&gt;"",'[1]LOGLINES &amp; SYNOPSES'!D45,"")</f>
        <v/>
      </c>
      <c r="F43" s="20"/>
      <c r="G43" s="21" t="e">
        <f>LEN(#REF!)</f>
        <v>#REF!</v>
      </c>
      <c r="I43" s="17" t="str">
        <f>IF('[1]LOGLINES &amp; SYNOPSES'!F45&lt;&gt;"",'[1]LOGLINES &amp; SYNOPSES'!F45,"")</f>
        <v/>
      </c>
      <c r="J43" s="18"/>
      <c r="K43" s="21" t="e">
        <f>LEN(#REF!)</f>
        <v>#REF!</v>
      </c>
    </row>
    <row r="44" spans="1:11">
      <c r="A44" s="16" t="str">
        <f>IF('[1]GENERAL INFO'!H45&lt;&gt;"","Ep."&amp;" "&amp;'[1]GENERAL INFO'!H45,"")</f>
        <v/>
      </c>
      <c r="B44" s="17" t="str">
        <f>IF('[1]GENERAL INFO'!J45&lt;&gt;"",'[1]GENERAL INFO'!J45,"")</f>
        <v/>
      </c>
      <c r="C44" s="18"/>
      <c r="E44" s="17" t="str">
        <f>IF('[1]LOGLINES &amp; SYNOPSES'!D46&lt;&gt;"",'[1]LOGLINES &amp; SYNOPSES'!D46,"")</f>
        <v/>
      </c>
      <c r="F44" s="20"/>
      <c r="G44" s="21" t="e">
        <f>LEN(#REF!)</f>
        <v>#REF!</v>
      </c>
      <c r="I44" s="17" t="str">
        <f>IF('[1]LOGLINES &amp; SYNOPSES'!F46&lt;&gt;"",'[1]LOGLINES &amp; SYNOPSES'!F46,"")</f>
        <v/>
      </c>
      <c r="J44" s="18"/>
      <c r="K44" s="21" t="e">
        <f>LEN(#REF!)</f>
        <v>#REF!</v>
      </c>
    </row>
  </sheetData>
  <sheetProtection formatColumns="0" formatRows="0" selectLockedCells="1" selectUnlockedCells="1"/>
  <conditionalFormatting sqref="K4:K24">
    <cfRule type="cellIs" dxfId="1" priority="2" operator="greaterThan">
      <formula>400</formula>
    </cfRule>
  </conditionalFormatting>
  <conditionalFormatting sqref="G4:G24">
    <cfRule type="cellIs" dxfId="0" priority="1" operator="greaterThan">
      <formula>400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0a28b43-b175-48c9-a9cb-6c1443a420ea">
      <Terms xmlns="http://schemas.microsoft.com/office/infopath/2007/PartnerControls"/>
    </lcf76f155ced4ddcb4097134ff3c332f>
    <TaxCatchAll xmlns="10dc02e7-f128-4651-a5c8-33374ff82d70"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9E7E85F80FDED49A36AFA52FE2BC38D" ma:contentTypeVersion="21" ma:contentTypeDescription="Create a new document." ma:contentTypeScope="" ma:versionID="e283a84a38e5bd20dcb8a75d5d34d84b">
  <xsd:schema xmlns:xsd="http://www.w3.org/2001/XMLSchema" xmlns:xs="http://www.w3.org/2001/XMLSchema" xmlns:p="http://schemas.microsoft.com/office/2006/metadata/properties" xmlns:ns1="http://schemas.microsoft.com/sharepoint/v3" xmlns:ns2="20a28b43-b175-48c9-a9cb-6c1443a420ea" xmlns:ns3="10dc02e7-f128-4651-a5c8-33374ff82d70" targetNamespace="http://schemas.microsoft.com/office/2006/metadata/properties" ma:root="true" ma:fieldsID="18f845234280f71199b6e0b9d0f09c06" ns1:_="" ns2:_="" ns3:_="">
    <xsd:import namespace="http://schemas.microsoft.com/sharepoint/v3"/>
    <xsd:import namespace="20a28b43-b175-48c9-a9cb-6c1443a420ea"/>
    <xsd:import namespace="10dc02e7-f128-4651-a5c8-33374ff82d7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a28b43-b175-48c9-a9cb-6c1443a420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cda59523-cae3-4a93-ad14-9717a5d946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dc02e7-f128-4651-a5c8-33374ff82d7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68a7c486-a55f-498d-96cb-ec768c24d55c}" ma:internalName="TaxCatchAll" ma:showField="CatchAllData" ma:web="10dc02e7-f128-4651-a5c8-33374ff82d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2417A4-5310-4D87-97AA-47280AFBD09D}"/>
</file>

<file path=customXml/itemProps2.xml><?xml version="1.0" encoding="utf-8"?>
<ds:datastoreItem xmlns:ds="http://schemas.openxmlformats.org/officeDocument/2006/customXml" ds:itemID="{2F4CD0A1-E889-4889-BB98-EC18BC0276E2}"/>
</file>

<file path=customXml/itemProps3.xml><?xml version="1.0" encoding="utf-8"?>
<ds:datastoreItem xmlns:ds="http://schemas.openxmlformats.org/officeDocument/2006/customXml" ds:itemID="{26A7961A-47D8-4436-A722-6A17392A48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Adewunmi Salami</dc:creator>
  <cp:keywords/>
  <dc:description/>
  <cp:lastModifiedBy>jason.lim@iyuno.com</cp:lastModifiedBy>
  <cp:revision/>
  <dcterms:created xsi:type="dcterms:W3CDTF">2024-10-04T15:08:20Z</dcterms:created>
  <dcterms:modified xsi:type="dcterms:W3CDTF">2025-04-28T09:42:28Z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0x01010099E7E85F80FDED49A36AFA52FE2BC38D</vt:lpwstr>
  </property>
  <property fmtid="{D5CDD505-2E9C-101B-9397-08002B2CF9AE}" pid="3" name="MediaServiceImageTags">
    <vt:lpwstr/>
  </property>
</Properties>
</file>