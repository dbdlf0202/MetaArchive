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mc:AlternateContent xmlns:mc="http://schemas.openxmlformats.org/markup-compatibility/2006">
    <mc:Choice Requires="x15">
      <x15ac:absPath xmlns:x15ac="http://schemas.microsoft.com/office/spreadsheetml/2010/11/ac" url="https://legogroup-my.sharepoint.com/personal/laura_bruce_lego_com/Documents/Documents/2025/Friends The Next Chapter S3/Loglines&amp;Synopsis/"/>
    </mc:Choice>
  </mc:AlternateContent>
  <xr:revisionPtr revIDLastSave="699" documentId="8_{194568CC-194D-4731-AE13-A4D9E8C0E134}" xr6:coauthVersionLast="47" xr6:coauthVersionMax="47" xr10:uidLastSave="{15DBFE90-F744-4D54-8D93-133249BB9041}"/>
  <bookViews>
    <workbookView xWindow="28680" yWindow="-120" windowWidth="29040" windowHeight="15720" xr2:uid="{383AB36F-7394-4E44-A256-84FC1E16419C}"/>
  </bookViews>
  <sheets>
    <sheet name="ORIG"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1" l="1"/>
  <c r="K23" i="1"/>
  <c r="K22" i="1"/>
  <c r="K21" i="1"/>
  <c r="K20" i="1"/>
  <c r="K19" i="1"/>
  <c r="K18" i="1"/>
  <c r="K17" i="1"/>
  <c r="K16" i="1"/>
  <c r="K15" i="1"/>
  <c r="K14" i="1"/>
  <c r="K13" i="1"/>
  <c r="K12" i="1"/>
  <c r="K11" i="1"/>
  <c r="K10" i="1"/>
  <c r="K9" i="1"/>
  <c r="K8" i="1"/>
  <c r="K7" i="1"/>
  <c r="K6" i="1"/>
  <c r="K5" i="1"/>
  <c r="K4" i="1"/>
  <c r="K3" i="1"/>
  <c r="G24" i="1"/>
  <c r="G23" i="1"/>
  <c r="G22" i="1"/>
  <c r="G21" i="1"/>
  <c r="G20" i="1"/>
  <c r="G19" i="1"/>
  <c r="G18" i="1"/>
  <c r="G17" i="1"/>
  <c r="G16" i="1"/>
  <c r="G15" i="1"/>
  <c r="G14" i="1"/>
  <c r="G13" i="1"/>
  <c r="G12" i="1"/>
  <c r="G11" i="1"/>
  <c r="G10" i="1"/>
  <c r="G9" i="1"/>
  <c r="G8" i="1"/>
  <c r="G7" i="1"/>
  <c r="G6" i="1"/>
  <c r="G5" i="1"/>
  <c r="G4" i="1"/>
  <c r="G3" i="1"/>
  <c r="E20" i="1"/>
  <c r="E12" i="1"/>
  <c r="I15" i="1"/>
  <c r="E11" i="1"/>
  <c r="I10" i="1"/>
  <c r="I3" i="1"/>
  <c r="E3" i="1"/>
  <c r="I9" i="1"/>
  <c r="E5" i="1"/>
  <c r="A24" i="1"/>
  <c r="A23" i="1"/>
  <c r="A22" i="1"/>
  <c r="A21" i="1"/>
  <c r="I20" i="1"/>
  <c r="B20" i="1"/>
  <c r="A20" i="1"/>
  <c r="I19" i="1"/>
  <c r="E19" i="1"/>
  <c r="B19" i="1"/>
  <c r="A19" i="1"/>
  <c r="I18" i="1"/>
  <c r="E18" i="1"/>
  <c r="B18" i="1"/>
  <c r="A18" i="1"/>
  <c r="E17" i="1"/>
  <c r="B17" i="1"/>
  <c r="A17" i="1"/>
  <c r="I16" i="1"/>
  <c r="E16" i="1"/>
  <c r="B16" i="1"/>
  <c r="A16" i="1"/>
  <c r="E15" i="1"/>
  <c r="B15" i="1"/>
  <c r="A15" i="1"/>
  <c r="I14" i="1"/>
  <c r="E14" i="1"/>
  <c r="B14" i="1"/>
  <c r="A14" i="1"/>
  <c r="I13" i="1"/>
  <c r="E13" i="1"/>
  <c r="B13" i="1"/>
  <c r="A13" i="1"/>
  <c r="I12" i="1"/>
  <c r="B12" i="1"/>
  <c r="A12" i="1"/>
  <c r="I11" i="1"/>
  <c r="B11" i="1"/>
  <c r="A11" i="1"/>
  <c r="E10" i="1"/>
  <c r="B10" i="1"/>
  <c r="A10" i="1"/>
  <c r="E9" i="1"/>
  <c r="B9" i="1"/>
  <c r="A9" i="1"/>
  <c r="I8" i="1"/>
  <c r="E8" i="1"/>
  <c r="B8" i="1"/>
  <c r="A8" i="1"/>
  <c r="I7" i="1"/>
  <c r="E7" i="1"/>
  <c r="B7" i="1"/>
  <c r="A7" i="1"/>
  <c r="I6" i="1"/>
  <c r="E6" i="1"/>
  <c r="B6" i="1"/>
  <c r="A6" i="1"/>
  <c r="I5" i="1"/>
  <c r="B5" i="1"/>
  <c r="A5" i="1"/>
  <c r="A4" i="1"/>
  <c r="B3" i="1"/>
  <c r="A1" i="1"/>
</calcChain>
</file>

<file path=xl/sharedStrings.xml><?xml version="1.0" encoding="utf-8"?>
<sst xmlns="http://schemas.openxmlformats.org/spreadsheetml/2006/main" count="86" uniqueCount="86">
  <si>
    <t>#</t>
  </si>
  <si>
    <t>ORG TITLES</t>
  </si>
  <si>
    <t>FLV TITLES</t>
  </si>
  <si>
    <t>ORG LOGLINES</t>
  </si>
  <si>
    <t>FLV LOGLINES</t>
  </si>
  <si>
    <t>Max.
150</t>
  </si>
  <si>
    <t>ORG SYNOPSES</t>
  </si>
  <si>
    <t>FLV SYNOPSES</t>
  </si>
  <si>
    <t>Max. 400</t>
  </si>
  <si>
    <t>SERIES</t>
  </si>
  <si>
    <t>레고 프렌즈 : 새로운 시작</t>
  </si>
  <si>
    <t>레고 프렌즈: 새로운 시작! 레오는 요리에 대한 꿈을 찾아가고, 리안과 노바는 만화를 통해 더욱 친해진다. 흥미진진한 우정과 웃음이 기다리는 레고 프렌즈, 새로운 시작!</t>
  </si>
  <si>
    <t>레고 프렌즈 시즌 3: 새로운 시작에서는 웃음과 우정으로 가득 찬 11분짜리 에피소드가 펼쳐진다. 레오는 쿠킹 아카데미에 입학하지만 어려움을 겪고, 리안과 노바는 같은 만화를 좋아한다는 공통점을 발견하며 단짝으로 발전한다. 어려운 아이 돌보기부터 해변 리조트에서의 대결까지! 재미있는 모험을 즐기며 우정과 팀워크의 가치를 배워보자!</t>
  </si>
  <si>
    <r>
      <rPr>
        <sz val="11"/>
        <color rgb="FF000000"/>
        <rFont val="Aptos Narrow"/>
        <scheme val="minor"/>
      </rPr>
      <t>거짓말</t>
    </r>
    <r>
      <rPr>
        <sz val="11"/>
        <color rgb="FF000000"/>
        <rFont val="맑은 고딕"/>
      </rPr>
      <t xml:space="preserve">, </t>
    </r>
    <r>
      <rPr>
        <sz val="11"/>
        <color rgb="FF000000"/>
        <rFont val="Aptos Narrow"/>
        <scheme val="minor"/>
      </rPr>
      <t>가짜 뉴스</t>
    </r>
  </si>
  <si>
    <t>리안은 학교 뉴스 채널의 편집자가 되지만, 흥미로운 뉴스가 없다는 것을 깨닫고, 노바의 도움을 받아 가짜 뉴스를 만들어낸다.</t>
  </si>
  <si>
    <t>알리야는 학교 신문의 다음 편집장 자리를 리안에게 부탁한다. 리안은 마지못해 맡기로 하지만, 신문이 아닌 뉴스 채널로 변경한다. 따분하지 않은 최고의 뉴스 채널을 만들기 위해 리안은 노바에게 부탁해서 재밌는 가짜 뉴스를 만들고 놀라운 성과를 내지만, 선을 넘고 만다.</t>
  </si>
  <si>
    <r>
      <rPr>
        <sz val="11"/>
        <color rgb="FF000000"/>
        <rFont val="Aptos Narrow"/>
        <scheme val="minor"/>
      </rPr>
      <t>피아노를 부탁해</t>
    </r>
    <r>
      <rPr>
        <sz val="11"/>
        <color rgb="FF000000"/>
        <rFont val="맑은 고딕"/>
      </rPr>
      <t>!</t>
    </r>
  </si>
  <si>
    <t>발표회 날, 문화 센터의 피아노가 고장 나는 사건이 벌어진다. 페이즐리, 자크, 올리는 급히 마을을 가로질러 새 피아노를 가져와야 한다.</t>
  </si>
  <si>
    <t>문화 센터에서 피아노 레슨을 하던 중, 갑자기 피아노가 고장 나 버린다. 저녁 발표회가 시작되기 전 새 피아노를 구해야 하는 상황이 되자 자크는 모든 친구들에게 도움을 요청하고, 결국 올리가 안드레아에게 피아노를 빌리기로 한다. 이제 안드레아의 집에서 문화 센터까지 피아노를 옮겨야 하는데, 그 길에는 어려운 장애물들이 가득하다.</t>
  </si>
  <si>
    <t xml:space="preserve">골탕 먹이기 전쟁 </t>
  </si>
  <si>
    <t>장난을 시작한 레오와 복수로 반격하는 레오의 골탕 먹이기 전쟁이 시작된다!</t>
  </si>
  <si>
    <t>자크와 레오는 알리야와 오텀의 도움을 받아 골탕 먹이기 전쟁을 벌이게 된다. 처음엔 장난처럼 시작됐지만, 점점 승부욕이 생긴 레오는 리안의 마법으로 오텀과 몸이 바뀌었다고 거짓말을 한다. 하지만 하필이면 그날 중요한 축구 경기가 열리고, 레오는 골탕 먹이기 전쟁에서 이길지, 아니면 경기를 잘 치를지 고민이 가득하다.</t>
  </si>
  <si>
    <t>피클의 완벽한 먹이</t>
  </si>
  <si>
    <t>피클이 좋아하는 먹이의 생산이 중단되자, 노바는 피클에게 딱 맞는 새로운 먹이를 찾는다.</t>
  </si>
  <si>
    <t>피클이 가장 좋아하는 먹이가 단종되었다는 사실을 알게 된 노바는 피클에게 여러 가지 먹이를 줘 보지만, 피클은 하나도 입에 대지 않는다. 노바의 고민을 들은 레오는 피클만을 위해 완벽한 수제 먹이를 만들고, 드디어 피클은 관심을 보인다. 뿐만 아니라 보호 센터의 강아지들까지 좋아하는 게 아닌가? 신이 난 노바와 레오는 수제 먹이를 한가득 만드는데, 먹이가 단종된 게 아니라는 충격적인 사실을 듣게 된다.</t>
  </si>
  <si>
    <t>노바의 숨기고 싶은 비밀</t>
  </si>
  <si>
    <t>만화책을 좋아하는 걸 비밀로 하던 노바! 최신판을 사려고 애쓰는 사이 책은 전부 팔려버리고, 리안은 그런 노바를 도와준다.</t>
  </si>
  <si>
    <t>달달한 로맨스 만화 시리즈 '문 페가수스'의 최신판이 나오자 하트레이크는 떠들썩해진다. 팬심을 숨긴 채 코믹북 스토어로 향한 노바는 리안이 그곳에서 일하는 것을 발견하고 당황한다. 하지만 리안의 영리한 방법에 넘어간 노바는 결국 문 페가수스의 팬이란 걸 인정하고 마지막 남은 책을 사려고 한다. 그 순간, 피클 보이가 한발 앞선다.</t>
  </si>
  <si>
    <t>위기를 맞은 셰프의 꿈</t>
  </si>
  <si>
    <t>쿠킹 아카데미에 지원하고 싶은 레오! 하지만 선착순인 줄도 모르고 친구들과 캠핑을 한다. 그래도 다행히 마지막 순간, 한 자리를 차지하게 된다.</t>
  </si>
  <si>
    <t>마르타 주방장의 쿠킹 아카데미에 입학하고 싶은 레오! 하지만 친한 친구 니코가 캠핑에 초대하면서 우정과 꿈 사이에서 마음이 흔들린다. 레오와 한 팀인 캔디는 지원 절차가 선착순이라는 사실을 알고 레오에게 필사적으로 연락을 한다. 뒤늦게 그 사실을 알게 된 레오는 멋진 출품작을 들고 필사적으로 쿠킹 아카데미로 직행! 결국 한 자리를 차지하게 된다.</t>
  </si>
  <si>
    <t>코믹북 스토어에 갇히다</t>
  </si>
  <si>
    <t>리안과 노바가 코믹북 스토어에 갇혔다! 구하러 달려온 친구들은 서로를 놀라게 하고 다 같이 스토어에 갇히고 만다.</t>
  </si>
  <si>
    <t>리안과 노바는 만화책을 옮기다가 실수로 코믹북 스토어에  갇힌다. 설상가상으로 아무도 연락을 받지 않아 도움을 청할 수도 없다! 나중에 상황을 알게 된 친구들은 코믹북 스토어로 가지만 공포 만화를 읽고 무서워하고 있던 리안과 노바는 친구들을 유령으로 착각하고 소동을 일으킨다. 진실을 알게 된 후 한바탕 크게 웃지만, 모두가 갇혔다는 사실을 깨닫는다.</t>
  </si>
  <si>
    <t>아기 돌보기는 어려워</t>
  </si>
  <si>
    <t>알리야와 자크가 한눈파는 사이, 사라진 아기 아말리아! 격렬한 추격전 끝에 아기를 찾고, 기진맥진해 곯아떨어지자 아무것도 모르는 엄마가 돌아온다.</t>
  </si>
  <si>
    <t>여동생 아말리아를 돌보게 된 알리야와 자크! 집 안에 안전한 아기 보호 구역을 만들며 한눈파는 사이, 아말리아는 상자에 담긴 강아지를 따라 나가버린다. 레오는 쿠킹 아카데미 합격 소식을 전하다가 얼떨결에 아말리아를 찾는 추격전에 합류하고, 마침내 아기를 찾은 친구들은 녹초가 돼 잠이 든다. 모든 상황이 종료된 후, 알리야 엄마는 아말리아를 찾으러 온다.</t>
  </si>
  <si>
    <t>자크의 멋진 축구 실력</t>
  </si>
  <si>
    <t>자신의 영웅에게 깊은 인상을 주려던 자크는 묘기를 선보이려 특별한 공을 사지만, 마일로가 공의 리모컨을 삼키는 바람에 곤란해진다.</t>
  </si>
  <si>
    <t>축구 팬 자크는 축구장 헌정식에서 그의 영웅 '로넬리오' 선수에게 깊은 인상을 남기기 위해 '축구 스타 프로' 공을 구입하지만 제대로 작동시키지 못한다. 그러던 중 장난기 많은 돼지, 마일로가 공을 조종하는 리모컨을 삼켜 혼란을 일으킨다. 비록 실수가 있었지만 자크는 로넬리오를 구해내면서 큰 칭찬과 찬사를 받고, 그 과정에서 빠른 지름길보다 노력의 가치를 배운다.</t>
  </si>
  <si>
    <t>레오의 쿠킹 아카데미 챌린지</t>
  </si>
  <si>
    <t>레오의 쿠킹 아카데미 첫날! 캔디와 한 팀으로 배정되며, 둘 사이의 긴장감이 커진다.</t>
  </si>
  <si>
    <t>마르타 주방장을 만난다는 기대감에 쿠킹 아카데미에 들어간 레오! 하지만 캔디의 등장으로 계획에 차질이 생긴다. 팽팽한 긴장감이 감도는 둘은 결국 한 팀이 되고, 마르타 주방장에게 깊은 인상을 남기려 고군분투한다. 레오는 탈락을 자처하려 했지만 탈락자로는 브래드와 피클이 지명된다.</t>
  </si>
  <si>
    <t>스카이 붙잡기 대작전</t>
  </si>
  <si>
    <t xml:space="preserve">스카이가 하트레이크를 떠난다고 오해한 자크는, 어떻게든 스카이를 붙잡기 위해 작전을 짠다. </t>
  </si>
  <si>
    <t>스카이가 멀리 떠난다고 생각한 자크는 하트레이크의 매력에 푹 빠져 떠나지 못하게 붙잡으려고 여러 일정을 계획한다. 하지만 스카이가 영영 떠나는 것이 아니라, 대회에 참가하는 2주 동안만 떠난다는 사실을 알게 된다. 자크는 자기의 실수에 대해 사과하고 스카이의 꿈을 응원하면서, 앞으로 언제든 만날 수 있도록 초고속 이동 장치를 만들겠다며 농담한다.</t>
  </si>
  <si>
    <t>세상에 없는 케이크 만들기</t>
  </si>
  <si>
    <t>레오는 레시피 없이 케이크를 만들어야 하지만, 부담감에 할머니의 요리책을 몰래 엿본다.</t>
  </si>
  <si>
    <t>창의적인 요리법을 선보이라는 마르타 주방장의 말에 부담감을 느낀 레오는 독창적인 케이크 레시피를 고안하기 위해 애쓰던 중 할머니의 요리책을 커닝하는 부정행위를 저지른다. 하지만 캔디에게 이 사실을 들키고 마르타 주방장도 실망시키고 만다. 레오는 창의성과 자신감이 얼마나 소중한지 배운다.</t>
  </si>
  <si>
    <r>
      <t>‘</t>
    </r>
    <r>
      <rPr>
        <sz val="11"/>
        <color rgb="FF000000"/>
        <rFont val="Aptos Narrow"/>
        <family val="2"/>
        <scheme val="minor"/>
      </rPr>
      <t>좋아요</t>
    </r>
    <r>
      <rPr>
        <sz val="11"/>
        <color rgb="FF000000"/>
        <rFont val="맑은 고딕"/>
        <charset val="1"/>
      </rPr>
      <t>’</t>
    </r>
    <r>
      <rPr>
        <sz val="11"/>
        <color rgb="FF000000"/>
        <rFont val="Aptos Narrow"/>
        <family val="2"/>
        <scheme val="minor"/>
      </rPr>
      <t>보다 더 좋은 일</t>
    </r>
  </si>
  <si>
    <t xml:space="preserve">SNS에서 '좋아요'를 받기 위해 엉뚱한 행동을 일삼던 올리는 선행의 가치를 배우고, 직접 만든 강아지 침대를 익명으로 기부한다. </t>
  </si>
  <si>
    <t>Olly's quest for social media likes leads to comically misguided attempts at kindness, from enhancing Zac's soccer shoes with platform heels and embroidering Leo's chef hat with his face to braiding horses' manes. Olly learns the value of genuine kindness over online validation, anonymously donating handmade dog beds inspired by Autumn's advice, fostering camaraderie among friends.</t>
  </si>
  <si>
    <t>올리는 SNS에서 '좋아요'를 얻고 싶은 마음에, 자크의 축구화에 키 높이 굽을 넣고, 레오의 셰프 모자에 자수를 새기거나 말의 갈기를 꾸미는 등 엉뚱한 행동을 일삼는다. 결국 온라인에서의 인정보다 진정한 선행의 가치를 배우게 되고, 오텀의 조언을 바탕으로 직접 만든 물건을 익명으로 기부한다.</t>
  </si>
  <si>
    <t xml:space="preserve">비치 리조트에서 생긴 일 </t>
  </si>
  <si>
    <t>비치 리조트에서 아르바이트를 하게 된 알리야와 오텀은, 앙숙인 간호사 피피와 함께 일하게 된다. 세균 공포증이 있는 피피는 대소동을 일으키고, 결국 해고된다.</t>
  </si>
  <si>
    <t>알리야와 오텀이 아르바이트를 하게 된 비치 리조트에서, 간호사 피피는 청결에 대한 집착 때문에 대소동을 일으킨다. 알리야와 오텀은 피피의 결벽증으로 인해 리조트가 나쁜 별점을 받으면 결국 문을 닫을 수 있다는 것을 직감하고, 증거를 모아 피피와 대면한다. 피피는 또다시 코믹한 퇴사 엔딩을 맞이한다.</t>
  </si>
  <si>
    <t>혼자만의 시간이 필요해</t>
  </si>
  <si>
    <t>혼자만의 시간이 중요한 노바는, 함께 놀자는 리안에게 퉁명스럽게 대한다. 하지만 곧 친구들과 어울리는 것도 중요하다는 걸 깨닫는다</t>
  </si>
  <si>
    <t>노바는 만화책 읽으며 혼자 쉬는 게 제일 좋다. 하지만 친구 리안은 끊임없이 놀자고 다가오고, 노바는 계속 거절한다. 그러던 어느 날, 친구들이 신나게 어울리는 모습을 보게 된 노바는 소외감과 외로움을 느낀다. 결국 혼자 있는 시간도 좋지만, 친구들과 함께하는 순간도 소중하다는 걸 깨닫는다.</t>
  </si>
  <si>
    <t>불꽃 튀는 모험 캠프 시합</t>
  </si>
  <si>
    <t>경쟁심이 강한 스카이와 뭐든 느긋한 자크는 캠프장에서 게임을 하다가 점점 갈등을 겪게 되고 결국 피구 게임에서 폭발한다.</t>
  </si>
  <si>
    <t xml:space="preserve">스카이, 자크, 오텀, 니코는 모험 캠프장에서 게임을 즐기며 시간을 보낸다. 그리고 심판으로는 스카이의 언니, '애스턴'이 깜짝 등장한다. 카약 타기부터 집라인 등 다양한 게임을 함께 해나가는 동안 승리욕이 강한 스카이는 느긋한 자크와 갈등을 겪고, 결국 피구 경기에서 감정이 격해진다. 스카이는 승부를 떠나, 친구들과 함께 즐기는 시간의 소중함을 알게 된다. </t>
  </si>
  <si>
    <t>Baby Dolphin Name Game</t>
  </si>
  <si>
    <t>새끼 돌고래 이름 짓기 대회</t>
  </si>
  <si>
    <t xml:space="preserve">Autumn organizes a competition: the winner names a baby dolphin. Zac plays a clever prank and wins, but reveals he was teasing her the whole time. </t>
  </si>
  <si>
    <t>오텀은 우승자에게 새끼 돌고래 이름을 짓는 특권을 주는 '새끼 돌고래 이름 짓기 대회'를 열고, 자크가 최종 우승을 차지한다. 하지만 자크의 진짜 목표는 오텀을 놀리는 것!</t>
  </si>
  <si>
    <t>Autumn organizes a competition in her treehouse: the winner names a baby dolphin. Tensions rise as Leo's dessert is sabotaged; Autumn schemes to make Nova, Liann and Paisley quit. Finally Zac plays a clever prank, and he wins the contest. Zac then cheekily chooses the name that Autumn was going to choose, revealing he was just teasing her the whole time, ultimately deepening their playful bond.</t>
  </si>
  <si>
    <t>오텀은 새끼 돌고래의 이름을 짓는 특권을 걸고, 트리 하우스에서 이름 짓기 대회를 연다. 우승을 노리는 오텀은 레오의 디저트를 망치고, 친구들을 하나둘 떨어뜨리려 하지만 자크는 그 방해를 뚫고 우승을 거머쥔다. 엉뚱한 이름을 지을까 걱정하던 순간, 자크는 오텀이 생각해 둔 이름으로 결정한다. 사실 처음부터 오텀을 놀리려던 것! 그렇게 둘의 우정은 깊어진다.</t>
  </si>
  <si>
    <t>Leo’s Cooking Triumph!</t>
  </si>
  <si>
    <t>레오, 셰프가 되다</t>
  </si>
  <si>
    <t xml:space="preserve">After Liann and Nova devour Leo's final cooking assignment supplies, Leo has to use odd ingredients but makes surprisingly delicious dishes. </t>
  </si>
  <si>
    <t>레오의 마지막 요리 과제에 필요한 재료를 먹어버린 리안과 노바! 레오는 급하게 구해 온 재료를 이용해서 의외로 맛있는 요리를 만들어낸다.</t>
  </si>
  <si>
    <t xml:space="preserve">After an all-night binge, Liann and Nova discover they've devoured Leo's final cooking assignment supplies, sending them into a frenzy to find substitutes like ketchup for tomatoes and fruit gummy candies for fruit. With determination, Leo transforms the odd ingredients into surprisingly delicious dishes, earning him top marks at the academy. </t>
  </si>
  <si>
    <t>밤새 트리 하우스에서 만화를 그리며 야식을 잔뜩 먹은 리안과 노바는, 다음 날 아침 그 음식들이 바로 레오의 마지막 요리 과제 재료였다는 걸 깨닫는다. 마침 마트는 문을 닫았고, 신선한 재료를 구할 수 없었던 둘은 급한 대로 토마토 대신 케첩을, 과일 대신 젤리를 준비한다. 새로운 영감을 얻은 레오는 이상한 재료들을 놀라울 정도로 맛있는 요리로 변신시켜 쿠킹 아카데미 수석 졸업생이 된다.</t>
  </si>
  <si>
    <t>Holiday Crush Fiasco</t>
  </si>
  <si>
    <t>첫눈에 반한 알리야</t>
  </si>
  <si>
    <t xml:space="preserve">Aliya talks to a "new boy" whom she likes but things get hilariously awkward when Aliya discovers the boy is actually Pickle Boy! </t>
  </si>
  <si>
    <t>처음 보는 남학생에게 첫눈에 반한 알리야! 하지만 그 소년이 피클보이라는 사실을 알게 되면서, 분위기는 어색해진다.</t>
  </si>
  <si>
    <t>As Aliya and Nova prep for the Christmas Party, Aliya's laundry day turns into a rom-com disaster when she meets a "new boy" at the laundromat. Nova's advice leads to cringeworthy moments, but things get hilariously awkward when Aliya discovers the boy is actually Pickle Boy! Amidst the chaos, Pickle Boy reveals his crush on Leaf Blower Girl, teaching Aliya a lesson about authenticity.</t>
  </si>
  <si>
    <t xml:space="preserve"> 크리스마스 파티를 준비하며 빨래방에 간 알리야와 노바! 알리야는 그곳에서 낯선 소년에게 반한다. 노바의 연애 조언을 따라 해보지만 분위기는 점점 어색해지고, 그 소년이 피클보이라는 걸 알게 되자 민망함과 웃음이 뒤섞인다. 피클 보이가 낙엽 청소기 소녀에게 마음을 표현하는 모습에 알리야는 진정한 자신을 보여주는 게 중요하다는 교훈을 얻는다.</t>
  </si>
  <si>
    <t>Movie Ticket Mayhem </t>
  </si>
  <si>
    <t>영화 티켓 대소동</t>
  </si>
  <si>
    <t xml:space="preserve">In her struggle to protect movie tickets from grabby hands, Liann ends up on the run. To make her feel better, Nova organizes a backyard movie night. </t>
  </si>
  <si>
    <t>영화 티켓을 지키려고 고군분투하던 리안은 도망자 신세가 된다. 친구들은 리안을 위로하기 위해 영화의 밤을 준비한다.</t>
  </si>
  <si>
    <t>When Liann receives two tickets to the Moon Pegasus movie premiere, chaos ensues as she tries to protect them from strangers and her friends' relentless attempts to snag the second ticket. In a whirlwind of mishaps, Liann is at her wits end and on the run! Nova steps in, organizing a heartfelt backyard movie night instead, teaching Liann the true value of friendship.</t>
  </si>
  <si>
    <t>'문 페가수스' 영화 시사회 티켓 두 장을 받은 리안! 어떻게든 티켓을 지키려고 애쓰지만, 낯선 사람들부터 친구들까지 모두가 티켓을 노리자 지친 리안은 영화를 포기해 버리고 만다. 노바와 친구들은 리안을 위로하기 위해 트리 하우스에서 영화의 밤을 준비하고, 또 한 번 깊은 우정을 쌓는다.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</si>
</sst>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11"/>
      <color theme="1"/>
      <name val="Aptos Narrow"/>
      <family val="2"/>
      <scheme val="minor"/>
    </font>
    <font>
      <b/>
      <sz val="11"/>
      <color theme="1"/>
      <name val="Aptos Narrow"/>
      <family val="2"/>
      <scheme val="minor"/>
    </font>
    <font>
      <b/>
      <u/>
      <sz val="24"/>
      <color theme="1"/>
      <name val="Aptos Narrow"/>
      <family val="2"/>
      <scheme val="minor"/>
    </font>
    <font>
      <b/>
      <sz val="12"/>
      <color theme="1"/>
      <name val="Aptos Narrow"/>
      <family val="2"/>
      <scheme val="minor"/>
    </font>
    <font>
      <b/>
      <sz val="9"/>
      <color theme="1"/>
      <name val="Aptos Narrow"/>
      <family val="2"/>
      <scheme val="minor"/>
    </font>
    <font>
      <sz val="12"/>
      <color theme="1"/>
      <name val="Aptos Narrow"/>
      <family val="2"/>
      <scheme val="minor"/>
    </font>
    <font>
      <sz val="11"/>
      <color rgb="FF000000"/>
      <name val="Aptos Narrow"/>
      <family val="2"/>
      <scheme val="minor"/>
    </font>
    <font>
      <sz val="11"/>
      <color rgb="FF000000"/>
      <name val="Aptos Narrow"/>
      <scheme val="minor"/>
    </font>
    <font>
      <sz val="11"/>
      <color rgb="FF000000"/>
      <name val="맑은 고딕"/>
    </font>
    <font>
      <b/>
      <sz val="11"/>
      <color theme="1"/>
      <name val="Aptos Narrow"/>
      <scheme val="minor"/>
    </font>
    <font>
      <sz val="11"/>
      <color theme="1"/>
      <name val="Aptos Narrow"/>
      <scheme val="minor"/>
    </font>
    <font>
      <sz val="11"/>
      <color theme="1"/>
      <name val="Aptos Display"/>
      <scheme val="major"/>
    </font>
    <font>
      <sz val="11"/>
      <color rgb="FF000000"/>
      <name val="Aptos Display"/>
      <scheme val="major"/>
    </font>
    <font>
      <sz val="11"/>
      <name val="Aptos Display"/>
      <scheme val="major"/>
    </font>
    <font>
      <b/>
      <sz val="11"/>
      <name val="Aptos Display"/>
      <scheme val="major"/>
    </font>
    <font>
      <sz val="11"/>
      <color rgb="FF000000"/>
      <name val="맑은 고딕"/>
      <charset val="1"/>
    </font>
  </fonts>
  <fills count="6">
    <fill>
      <patternFill patternType="none"/>
    </fill>
    <fill>
      <patternFill patternType="gray125"/>
    </fill>
    <fill>
      <patternFill patternType="solid">
        <fgColor theme="7" tint="0.79998168889431442"/>
        <bgColor indexed="65"/>
      </patternFill>
    </fill>
    <fill>
      <patternFill patternType="solid">
        <fgColor theme="8" tint="0.39997558519241921"/>
        <bgColor indexed="64"/>
      </patternFill>
    </fill>
    <fill>
      <patternFill patternType="solid">
        <fgColor theme="0" tint="-0.249977111117893"/>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3">
    <xf numFmtId="0" fontId="0" fillId="0" borderId="0"/>
    <xf numFmtId="0" fontId="1" fillId="0" borderId="0"/>
    <xf numFmtId="0" fontId="6" fillId="2" borderId="1">
      <alignment vertical="center"/>
      <protection locked="0"/>
    </xf>
  </cellStyleXfs>
  <cellXfs count="55">
    <xf numFmtId="0" fontId="0" fillId="0" borderId="0" xfId="0"/>
    <xf numFmtId="0" fontId="3" fillId="3" borderId="2" xfId="0" applyFont="1" applyFill="1" applyBorder="1" applyAlignment="1">
      <alignment horizontal="left" vertical="center" indent="1"/>
    </xf>
    <xf numFmtId="0" fontId="4" fillId="3" borderId="2" xfId="1" applyFont="1" applyFill="1" applyBorder="1" applyAlignment="1">
      <alignment horizontal="center" vertical="center" wrapText="1"/>
    </xf>
    <xf numFmtId="0" fontId="2"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4" fillId="0" borderId="2" xfId="1" applyFont="1" applyBorder="1" applyAlignment="1">
      <alignment horizontal="center" vertical="center" wrapText="1"/>
    </xf>
    <xf numFmtId="0" fontId="4" fillId="0" borderId="2" xfId="1" applyFont="1" applyBorder="1" applyAlignment="1">
      <alignment vertical="center" wrapText="1"/>
    </xf>
    <xf numFmtId="0" fontId="2" fillId="4" borderId="2" xfId="0" applyFont="1" applyFill="1" applyBorder="1" applyAlignment="1">
      <alignment horizontal="center" vertical="center" wrapText="1"/>
    </xf>
    <xf numFmtId="0" fontId="4" fillId="5" borderId="2" xfId="1" applyFont="1" applyFill="1" applyBorder="1" applyAlignment="1">
      <alignment horizontal="left" vertical="center" wrapText="1"/>
    </xf>
    <xf numFmtId="0" fontId="2" fillId="0" borderId="2" xfId="0" applyFont="1" applyBorder="1" applyAlignment="1">
      <alignment horizontal="center" vertical="center" wrapText="1"/>
    </xf>
    <xf numFmtId="0" fontId="6" fillId="0" borderId="2" xfId="1" applyFont="1" applyBorder="1" applyAlignment="1">
      <alignment horizontal="center" vertical="center" wrapText="1"/>
    </xf>
    <xf numFmtId="0" fontId="6" fillId="0" borderId="2" xfId="1" applyFont="1" applyBorder="1" applyAlignment="1">
      <alignment vertical="center" wrapText="1"/>
    </xf>
    <xf numFmtId="0" fontId="0" fillId="4" borderId="2" xfId="0"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left" vertical="center" wrapText="1"/>
    </xf>
    <xf numFmtId="0" fontId="0" fillId="3" borderId="2" xfId="0" applyFill="1" applyBorder="1" applyAlignment="1">
      <alignment vertical="center"/>
    </xf>
    <xf numFmtId="0" fontId="0" fillId="3" borderId="2" xfId="0" applyFill="1" applyBorder="1" applyAlignment="1">
      <alignment horizontal="left" vertical="center"/>
    </xf>
    <xf numFmtId="0" fontId="2" fillId="3" borderId="2" xfId="0" applyFont="1" applyFill="1" applyBorder="1" applyAlignment="1">
      <alignment vertical="center" wrapText="1"/>
    </xf>
    <xf numFmtId="0" fontId="2" fillId="0" borderId="2" xfId="0" applyFont="1" applyBorder="1" applyAlignment="1">
      <alignment vertical="center" wrapText="1"/>
    </xf>
    <xf numFmtId="0" fontId="8" fillId="0" borderId="2" xfId="0" applyFont="1" applyBorder="1" applyAlignment="1">
      <alignment vertical="center" wrapText="1"/>
    </xf>
    <xf numFmtId="0" fontId="7" fillId="0" borderId="2" xfId="0" applyFont="1" applyBorder="1" applyAlignment="1">
      <alignment horizontal="center" vertical="center" wrapText="1"/>
    </xf>
    <xf numFmtId="0" fontId="8" fillId="0" borderId="2" xfId="0" applyFont="1" applyBorder="1" applyAlignment="1">
      <alignment horizontal="left" vertical="center" wrapText="1"/>
    </xf>
    <xf numFmtId="0" fontId="14" fillId="3" borderId="2" xfId="0" applyFont="1" applyFill="1" applyBorder="1" applyAlignment="1">
      <alignment horizontal="center" vertical="center" wrapText="1"/>
    </xf>
    <xf numFmtId="0" fontId="13" fillId="0" borderId="2" xfId="0" applyFont="1" applyBorder="1" applyAlignment="1">
      <alignment horizontal="left" vertical="center" wrapText="1"/>
    </xf>
    <xf numFmtId="0" fontId="12" fillId="0" borderId="2" xfId="0" applyFont="1" applyBorder="1" applyAlignment="1">
      <alignment horizontal="left" vertical="center" wrapText="1"/>
    </xf>
    <xf numFmtId="0" fontId="15" fillId="3" borderId="2" xfId="0" applyFont="1" applyFill="1" applyBorder="1" applyAlignment="1">
      <alignment horizontal="left" vertical="center" wrapText="1"/>
    </xf>
    <xf numFmtId="0" fontId="13" fillId="0" borderId="2" xfId="0" applyFont="1" applyBorder="1" applyAlignment="1">
      <alignment horizontal="center" vertical="center"/>
    </xf>
    <xf numFmtId="0" fontId="13" fillId="0" borderId="2" xfId="0" applyFont="1" applyBorder="1" applyAlignment="1">
      <alignment vertical="center" wrapText="1"/>
    </xf>
    <xf numFmtId="0" fontId="6" fillId="0" borderId="3" xfId="1" applyFont="1" applyBorder="1" applyAlignment="1">
      <alignment vertical="center" wrapText="1"/>
    </xf>
    <xf numFmtId="0" fontId="7" fillId="0" borderId="5" xfId="0" applyFont="1" applyBorder="1" applyAlignment="1">
      <alignment horizontal="center" vertical="center" wrapText="1"/>
    </xf>
    <xf numFmtId="0" fontId="0" fillId="4" borderId="5" xfId="0" applyFill="1" applyBorder="1" applyAlignment="1">
      <alignment horizontal="center" vertical="center" wrapText="1"/>
    </xf>
    <xf numFmtId="0" fontId="6" fillId="0" borderId="5" xfId="1" applyFont="1" applyBorder="1" applyAlignment="1">
      <alignment vertical="center" wrapText="1"/>
    </xf>
    <xf numFmtId="0" fontId="8" fillId="0" borderId="5" xfId="0" applyFont="1" applyBorder="1" applyAlignment="1">
      <alignment horizontal="left" vertical="center" wrapText="1"/>
    </xf>
    <xf numFmtId="0" fontId="0" fillId="4" borderId="6" xfId="0" applyFill="1" applyBorder="1" applyAlignment="1">
      <alignment horizontal="center" vertical="center" wrapText="1"/>
    </xf>
    <xf numFmtId="0" fontId="0" fillId="3" borderId="2" xfId="0" applyFill="1" applyBorder="1" applyAlignment="1">
      <alignment horizontal="center" vertical="center"/>
    </xf>
    <xf numFmtId="0" fontId="16" fillId="0" borderId="2" xfId="0" applyFont="1" applyBorder="1" applyAlignment="1">
      <alignment horizontal="center" vertical="center"/>
    </xf>
    <xf numFmtId="0" fontId="7" fillId="0" borderId="2" xfId="0" applyFont="1" applyBorder="1" applyAlignment="1">
      <alignment horizontal="center" vertical="center"/>
    </xf>
    <xf numFmtId="0" fontId="6" fillId="0" borderId="3" xfId="1" applyFont="1" applyBorder="1" applyAlignment="1">
      <alignment horizontal="center" vertical="center" wrapText="1"/>
    </xf>
    <xf numFmtId="0" fontId="0" fillId="4" borderId="4" xfId="0" applyFill="1" applyBorder="1" applyAlignment="1">
      <alignment horizontal="center" vertical="center" wrapText="1"/>
    </xf>
    <xf numFmtId="0" fontId="6" fillId="0" borderId="7" xfId="1" applyFont="1" applyBorder="1" applyAlignment="1">
      <alignment vertical="center" wrapText="1"/>
    </xf>
    <xf numFmtId="0" fontId="13" fillId="0" borderId="5" xfId="0" applyFont="1" applyBorder="1" applyAlignment="1">
      <alignment horizontal="center" vertical="center"/>
    </xf>
    <xf numFmtId="0" fontId="6" fillId="0" borderId="8" xfId="1" applyFont="1" applyBorder="1" applyAlignment="1">
      <alignment vertical="center" wrapText="1"/>
    </xf>
    <xf numFmtId="0" fontId="0" fillId="0" borderId="6" xfId="0" applyBorder="1" applyAlignment="1">
      <alignment vertical="center" wrapText="1"/>
    </xf>
    <xf numFmtId="0" fontId="12" fillId="0" borderId="5" xfId="0" applyFont="1" applyBorder="1" applyAlignment="1">
      <alignment horizontal="left" vertical="center" wrapText="1"/>
    </xf>
    <xf numFmtId="0" fontId="0" fillId="0" borderId="6" xfId="0" applyBorder="1" applyAlignment="1">
      <alignment horizontal="left" vertical="center" wrapText="1"/>
    </xf>
    <xf numFmtId="0" fontId="0" fillId="5" borderId="6" xfId="0" applyFill="1" applyBorder="1" applyAlignment="1">
      <alignment horizontal="center" vertical="center" wrapText="1"/>
    </xf>
    <xf numFmtId="0" fontId="0" fillId="5" borderId="2" xfId="0" applyFill="1" applyBorder="1" applyAlignment="1">
      <alignment horizontal="center" vertical="center" wrapText="1"/>
    </xf>
    <xf numFmtId="0" fontId="12" fillId="5" borderId="2"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1" fillId="5" borderId="2" xfId="0" applyFont="1" applyFill="1" applyBorder="1" applyAlignment="1">
      <alignment vertical="center" wrapText="1"/>
    </xf>
    <xf numFmtId="0" fontId="11" fillId="5" borderId="2" xfId="0" quotePrefix="1" applyFont="1" applyFill="1" applyBorder="1" applyAlignment="1">
      <alignment vertical="center" wrapText="1"/>
    </xf>
    <xf numFmtId="0" fontId="8" fillId="5" borderId="2" xfId="0" applyFont="1" applyFill="1" applyBorder="1" applyAlignment="1">
      <alignment vertical="center" wrapText="1"/>
    </xf>
    <xf numFmtId="0" fontId="10" fillId="5" borderId="2" xfId="0" applyFont="1" applyFill="1" applyBorder="1" applyAlignment="1">
      <alignment vertical="center" wrapText="1"/>
    </xf>
  </cellXfs>
  <cellStyles count="3">
    <cellStyle name="Fill in" xfId="2" xr:uid="{DAE0AEC2-6D27-49A6-8182-2D640D1113C1}"/>
    <cellStyle name="Normal 2" xfId="1" xr:uid="{EEB9924A-5ECB-4DF3-9C2B-593EEC49CC93}"/>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bLauBru\Downloads\Friends_S3_SRT_Metadata_LongForm_Version_01.xlsx" TargetMode="External"/><Relationship Id="rId1" Type="http://schemas.openxmlformats.org/officeDocument/2006/relationships/externalLinkPath" Target="file:///C:\Users\gbLauBru\Downloads\Friends_S3_SRT_Metadata_LongForm_Version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 INFO - PLEASE READ"/>
      <sheetName val="GENERAL INFO"/>
      <sheetName val="SONG LIST"/>
      <sheetName val="CHARACTER LIST"/>
      <sheetName val="KEY PHRASES, LOCATIONS, PROPS.."/>
      <sheetName val="LOGLINES &amp; SYNOPSES"/>
      <sheetName val="CONTENT DETAILS"/>
      <sheetName val="DUBBING BIBLE"/>
      <sheetName val="TITLES, LOGLINES &amp; SYNOPSES"/>
      <sheetName val="TERMS LIST"/>
      <sheetName val="CREDITS"/>
    </sheetNames>
    <sheetDataSet>
      <sheetData sheetId="0"/>
      <sheetData sheetId="1">
        <row r="6">
          <cell r="C6" t="str">
            <v>LEGO®</v>
          </cell>
          <cell r="D6" t="str">
            <v>Friends</v>
          </cell>
          <cell r="E6" t="str">
            <v>The Next Chapter</v>
          </cell>
          <cell r="H6" t="str">
            <v>301 </v>
          </cell>
          <cell r="I6" t="str">
            <v>Fake News Frenzy!</v>
          </cell>
        </row>
        <row r="7">
          <cell r="H7" t="str">
            <v>302 </v>
          </cell>
          <cell r="I7" t="str">
            <v>Rescue that Piano!</v>
          </cell>
        </row>
        <row r="8">
          <cell r="C8">
            <v>3</v>
          </cell>
          <cell r="H8" t="str">
            <v>303 </v>
          </cell>
          <cell r="I8" t="str">
            <v>Friends Prank Wars </v>
          </cell>
        </row>
        <row r="9">
          <cell r="H9" t="str">
            <v>304 </v>
          </cell>
          <cell r="I9" t="str">
            <v>Pickle’s Perfect Pet Feast </v>
          </cell>
        </row>
        <row r="10">
          <cell r="C10">
            <v>2025</v>
          </cell>
          <cell r="H10" t="str">
            <v>305 </v>
          </cell>
          <cell r="I10" t="str">
            <v>Comics &amp; Confessions </v>
          </cell>
        </row>
        <row r="11">
          <cell r="H11" t="str">
            <v>306 </v>
          </cell>
          <cell r="I11" t="str">
            <v>Cooking Dreams At Risk</v>
          </cell>
        </row>
        <row r="12">
          <cell r="H12" t="str">
            <v>307 </v>
          </cell>
          <cell r="I12" t="str">
            <v>Comic Shop Lock-In!</v>
          </cell>
        </row>
        <row r="13">
          <cell r="H13" t="str">
            <v>308 </v>
          </cell>
          <cell r="I13" t="str">
            <v>Babysitting Mishaps</v>
          </cell>
        </row>
        <row r="14">
          <cell r="H14" t="str">
            <v>309 </v>
          </cell>
          <cell r="I14" t="str">
            <v>Zac's Awesome Soccer Skills</v>
          </cell>
        </row>
        <row r="15">
          <cell r="H15" t="str">
            <v>310 </v>
          </cell>
          <cell r="I15" t="str">
            <v>Too Many Cooks (in the Kitchen)</v>
          </cell>
        </row>
        <row r="16">
          <cell r="H16" t="str">
            <v>311 </v>
          </cell>
          <cell r="I16" t="str">
            <v>Falling for Heartlake City </v>
          </cell>
        </row>
        <row r="17">
          <cell r="H17" t="str">
            <v>312 </v>
          </cell>
          <cell r="I17" t="str">
            <v>Creative Cook-Off Challenge</v>
          </cell>
        </row>
        <row r="18">
          <cell r="H18" t="str">
            <v>313 </v>
          </cell>
          <cell r="I18" t="str">
            <v>Social Likes Vs Kindness</v>
          </cell>
        </row>
        <row r="19">
          <cell r="H19" t="str">
            <v>314 </v>
          </cell>
          <cell r="I19" t="str">
            <v>Beach Resort Showdown</v>
          </cell>
        </row>
        <row r="20">
          <cell r="H20" t="str">
            <v>315 </v>
          </cell>
          <cell r="I20" t="str">
            <v>Nova’s Quiet Time </v>
          </cell>
        </row>
        <row r="21">
          <cell r="H21" t="str">
            <v>316 </v>
          </cell>
          <cell r="I21" t="str">
            <v>Adventure Camp Competition</v>
          </cell>
        </row>
        <row r="22">
          <cell r="H22" t="str">
            <v>317 </v>
          </cell>
          <cell r="I22" t="str">
            <v>Baby Dolphin Name Game</v>
          </cell>
        </row>
        <row r="23">
          <cell r="H23" t="str">
            <v>318 </v>
          </cell>
          <cell r="I23" t="str">
            <v>Leo’s Cooking Triumph!</v>
          </cell>
        </row>
        <row r="24">
          <cell r="H24" t="str">
            <v>319 </v>
          </cell>
          <cell r="I24" t="str">
            <v>Holiday Crush Fiasco</v>
          </cell>
        </row>
        <row r="25">
          <cell r="H25" t="str">
            <v>320 </v>
          </cell>
          <cell r="I25" t="str">
            <v>Movie Ticket Mayhem </v>
          </cell>
        </row>
      </sheetData>
      <sheetData sheetId="2"/>
      <sheetData sheetId="3"/>
      <sheetData sheetId="4"/>
      <sheetData sheetId="5">
        <row r="5">
          <cell r="D5" t="str">
            <v>Join the fun in LEGO Friends: The Next Chapter! Leo cooks up adventures, while Liann and Nova bond over comics. Exciting friendships and laughs await!</v>
          </cell>
          <cell r="F5" t="str">
            <v>Season 3 of LEGO Friends: The Next Chapter features shorter, 11-minute episodes packed with comedy and friendship mishaps. Leo joins a cooking academy but loses his creative touch, meanwhile Liann and Nova bond over a love of comics and become BFFs. Join the gang for fun adventures, from babysitting chaos to showdowns at the beach resort, all while learning the value of friendship and teamwork!</v>
          </cell>
        </row>
        <row r="7">
          <cell r="D7" t="str">
            <v>Liann takes over as editor of the school news channel but realizes there is nothing exciting to report so she enlists Nova’s help to create some news.</v>
          </cell>
          <cell r="F7" t="str">
            <v xml:space="preserve">When Aliya can no longer serve as editor-in-chief of the school newspaper she asks Liann to take over. Reluctantly Liann agrees, but changes it to a school news channel. She learns that all the “news” is quite boring. Determined to have the best news channel ever, she asks Nova to help her create some “fake” but exciting news. The girls create drama, but take it too far. </v>
          </cell>
        </row>
        <row r="8">
          <cell r="D8" t="str">
            <v xml:space="preserve">When the piano at the community center breaks on the day of the recital, Paisley, Zac and Olly need to get a new one across town in time. </v>
          </cell>
          <cell r="F8" t="str">
            <v xml:space="preserve">While giving a piano lesson in the community center, the piano breaks. Paisley must figure out how to get a new one in time for the evening’s recital. Zac puts out a call for help to all the friends. Eventually Olly says they can borrow Andrea’s. The three then must get the piano all the way from Andrea’s house back to the community center facing several challenging obstacles along the way. </v>
          </cell>
        </row>
        <row r="9">
          <cell r="D9" t="str">
            <v xml:space="preserve">After Zac plays a small prank on Leo, Leo seeks revenge and an all-out prank war ensues. </v>
          </cell>
          <cell r="F9" t="str">
            <v xml:space="preserve">Zac and Leo, with the help of Aliya and Autumn, get into a prank war. It starts off small and harmless, but Leo is determined to win. So with Liann’s help, he and Autumn convince the others that they have body swapped. But when it’s time for an important soccer match, Leo must decide what’s more important – winning the prank war or being a good Teammate. </v>
          </cell>
        </row>
        <row r="10">
          <cell r="D10" t="str">
            <v xml:space="preserve">When Pickle’s favorite dog food is discontinued, Nova must figure out a way to get Pickle to eat again. </v>
          </cell>
          <cell r="F10" t="str">
            <v>After learning that Pickle’s favorite dog food has been discontinued, Nova tries every trick to get her pup to eat. But he refuses. Finally, she goes to Leo for help. Together, they make the perfect homemade dog food for Pickle. He loves it! Even the dogs at the Dog Adoption love it. So Nova and Leo make batches and batches more. Then, Nova finds out the original food wasn’t actually discontinued!</v>
          </cell>
        </row>
        <row r="11">
          <cell r="D11" t="str">
            <v xml:space="preserve">As Nova tries to hide her love of a comic book series from Liann, her delay in purchasing it means it sells out! A compassionate Liann saves the day. </v>
          </cell>
          <cell r="F11" t="str">
            <v xml:space="preserve">The town buzzes with excitement over the latest issue of the cheesy romance comic series, Moon Pegasus Saga. Liann eagerly heads to the comic store while Nova tries to conceal her fandom. Nova panics when she discovers Liann works there. Liann cleverly gets Nova to admit her love for the series. Pickle Boy snatches the last copy before Nova can buy it. </v>
          </cell>
        </row>
        <row r="12">
          <cell r="D12" t="str">
            <v xml:space="preserve">Leo wants to apply to the cooking academy but doesn’t pay attention to the deadline and goes camping. He submits just in time and gets the last spot. </v>
          </cell>
          <cell r="F12" t="str">
            <v>Leo dreams of getting into Chef Marta's cooking academy. But when Niko invites him on a camping trip, Leo must balance friendship and ambition. As he enjoys the outdoors, Candi tries desperately to reach him about the competition's limited slots. Racing back home on a unicycle, Leo faces mishaps and loses part of his culinary masterpiece. He submits his entry just in time, securing the final slot.</v>
          </cell>
        </row>
        <row r="13">
          <cell r="D13" t="str">
            <v xml:space="preserve">After Liann and Nova lock themselves in the Comic Shop, their friends rescue them; but they startle each other and end up getting trapped inside!  </v>
          </cell>
          <cell r="F13" t="str">
            <v>Liann and Nova accidentally lock themselves in the Comic Shop while moving comics. Meanwhile, their friends are out without phones. As Liann and Nova read comics to pass time, their friends find the shop in disarray and the girls missing. Fueled by a scary comic, they panic, thinking someone is inside. When they realize the truth, they laugh at themselves. They discover now they're all trapped!</v>
          </cell>
        </row>
        <row r="14">
          <cell r="D14" t="str">
            <v xml:space="preserve">Aliya and Zac babysit Amalia and lose her. After a wild chase, they find her, and fall asleep exhausted as Aliya's mom returns, none the wiser. </v>
          </cell>
          <cell r="F14" t="str">
            <v>Aliya and Zac babysit her baby sister, Amalia, but their attempts to baby-proof the apartment backfire, trapping Zac. Meanwhile, Amalia wanders off following a puppy on a box, leading them on a wild chase. Leo joins in, and shares his news: he got into the cooking academy! After finally finding Amalia, they all fall asleep exhausted. Aliya's mom returns to find them asleep with the baby.</v>
          </cell>
        </row>
        <row r="15">
          <cell r="D15" t="str">
            <v xml:space="preserve">When Zac buys a trick ball to impress his hero, Milo swallows its remote, causing the ball to go haywired. </v>
          </cell>
          <cell r="F15" t="str">
            <v>Zac, a soccer enthusiast, hopes to impress his hero Ronelio at a dedication ceremony. He buys the "Soccer Star Pro" program but finds it ineffective. Meanwhile, a playful pig named Milo swallows the remote for the ball, causing chaos. Despite mishaps, Zac saves Ronelio from the runaway ball, earning praise for his skill and dedication. Zac learns the value of hard work over shortcuts.</v>
          </cell>
        </row>
        <row r="16">
          <cell r="D16" t="str">
            <v xml:space="preserve">On Leo's first day at the Cooking Academy, he gets paired with Candi for challenges, testing their strained relationship. </v>
          </cell>
          <cell r="F16" t="str">
            <v>Leo arrives at the Cooking Academy eager to impress Chef Marta, but his plans are disrupted when he encounters Candi. Despite their strained relationship, they're paired together for cooking challenges. Amidst their disagreements, they manage to impress Chef Marta. When elimination looms, Leo offers to sacrifice himself, but Brad and Pickle Boy are sent home instead.</v>
          </cell>
        </row>
        <row r="17">
          <cell r="D17" t="str">
            <v>A misunderstanding causes Zac to assume Sky is moving away from Heartlake so he schemes to keep her local.</v>
          </cell>
          <cell r="F17" t="str">
            <v>Zac works to stop Sky from moving overseas by planning activities to make her fall in love with the city and want to stay. However, they eventually learn that Sky is only leaving for two weeks for the competition, not permanently. He apologizes for his behavior and expresses support for her dreams. Zac even jokes about inventing fast travel to make visiting each other easier in the future.</v>
          </cell>
        </row>
        <row r="18">
          <cell r="D18" t="str">
            <v>Leo, overwhelmed by the challenge of creating a cake without a recipe, cheats by using his grandmother's cookbook.</v>
          </cell>
          <cell r="F18" t="str">
            <v>Leo, a student at a cooking academy, initially sticks to recipes but faces pressure from instructor Marta to be more creative. Struggling to come up with an original cake recipe, he resorts to cheating using his grandmother's cookbook. Caught by classmate Candi, Leo faces Marta's disappointment. He learns the value of creativity and self-confidence in cooking.</v>
          </cell>
        </row>
        <row r="19">
          <cell r="D19" t="str">
            <v xml:space="preserve">Olly's comically misguided quest for social media likes teaches him the importance of kindness, leading him to anonymously donate handmade dog beds. </v>
          </cell>
          <cell r="F19" t="str">
            <v>Olly's quest for social media likes leads to comically misguided attempts at kindness, from enhancing Zac's soccer shoes with platform heels and embroidering Leo's chef hat with his face to braiding horses' manes. Olly learns the value of genuine kindness over online validation, anonymously donating handmade dog beds inspired by Autumn's advice, fostering camaraderie among friends.</v>
          </cell>
        </row>
        <row r="20">
          <cell r="D20" t="str">
            <v xml:space="preserve">Aliya and Autumn land jobs at the beach resort and see Nurse Fifi works there too. As a germaphobe, Fifi causes comedic chaos and gets fired. </v>
          </cell>
          <cell r="F20" t="str">
            <v>Aliya and Autumn both land jobs at the beach resort. Nurse Fifi, who is obsessed with cleanliness, causes comedic chaos. As the situation escalates, Aliya and Autumn realize that Fifi's behavior could lead to a bad review and potentially shut it down, so they gather evidence and confront her, leading to her comedic resignation, which seems to happen in every episode Nurse Fifi is in.</v>
          </cell>
        </row>
        <row r="21">
          <cell r="D21" t="str">
            <v xml:space="preserve">Nova values alone time, and rudely tells this to Liann. However, she soon realizes she also appreciates being invited to join her friends.  </v>
          </cell>
          <cell r="F21" t="str">
            <v>Nova values her alone time. Despite this, her friend Liann persistently tries to include her in various activities. Nova resists, preferring to enjoy her comics and relaxation. However, eventually Nova feels left out when she sees her friends having fun without her. In the end, Nova realizes that while she values her alone time, she also appreciates being invited to join her friends.</v>
          </cell>
        </row>
        <row r="22">
          <cell r="D22" t="str">
            <v xml:space="preserve">As Sky and Zac tackle athletic challenges, Sky's competitiveness clashes with Zac's laid-back attitude, culminating in a dodgeball showdown.  </v>
          </cell>
          <cell r="F22" t="str">
            <v>Sky, Zac, Autumn, and Niko enjoy outdoor fun. Surprise hits when Sky's sister, Aston, appears as camp referee. As they tackle challenges like kayaking and high ropes, Sky's competitiveness clashes with Zac's laid-back attitude, culminating in a dodgeball showdown. Sky learns the value of enjoying sports with friends, leading to a newfound appreciation for the game.</v>
          </cell>
        </row>
        <row r="23">
          <cell r="D23" t="str">
            <v xml:space="preserve">Autumn organizes a competition: the winner names a baby dolphin. Zac plays a clever prank and wins, but reveals he was teasing her the whole time. </v>
          </cell>
          <cell r="F23" t="str">
            <v>Autumn organizes a competition in her treehouse: the winner names a baby dolphin. Tensions rise as Leo's dessert is sabotaged; Autumn schemes to make Nova, Liann and Paisley quit. Finally Zac plays a clever prank, and he wins the contest. Zac then cheekily chooses the name that Autumn was going to choose, revealing he was just teasing her the whole time, ultimately deepening their playful bond.</v>
          </cell>
        </row>
        <row r="24">
          <cell r="D24" t="str">
            <v xml:space="preserve">After Liann and Nova devour Leo's final cooking assignment supplies, Leo has to use odd ingredients but makes surprisingly delicious dishes. </v>
          </cell>
          <cell r="F24" t="str">
            <v xml:space="preserve">After an all-night binge, Liann and Nova discover they've devoured Leo's final cooking assignment supplies, sending them into a frenzy to find substitutes like ketchup for tomatoes and fruit gummy candies for fruit. With determination, Leo transforms the odd ingredients into surprisingly delicious dishes, earning him top marks at the academy. </v>
          </cell>
        </row>
        <row r="25">
          <cell r="D25" t="str">
            <v xml:space="preserve">Aliya talks to a "new boy" whom she likes but things get hilariously awkward when Aliya discovers the boy is actually Pickle Boy! </v>
          </cell>
          <cell r="F25" t="str">
            <v>As Aliya and Nova prep for the Christmas Party, Aliya's laundry day turns into a rom-com disaster when she meets a "new boy" at the laundromat. Nova's advice leads to cringeworthy moments, but things get hilariously awkward when Aliya discovers the boy is actually Pickle Boy! Amidst the chaos, Pickle Boy reveals his crush on Hot Dog Girl, teaching Aliya a lesson about authenticity.</v>
          </cell>
        </row>
        <row r="26">
          <cell r="D26" t="str">
            <v xml:space="preserve">In her struggle to protect tickets from grabby hands, Liann ends up giving them away. To make her feel better, Nova organizes a backyard movie night. </v>
          </cell>
          <cell r="F26" t="str">
            <v>When Liann receives two tickets to the Moon Pegasus movie premiere, chaos ensues as she tries to protect them from strangers and her friends' relentless attempts to snag the second ticket. In a whirlwind of mishaps, Liann accidentally gives them away to an elderly couple. Nova steps in, organizing a heartfelt backyard movie night instead, teaching Liann the true value of friendship.</v>
          </cell>
        </row>
      </sheetData>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F7A74-C958-471C-964B-B3E12FECB139}">
  <dimension ref="A1:K25"/>
  <sheetViews>
    <sheetView tabSelected="1" workbookViewId="0">
      <selection activeCell="E5" sqref="E5"/>
    </sheetView>
  </sheetViews>
  <sheetFormatPr defaultColWidth="9.85546875" defaultRowHeight="15" outlineLevelCol="1"/>
  <cols>
    <col min="1" max="1" width="22.140625" style="14" customWidth="1"/>
    <col min="2" max="2" width="30.140625" style="15" customWidth="1"/>
    <col min="3" max="3" width="30.140625" style="14" customWidth="1"/>
    <col min="4" max="4" width="1.5703125" style="13" customWidth="1"/>
    <col min="5" max="5" width="50" style="15" customWidth="1" outlineLevel="1"/>
    <col min="6" max="6" width="50" style="16" customWidth="1"/>
    <col min="7" max="7" width="6.5703125" style="14" customWidth="1"/>
    <col min="8" max="8" width="1.5703125" style="13" customWidth="1"/>
    <col min="9" max="9" width="79.5703125" style="15" customWidth="1" outlineLevel="1"/>
    <col min="10" max="10" width="79.5703125" style="15" customWidth="1"/>
    <col min="11" max="11" width="5.85546875" style="14" customWidth="1"/>
    <col min="12" max="16384" width="9.85546875" style="15"/>
  </cols>
  <sheetData>
    <row r="1" spans="1:11" s="17" customFormat="1" ht="31.5">
      <c r="A1" s="1" t="str">
        <f>"LOGLINES &amp; SYNOPSES - "&amp;" "&amp;'[1]GENERAL INFO'!C6&amp;" "&amp;'[1]GENERAL INFO'!D6&amp;" "&amp;'[1]GENERAL INFO'!E6&amp;","&amp;" "&amp;"Season"&amp;" "&amp;'[1]GENERAL INFO'!C8&amp;" "&amp;"("&amp;'[1]GENERAL INFO'!C10&amp;")"</f>
        <v>LOGLINES &amp; SYNOPSES -  LEGO® Friends The Next Chapter, Season 3 (2025)</v>
      </c>
      <c r="C1" s="36"/>
      <c r="F1" s="18"/>
    </row>
    <row r="2" spans="1:11" s="19" customFormat="1" ht="23.25">
      <c r="A2" s="2" t="s">
        <v>0</v>
      </c>
      <c r="B2" s="2" t="s">
        <v>1</v>
      </c>
      <c r="C2" s="24" t="s">
        <v>2</v>
      </c>
      <c r="D2" s="3"/>
      <c r="E2" s="4" t="s">
        <v>3</v>
      </c>
      <c r="F2" s="27" t="s">
        <v>4</v>
      </c>
      <c r="G2" s="5" t="s">
        <v>5</v>
      </c>
      <c r="H2" s="3"/>
      <c r="I2" s="4" t="s">
        <v>6</v>
      </c>
      <c r="J2" s="27" t="s">
        <v>7</v>
      </c>
      <c r="K2" s="5" t="s">
        <v>8</v>
      </c>
    </row>
    <row r="3" spans="1:11" s="20" customFormat="1" ht="92.25">
      <c r="A3" s="6" t="s">
        <v>9</v>
      </c>
      <c r="B3" s="7" t="str">
        <f>'[1]GENERAL INFO'!C6&amp;" "&amp;'[1]GENERAL INFO'!D6&amp;" "&amp;'[1]GENERAL INFO'!E6</f>
        <v>LEGO® Friends The Next Chapter</v>
      </c>
      <c r="C3" s="22" t="s">
        <v>10</v>
      </c>
      <c r="D3" s="8"/>
      <c r="E3" s="9" t="str">
        <f>IF('[1]LOGLINES &amp; SYNOPSES'!D5&lt;&gt;"",'[1]LOGLINES &amp; SYNOPSES'!D5,"")</f>
        <v>Join the fun in LEGO Friends: The Next Chapter! Leo cooks up adventures, while Liann and Nova bond over comics. Exciting friendships and laughs await!</v>
      </c>
      <c r="F3" s="23" t="s">
        <v>11</v>
      </c>
      <c r="G3" s="10">
        <f>LEN(F3)</f>
        <v>94</v>
      </c>
      <c r="H3" s="8"/>
      <c r="I3" s="9" t="str">
        <f>IF('[1]LOGLINES &amp; SYNOPSES'!F5&lt;&gt;"",'[1]LOGLINES &amp; SYNOPSES'!F5,"")</f>
        <v>Season 3 of LEGO Friends: The Next Chapter features shorter, 11-minute episodes packed with comedy and friendship mishaps. Leo joins a cooking academy but loses his creative touch, meanwhile Liann and Nova bond over a love of comics and become BFFs. Join the gang for fun adventures, from babysitting chaos to showdowns at the beach resort, all while learning the value of friendship and teamwork!</v>
      </c>
      <c r="J3" s="53" t="s">
        <v>12</v>
      </c>
      <c r="K3" s="10">
        <f>LEN(J3)</f>
        <v>185</v>
      </c>
    </row>
    <row r="4" spans="1:11" s="20" customFormat="1" ht="15.75">
      <c r="A4" s="6" t="str">
        <f>"Season"&amp;" "&amp;'[1]GENERAL INFO'!C8&amp;" "&amp;"("&amp;'[1]GENERAL INFO'!C10&amp;")"</f>
        <v>Season 3 (2025)</v>
      </c>
      <c r="B4" s="7"/>
      <c r="C4" s="22"/>
      <c r="D4" s="8"/>
      <c r="E4" s="9"/>
      <c r="F4" s="23"/>
      <c r="G4" s="10">
        <f t="shared" ref="G4:G24" si="0">LEN(F4)</f>
        <v>0</v>
      </c>
      <c r="H4" s="8"/>
      <c r="I4" s="9"/>
      <c r="J4" s="54"/>
      <c r="K4" s="10">
        <f t="shared" ref="K4:K24" si="1">LEN(J4)</f>
        <v>0</v>
      </c>
    </row>
    <row r="5" spans="1:11" ht="77.25">
      <c r="A5" s="11" t="str">
        <f>IF('[1]GENERAL INFO'!H6&lt;&gt;"","Ep."&amp;" "&amp;'[1]GENERAL INFO'!H6,"")</f>
        <v>Ep. 301 </v>
      </c>
      <c r="B5" s="12" t="str">
        <f>IF('[1]GENERAL INFO'!I6&lt;&gt;"",'[1]GENERAL INFO'!I6,"")</f>
        <v>Fake News Frenzy!</v>
      </c>
      <c r="C5" s="22" t="s">
        <v>13</v>
      </c>
      <c r="E5" s="12" t="str">
        <f>IF('[1]LOGLINES &amp; SYNOPSES'!D7&lt;&gt;"",'[1]LOGLINES &amp; SYNOPSES'!D7,"")</f>
        <v>Liann takes over as editor of the school news channel but realizes there is nothing exciting to report so she enlists Nova’s help to create some news.</v>
      </c>
      <c r="F5" s="23" t="s">
        <v>14</v>
      </c>
      <c r="G5" s="10">
        <f t="shared" si="0"/>
        <v>69</v>
      </c>
      <c r="I5" s="12" t="str">
        <f>IF('[1]LOGLINES &amp; SYNOPSES'!F7&lt;&gt;"",'[1]LOGLINES &amp; SYNOPSES'!F7,"")</f>
        <v xml:space="preserve">When Aliya can no longer serve as editor-in-chief of the school newspaper she asks Liann to take over. Reluctantly Liann agrees, but changes it to a school news channel. She learns that all the “news” is quite boring. Determined to have the best news channel ever, she asks Nova to help her create some “fake” but exciting news. The girls create drama, but take it too far. </v>
      </c>
      <c r="J5" s="53" t="s">
        <v>15</v>
      </c>
      <c r="K5" s="10">
        <f t="shared" si="1"/>
        <v>149</v>
      </c>
    </row>
    <row r="6" spans="1:11" ht="77.25">
      <c r="A6" s="11" t="str">
        <f>IF('[1]GENERAL INFO'!H7&lt;&gt;"","Ep."&amp;" "&amp;'[1]GENERAL INFO'!H7,"")</f>
        <v>Ep. 302 </v>
      </c>
      <c r="B6" s="12" t="str">
        <f>IF('[1]GENERAL INFO'!I7&lt;&gt;"",'[1]GENERAL INFO'!I7,"")</f>
        <v>Rescue that Piano!</v>
      </c>
      <c r="C6" s="22" t="s">
        <v>16</v>
      </c>
      <c r="E6" s="12" t="str">
        <f>IF('[1]LOGLINES &amp; SYNOPSES'!D8&lt;&gt;"",'[1]LOGLINES &amp; SYNOPSES'!D8,"")</f>
        <v xml:space="preserve">When the piano at the community center breaks on the day of the recital, Paisley, Zac and Olly need to get a new one across town in time. </v>
      </c>
      <c r="F6" s="23" t="s">
        <v>17</v>
      </c>
      <c r="G6" s="10">
        <f t="shared" si="0"/>
        <v>76</v>
      </c>
      <c r="I6" s="12" t="str">
        <f>IF('[1]LOGLINES &amp; SYNOPSES'!F8&lt;&gt;"",'[1]LOGLINES &amp; SYNOPSES'!F8,"")</f>
        <v xml:space="preserve">While giving a piano lesson in the community center, the piano breaks. Paisley must figure out how to get a new one in time for the evening’s recital. Zac puts out a call for help to all the friends. Eventually Olly says they can borrow Andrea’s. The three then must get the piano all the way from Andrea’s house back to the community center facing several challenging obstacles along the way. </v>
      </c>
      <c r="J6" s="53" t="s">
        <v>18</v>
      </c>
      <c r="K6" s="10">
        <f t="shared" si="1"/>
        <v>184</v>
      </c>
    </row>
    <row r="7" spans="1:11" ht="77.25">
      <c r="A7" s="11" t="str">
        <f>IF('[1]GENERAL INFO'!H8&lt;&gt;"","Ep."&amp;" "&amp;'[1]GENERAL INFO'!H8,"")</f>
        <v>Ep. 303 </v>
      </c>
      <c r="B7" s="12" t="str">
        <f>IF('[1]GENERAL INFO'!I8&lt;&gt;"",'[1]GENERAL INFO'!I8,"")</f>
        <v>Friends Prank Wars </v>
      </c>
      <c r="C7" s="22" t="s">
        <v>19</v>
      </c>
      <c r="E7" s="12" t="str">
        <f>IF('[1]LOGLINES &amp; SYNOPSES'!D9&lt;&gt;"",'[1]LOGLINES &amp; SYNOPSES'!D9,"")</f>
        <v xml:space="preserve">After Zac plays a small prank on Leo, Leo seeks revenge and an all-out prank war ensues. </v>
      </c>
      <c r="F7" s="23" t="s">
        <v>20</v>
      </c>
      <c r="G7" s="10">
        <f t="shared" si="0"/>
        <v>41</v>
      </c>
      <c r="I7" s="12" t="str">
        <f>IF('[1]LOGLINES &amp; SYNOPSES'!F9&lt;&gt;"",'[1]LOGLINES &amp; SYNOPSES'!F9,"")</f>
        <v xml:space="preserve">Zac and Leo, with the help of Aliya and Autumn, get into a prank war. It starts off small and harmless, but Leo is determined to win. So with Liann’s help, he and Autumn convince the others that they have body swapped. But when it’s time for an important soccer match, Leo must decide what’s more important – winning the prank war or being a good Teammate. </v>
      </c>
      <c r="J7" s="21" t="s">
        <v>21</v>
      </c>
      <c r="K7" s="10">
        <f t="shared" si="1"/>
        <v>177</v>
      </c>
    </row>
    <row r="8" spans="1:11" ht="81">
      <c r="A8" s="11" t="str">
        <f>IF('[1]GENERAL INFO'!H9&lt;&gt;"","Ep."&amp;" "&amp;'[1]GENERAL INFO'!H9,"")</f>
        <v>Ep. 304 </v>
      </c>
      <c r="B8" s="12" t="str">
        <f>IF('[1]GENERAL INFO'!I9&lt;&gt;"",'[1]GENERAL INFO'!I9,"")</f>
        <v>Pickle’s Perfect Pet Feast </v>
      </c>
      <c r="C8" s="22" t="s">
        <v>22</v>
      </c>
      <c r="E8" s="12" t="str">
        <f>IF('[1]LOGLINES &amp; SYNOPSES'!D10&lt;&gt;"",'[1]LOGLINES &amp; SYNOPSES'!D10,"")</f>
        <v xml:space="preserve">When Pickle’s favorite dog food is discontinued, Nova must figure out a way to get Pickle to eat again. </v>
      </c>
      <c r="F8" s="23" t="s">
        <v>23</v>
      </c>
      <c r="G8" s="10">
        <f t="shared" si="0"/>
        <v>49</v>
      </c>
      <c r="I8" s="12" t="str">
        <f>IF('[1]LOGLINES &amp; SYNOPSES'!F10&lt;&gt;"",'[1]LOGLINES &amp; SYNOPSES'!F10,"")</f>
        <v>After learning that Pickle’s favorite dog food has been discontinued, Nova tries every trick to get her pup to eat. But he refuses. Finally, she goes to Leo for help. Together, they make the perfect homemade dog food for Pickle. He loves it! Even the dogs at the Dog Adoption love it. So Nova and Leo make batches and batches more. Then, Nova finds out the original food wasn’t actually discontinued!</v>
      </c>
      <c r="J8" s="21" t="s">
        <v>24</v>
      </c>
      <c r="K8" s="10">
        <f t="shared" si="1"/>
        <v>226</v>
      </c>
    </row>
    <row r="9" spans="1:11" ht="77.25">
      <c r="A9" s="11" t="str">
        <f>IF('[1]GENERAL INFO'!H10&lt;&gt;"","Ep."&amp;" "&amp;'[1]GENERAL INFO'!H10,"")</f>
        <v>Ep. 305 </v>
      </c>
      <c r="B9" s="12" t="str">
        <f>IF('[1]GENERAL INFO'!I10&lt;&gt;"",'[1]GENERAL INFO'!I10,"")</f>
        <v>Comics &amp; Confessions </v>
      </c>
      <c r="C9" s="22" t="s">
        <v>25</v>
      </c>
      <c r="E9" s="12" t="str">
        <f>IF('[1]LOGLINES &amp; SYNOPSES'!D11&lt;&gt;"",'[1]LOGLINES &amp; SYNOPSES'!D11,"")</f>
        <v xml:space="preserve">As Nova tries to hide her love of a comic book series from Liann, her delay in purchasing it means it sells out! A compassionate Liann saves the day. </v>
      </c>
      <c r="F9" s="23" t="s">
        <v>26</v>
      </c>
      <c r="G9" s="10">
        <f t="shared" si="0"/>
        <v>68</v>
      </c>
      <c r="I9" s="12" t="str">
        <f>IF('[1]LOGLINES &amp; SYNOPSES'!F11&lt;&gt;"",'[1]LOGLINES &amp; SYNOPSES'!F11,"")</f>
        <v xml:space="preserve">The town buzzes with excitement over the latest issue of the cheesy romance comic series, Moon Pegasus Saga. Liann eagerly heads to the comic store while Nova tries to conceal her fandom. Nova panics when she discovers Liann works there. Liann cleverly gets Nova to admit her love for the series. Pickle Boy snatches the last copy before Nova can buy it. </v>
      </c>
      <c r="J9" s="21" t="s">
        <v>27</v>
      </c>
      <c r="K9" s="10">
        <f t="shared" si="1"/>
        <v>185</v>
      </c>
    </row>
    <row r="10" spans="1:11" ht="81">
      <c r="A10" s="11" t="str">
        <f>IF('[1]GENERAL INFO'!H11&lt;&gt;"","Ep."&amp;" "&amp;'[1]GENERAL INFO'!H11,"")</f>
        <v>Ep. 306 </v>
      </c>
      <c r="B10" s="12" t="str">
        <f>IF('[1]GENERAL INFO'!I11&lt;&gt;"",'[1]GENERAL INFO'!I11,"")</f>
        <v>Cooking Dreams At Risk</v>
      </c>
      <c r="C10" s="31" t="s">
        <v>28</v>
      </c>
      <c r="D10" s="32"/>
      <c r="E10" s="33" t="str">
        <f>IF('[1]LOGLINES &amp; SYNOPSES'!D12&lt;&gt;"",'[1]LOGLINES &amp; SYNOPSES'!D12,"")</f>
        <v xml:space="preserve">Leo wants to apply to the cooking academy but doesn’t pay attention to the deadline and goes camping. He submits just in time and gets the last spot. </v>
      </c>
      <c r="F10" s="34" t="s">
        <v>29</v>
      </c>
      <c r="G10" s="10">
        <f t="shared" si="0"/>
        <v>80</v>
      </c>
      <c r="I10" s="12" t="str">
        <f>IF('[1]LOGLINES &amp; SYNOPSES'!F12&lt;&gt;"",'[1]LOGLINES &amp; SYNOPSES'!F12,"")</f>
        <v>Leo dreams of getting into Chef Marta's cooking academy. But when Niko invites him on a camping trip, Leo must balance friendship and ambition. As he enjoys the outdoors, Candi tries desperately to reach him about the competition's limited slots. Racing back home on a unicycle, Leo faces mishaps and loses part of his culinary masterpiece. He submits his entry just in time, securing the final slot.</v>
      </c>
      <c r="J10" s="21" t="s">
        <v>30</v>
      </c>
      <c r="K10" s="10">
        <f t="shared" si="1"/>
        <v>194</v>
      </c>
    </row>
    <row r="11" spans="1:11" ht="81">
      <c r="A11" s="11" t="str">
        <f>IF('[1]GENERAL INFO'!H12&lt;&gt;"","Ep."&amp;" "&amp;'[1]GENERAL INFO'!H12,"")</f>
        <v>Ep. 307 </v>
      </c>
      <c r="B11" s="30" t="str">
        <f>IF('[1]GENERAL INFO'!I12&lt;&gt;"",'[1]GENERAL INFO'!I12,"")</f>
        <v>Comic Shop Lock-In!</v>
      </c>
      <c r="C11" s="28" t="s">
        <v>31</v>
      </c>
      <c r="E11" s="12" t="str">
        <f>IF('[1]LOGLINES &amp; SYNOPSES'!D13&lt;&gt;"",'[1]LOGLINES &amp; SYNOPSES'!D13,"")</f>
        <v xml:space="preserve">After Liann and Nova lock themselves in the Comic Shop, their friends rescue them; but they startle each other and end up getting trapped inside!  </v>
      </c>
      <c r="F11" s="29" t="s">
        <v>32</v>
      </c>
      <c r="G11" s="10">
        <f t="shared" si="0"/>
        <v>63</v>
      </c>
      <c r="I11" s="30" t="str">
        <f>IF('[1]LOGLINES &amp; SYNOPSES'!F13&lt;&gt;"",'[1]LOGLINES &amp; SYNOPSES'!F13,"")</f>
        <v>Liann and Nova accidentally lock themselves in the Comic Shop while moving comics. Meanwhile, their friends are out without phones. As Liann and Nova read comics to pass time, their friends find the shop in disarray and the girls missing. Fueled by a scary comic, they panic, thinking someone is inside. When they realize the truth, they laugh at themselves. They discover now they're all trapped!</v>
      </c>
      <c r="J11" s="25" t="s">
        <v>33</v>
      </c>
      <c r="K11" s="10">
        <f t="shared" si="1"/>
        <v>196</v>
      </c>
    </row>
    <row r="12" spans="1:11" ht="81">
      <c r="A12" s="11" t="str">
        <f>IF('[1]GENERAL INFO'!H13&lt;&gt;"","Ep."&amp;" "&amp;'[1]GENERAL INFO'!H13,"")</f>
        <v>Ep. 308 </v>
      </c>
      <c r="B12" s="30" t="str">
        <f>IF('[1]GENERAL INFO'!I13&lt;&gt;"",'[1]GENERAL INFO'!I13,"")</f>
        <v>Babysitting Mishaps</v>
      </c>
      <c r="C12" s="28" t="s">
        <v>34</v>
      </c>
      <c r="E12" s="12" t="str">
        <f>IF('[1]LOGLINES &amp; SYNOPSES'!D14&lt;&gt;"",'[1]LOGLINES &amp; SYNOPSES'!D14,"")</f>
        <v xml:space="preserve">Aliya and Zac babysit Amalia and lose her. After a wild chase, they find her, and fall asleep exhausted as Aliya's mom returns, none the wiser. </v>
      </c>
      <c r="F12" s="29" t="s">
        <v>35</v>
      </c>
      <c r="G12" s="10">
        <f t="shared" si="0"/>
        <v>81</v>
      </c>
      <c r="I12" s="30" t="str">
        <f>IF('[1]LOGLINES &amp; SYNOPSES'!F14&lt;&gt;"",'[1]LOGLINES &amp; SYNOPSES'!F14,"")</f>
        <v>Aliya and Zac babysit her baby sister, Amalia, but their attempts to baby-proof the apartment backfire, trapping Zac. Meanwhile, Amalia wanders off following a puppy on a box, leading them on a wild chase. Leo joins in, and shares his news: he got into the cooking academy! After finally finding Amalia, they all fall asleep exhausted. Aliya's mom returns to find them asleep with the baby.</v>
      </c>
      <c r="J12" s="25" t="s">
        <v>36</v>
      </c>
      <c r="K12" s="10">
        <f t="shared" si="1"/>
        <v>198</v>
      </c>
    </row>
    <row r="13" spans="1:11" ht="81">
      <c r="A13" s="11" t="str">
        <f>IF('[1]GENERAL INFO'!H14&lt;&gt;"","Ep."&amp;" "&amp;'[1]GENERAL INFO'!H14,"")</f>
        <v>Ep. 309 </v>
      </c>
      <c r="B13" s="30" t="str">
        <f>IF('[1]GENERAL INFO'!I14&lt;&gt;"",'[1]GENERAL INFO'!I14,"")</f>
        <v>Zac's Awesome Soccer Skills</v>
      </c>
      <c r="C13" s="28" t="s">
        <v>37</v>
      </c>
      <c r="E13" s="12" t="str">
        <f>IF('[1]LOGLINES &amp; SYNOPSES'!D15&lt;&gt;"",'[1]LOGLINES &amp; SYNOPSES'!D15,"")</f>
        <v xml:space="preserve">When Zac buys a trick ball to impress his hero, Milo swallows its remote, causing the ball to go haywired. </v>
      </c>
      <c r="F13" s="29" t="s">
        <v>38</v>
      </c>
      <c r="G13" s="10">
        <f t="shared" si="0"/>
        <v>72</v>
      </c>
      <c r="I13" s="30" t="str">
        <f>IF('[1]LOGLINES &amp; SYNOPSES'!F15&lt;&gt;"",'[1]LOGLINES &amp; SYNOPSES'!F15,"")</f>
        <v>Zac, a soccer enthusiast, hopes to impress his hero Ronelio at a dedication ceremony. He buys the "Soccer Star Pro" program but finds it ineffective. Meanwhile, a playful pig named Milo swallows the remote for the ball, causing chaos. Despite mishaps, Zac saves Ronelio from the runaway ball, earning praise for his skill and dedication. Zac learns the value of hard work over shortcuts.</v>
      </c>
      <c r="J13" s="25" t="s">
        <v>39</v>
      </c>
      <c r="K13" s="10">
        <f t="shared" si="1"/>
        <v>204</v>
      </c>
    </row>
    <row r="14" spans="1:11" ht="77.25">
      <c r="A14" s="11" t="str">
        <f>IF('[1]GENERAL INFO'!H15&lt;&gt;"","Ep."&amp;" "&amp;'[1]GENERAL INFO'!H15,"")</f>
        <v>Ep. 310 </v>
      </c>
      <c r="B14" s="30" t="str">
        <f>IF('[1]GENERAL INFO'!I15&lt;&gt;"",'[1]GENERAL INFO'!I15,"")</f>
        <v>Too Many Cooks (in the Kitchen)</v>
      </c>
      <c r="C14" s="28" t="s">
        <v>40</v>
      </c>
      <c r="E14" s="12" t="str">
        <f>IF('[1]LOGLINES &amp; SYNOPSES'!D16&lt;&gt;"",'[1]LOGLINES &amp; SYNOPSES'!D16,"")</f>
        <v xml:space="preserve">On Leo's first day at the Cooking Academy, he gets paired with Candi for challenges, testing their strained relationship. </v>
      </c>
      <c r="F14" s="29" t="s">
        <v>41</v>
      </c>
      <c r="G14" s="10">
        <f t="shared" si="0"/>
        <v>47</v>
      </c>
      <c r="I14" s="30" t="str">
        <f>IF('[1]LOGLINES &amp; SYNOPSES'!F16&lt;&gt;"",'[1]LOGLINES &amp; SYNOPSES'!F16,"")</f>
        <v>Leo arrives at the Cooking Academy eager to impress Chef Marta, but his plans are disrupted when he encounters Candi. Despite their strained relationship, they're paired together for cooking challenges. Amidst their disagreements, they manage to impress Chef Marta. When elimination looms, Leo offers to sacrifice himself, but Brad and Pickle Boy are sent home instead.</v>
      </c>
      <c r="J14" s="25" t="s">
        <v>42</v>
      </c>
      <c r="K14" s="10">
        <f t="shared" si="1"/>
        <v>156</v>
      </c>
    </row>
    <row r="15" spans="1:11" ht="81">
      <c r="A15" s="11" t="str">
        <f>IF('[1]GENERAL INFO'!H16&lt;&gt;"","Ep."&amp;" "&amp;'[1]GENERAL INFO'!H16,"")</f>
        <v>Ep. 311 </v>
      </c>
      <c r="B15" s="30" t="str">
        <f>IF('[1]GENERAL INFO'!I16&lt;&gt;"",'[1]GENERAL INFO'!I16,"")</f>
        <v>Falling for Heartlake City </v>
      </c>
      <c r="C15" s="28" t="s">
        <v>43</v>
      </c>
      <c r="E15" s="12" t="str">
        <f>IF('[1]LOGLINES &amp; SYNOPSES'!D17&lt;&gt;"",'[1]LOGLINES &amp; SYNOPSES'!D17,"")</f>
        <v>A misunderstanding causes Zac to assume Sky is moving away from Heartlake so he schemes to keep her local.</v>
      </c>
      <c r="F15" s="29" t="s">
        <v>44</v>
      </c>
      <c r="G15" s="10">
        <f t="shared" si="0"/>
        <v>51</v>
      </c>
      <c r="I15" s="30" t="str">
        <f>IF('[1]LOGLINES &amp; SYNOPSES'!F17&lt;&gt;"",'[1]LOGLINES &amp; SYNOPSES'!F17,"")</f>
        <v>Zac works to stop Sky from moving overseas by planning activities to make her fall in love with the city and want to stay. However, they eventually learn that Sky is only leaving for two weeks for the competition, not permanently. He apologizes for his behavior and expresses support for her dreams. Zac even jokes about inventing fast travel to make visiting each other easier in the future.</v>
      </c>
      <c r="J15" s="25" t="s">
        <v>45</v>
      </c>
      <c r="K15" s="10">
        <f t="shared" si="1"/>
        <v>194</v>
      </c>
    </row>
    <row r="16" spans="1:11" ht="77.25">
      <c r="A16" s="11" t="str">
        <f>IF('[1]GENERAL INFO'!H17&lt;&gt;"","Ep."&amp;" "&amp;'[1]GENERAL INFO'!H17,"")</f>
        <v>Ep. 312 </v>
      </c>
      <c r="B16" s="41" t="str">
        <f>IF('[1]GENERAL INFO'!I17&lt;&gt;"",'[1]GENERAL INFO'!I17,"")</f>
        <v>Creative Cook-Off Challenge</v>
      </c>
      <c r="C16" s="42" t="s">
        <v>46</v>
      </c>
      <c r="E16" s="12" t="str">
        <f>IF('[1]LOGLINES &amp; SYNOPSES'!D18&lt;&gt;"",'[1]LOGLINES &amp; SYNOPSES'!D18,"")</f>
        <v>Leo, overwhelmed by the challenge of creating a cake without a recipe, cheats by using his grandmother's cookbook.</v>
      </c>
      <c r="F16" s="29" t="s">
        <v>47</v>
      </c>
      <c r="G16" s="10">
        <f t="shared" si="0"/>
        <v>48</v>
      </c>
      <c r="I16" s="30" t="str">
        <f>IF('[1]LOGLINES &amp; SYNOPSES'!F18&lt;&gt;"",'[1]LOGLINES &amp; SYNOPSES'!F18,"")</f>
        <v>Leo, a student at a cooking academy, initially sticks to recipes but faces pressure from instructor Marta to be more creative. Struggling to come up with an original cake recipe, he resorts to cheating using his grandmother's cookbook. Caught by classmate Candi, Leo faces Marta's disappointment. He learns the value of creativity and self-confidence in cooking.</v>
      </c>
      <c r="J16" s="25" t="s">
        <v>48</v>
      </c>
      <c r="K16" s="10">
        <f t="shared" si="1"/>
        <v>160</v>
      </c>
    </row>
    <row r="17" spans="1:11" ht="77.25">
      <c r="A17" s="39" t="str">
        <f>IF('[1]GENERAL INFO'!H18&lt;&gt;"","Ep."&amp;" "&amp;'[1]GENERAL INFO'!H18,"")</f>
        <v>Ep. 313 </v>
      </c>
      <c r="B17" s="12" t="str">
        <f>IF('[1]GENERAL INFO'!I18&lt;&gt;"",'[1]GENERAL INFO'!I18,"")</f>
        <v>Social Likes Vs Kindness</v>
      </c>
      <c r="C17" s="37" t="s">
        <v>49</v>
      </c>
      <c r="D17" s="40"/>
      <c r="E17" s="12" t="str">
        <f>IF('[1]LOGLINES &amp; SYNOPSES'!D19&lt;&gt;"",'[1]LOGLINES &amp; SYNOPSES'!D19,"")</f>
        <v xml:space="preserve">Olly's comically misguided quest for social media likes teaches him the importance of kindness, leading him to anonymously donate handmade dog beds. </v>
      </c>
      <c r="F17" s="26" t="s">
        <v>50</v>
      </c>
      <c r="G17" s="10">
        <f t="shared" si="0"/>
        <v>73</v>
      </c>
      <c r="I17" s="30" t="s">
        <v>51</v>
      </c>
      <c r="J17" s="26" t="s">
        <v>52</v>
      </c>
      <c r="K17" s="10">
        <f t="shared" si="1"/>
        <v>164</v>
      </c>
    </row>
    <row r="18" spans="1:11" ht="77.25">
      <c r="A18" s="39" t="str">
        <f>IF('[1]GENERAL INFO'!H19&lt;&gt;"","Ep."&amp;" "&amp;'[1]GENERAL INFO'!H19,"")</f>
        <v>Ep. 314 </v>
      </c>
      <c r="B18" s="12" t="str">
        <f>IF('[1]GENERAL INFO'!I19&lt;&gt;"",'[1]GENERAL INFO'!I19,"")</f>
        <v>Beach Resort Showdown</v>
      </c>
      <c r="C18" s="38" t="s">
        <v>53</v>
      </c>
      <c r="D18" s="40"/>
      <c r="E18" s="12" t="str">
        <f>IF('[1]LOGLINES &amp; SYNOPSES'!D20&lt;&gt;"",'[1]LOGLINES &amp; SYNOPSES'!D20,"")</f>
        <v xml:space="preserve">Aliya and Autumn land jobs at the beach resort and see Nurse Fifi works there too. As a germaphobe, Fifi causes comedic chaos and gets fired. </v>
      </c>
      <c r="F18" s="26" t="s">
        <v>54</v>
      </c>
      <c r="G18" s="10">
        <f t="shared" si="0"/>
        <v>88</v>
      </c>
      <c r="I18" s="30" t="str">
        <f>IF('[1]LOGLINES &amp; SYNOPSES'!F20&lt;&gt;"",'[1]LOGLINES &amp; SYNOPSES'!F20,"")</f>
        <v>Aliya and Autumn both land jobs at the beach resort. Nurse Fifi, who is obsessed with cleanliness, causes comedic chaos. As the situation escalates, Aliya and Autumn realize that Fifi's behavior could lead to a bad review and potentially shut it down, so they gather evidence and confront her, leading to her comedic resignation, which seems to happen in every episode Nurse Fifi is in.</v>
      </c>
      <c r="J18" s="26" t="s">
        <v>55</v>
      </c>
      <c r="K18" s="10">
        <f t="shared" si="1"/>
        <v>167</v>
      </c>
    </row>
    <row r="19" spans="1:11" ht="77.25">
      <c r="A19" s="39" t="str">
        <f>IF('[1]GENERAL INFO'!H20&lt;&gt;"","Ep."&amp;" "&amp;'[1]GENERAL INFO'!H20,"")</f>
        <v>Ep. 315 </v>
      </c>
      <c r="B19" s="12" t="str">
        <f>IF('[1]GENERAL INFO'!I20&lt;&gt;"",'[1]GENERAL INFO'!I20,"")</f>
        <v>Nova’s Quiet Time </v>
      </c>
      <c r="C19" s="38" t="s">
        <v>56</v>
      </c>
      <c r="D19" s="40"/>
      <c r="E19" s="12" t="str">
        <f>IF('[1]LOGLINES &amp; SYNOPSES'!D21&lt;&gt;"",'[1]LOGLINES &amp; SYNOPSES'!D21,"")</f>
        <v xml:space="preserve">Nova values alone time, and rudely tells this to Liann. However, she soon realizes she also appreciates being invited to join her friends.  </v>
      </c>
      <c r="F19" s="26" t="s">
        <v>57</v>
      </c>
      <c r="G19" s="10">
        <f t="shared" si="0"/>
        <v>72</v>
      </c>
      <c r="I19" s="30" t="str">
        <f>IF('[1]LOGLINES &amp; SYNOPSES'!F21&lt;&gt;"",'[1]LOGLINES &amp; SYNOPSES'!F21,"")</f>
        <v>Nova values her alone time. Despite this, her friend Liann persistently tries to include her in various activities. Nova resists, preferring to enjoy her comics and relaxation. However, eventually Nova feels left out when she sees her friends having fun without her. In the end, Nova realizes that while she values her alone time, she also appreciates being invited to join her friends.</v>
      </c>
      <c r="J19" s="26" t="s">
        <v>58</v>
      </c>
      <c r="K19" s="10">
        <f t="shared" si="1"/>
        <v>163</v>
      </c>
    </row>
    <row r="20" spans="1:11" ht="81">
      <c r="A20" s="39" t="str">
        <f>IF('[1]GENERAL INFO'!H21&lt;&gt;"","Ep."&amp;" "&amp;'[1]GENERAL INFO'!H21,"")</f>
        <v>Ep. 316 </v>
      </c>
      <c r="B20" s="12" t="str">
        <f>IF('[1]GENERAL INFO'!I21&lt;&gt;"",'[1]GENERAL INFO'!I21,"")</f>
        <v>Adventure Camp Competition</v>
      </c>
      <c r="C20" s="22" t="s">
        <v>59</v>
      </c>
      <c r="D20" s="40"/>
      <c r="E20" s="12" t="str">
        <f>IF('[1]LOGLINES &amp; SYNOPSES'!D22&lt;&gt;"",'[1]LOGLINES &amp; SYNOPSES'!D22,"")</f>
        <v xml:space="preserve">As Sky and Zac tackle athletic challenges, Sky's competitiveness clashes with Zac's laid-back attitude, culminating in a dodgeball showdown.  </v>
      </c>
      <c r="F20" s="45" t="s">
        <v>60</v>
      </c>
      <c r="G20" s="10">
        <f t="shared" si="0"/>
        <v>67</v>
      </c>
      <c r="I20" s="30" t="str">
        <f>IF('[1]LOGLINES &amp; SYNOPSES'!F22&lt;&gt;"",'[1]LOGLINES &amp; SYNOPSES'!F22,"")</f>
        <v>Sky, Zac, Autumn, and Niko enjoy outdoor fun. Surprise hits when Sky's sister, Aston, appears as camp referee. As they tackle challenges like kayaking and high ropes, Sky's competitiveness clashes with Zac's laid-back attitude, culminating in a dodgeball showdown. Sky learns the value of enjoying sports with friends, leading to a newfound appreciation for the game.</v>
      </c>
      <c r="J20" s="45" t="s">
        <v>61</v>
      </c>
      <c r="K20" s="10">
        <f t="shared" si="1"/>
        <v>202</v>
      </c>
    </row>
    <row r="21" spans="1:11" ht="93.75" customHeight="1">
      <c r="A21" s="11" t="str">
        <f>IF('[1]GENERAL INFO'!H22&lt;&gt;"","Ep."&amp;" "&amp;'[1]GENERAL INFO'!H22,"")</f>
        <v>Ep. 317 </v>
      </c>
      <c r="B21" s="43" t="s">
        <v>62</v>
      </c>
      <c r="C21" s="47" t="s">
        <v>63</v>
      </c>
      <c r="E21" s="30" t="s">
        <v>64</v>
      </c>
      <c r="F21" s="49" t="s">
        <v>65</v>
      </c>
      <c r="G21" s="10">
        <f t="shared" si="0"/>
        <v>96</v>
      </c>
      <c r="I21" s="30" t="s">
        <v>66</v>
      </c>
      <c r="J21" s="51" t="s">
        <v>67</v>
      </c>
      <c r="K21" s="10">
        <f t="shared" si="1"/>
        <v>200</v>
      </c>
    </row>
    <row r="22" spans="1:11" ht="83.25" customHeight="1">
      <c r="A22" s="11" t="str">
        <f>IF('[1]GENERAL INFO'!H23&lt;&gt;"","Ep."&amp;" "&amp;'[1]GENERAL INFO'!H23,"")</f>
        <v>Ep. 318 </v>
      </c>
      <c r="B22" s="30" t="s">
        <v>68</v>
      </c>
      <c r="C22" s="48" t="s">
        <v>69</v>
      </c>
      <c r="E22" s="30" t="s">
        <v>70</v>
      </c>
      <c r="F22" s="50" t="s">
        <v>71</v>
      </c>
      <c r="G22" s="10">
        <f t="shared" si="0"/>
        <v>76</v>
      </c>
      <c r="I22" s="30" t="s">
        <v>72</v>
      </c>
      <c r="J22" s="51" t="s">
        <v>73</v>
      </c>
      <c r="K22" s="10">
        <f t="shared" si="1"/>
        <v>218</v>
      </c>
    </row>
    <row r="23" spans="1:11" ht="107.25" customHeight="1">
      <c r="A23" s="11" t="str">
        <f>IF('[1]GENERAL INFO'!H24&lt;&gt;"","Ep."&amp;" "&amp;'[1]GENERAL INFO'!H24,"")</f>
        <v>Ep. 319 </v>
      </c>
      <c r="B23" s="30" t="s">
        <v>74</v>
      </c>
      <c r="C23" s="48" t="s">
        <v>75</v>
      </c>
      <c r="E23" s="30" t="s">
        <v>76</v>
      </c>
      <c r="F23" s="50" t="s">
        <v>77</v>
      </c>
      <c r="G23" s="10">
        <f t="shared" si="0"/>
        <v>64</v>
      </c>
      <c r="I23" s="30" t="s">
        <v>78</v>
      </c>
      <c r="J23" s="51" t="s">
        <v>79</v>
      </c>
      <c r="K23" s="10">
        <f t="shared" si="1"/>
        <v>191</v>
      </c>
    </row>
    <row r="24" spans="1:11" ht="99" customHeight="1">
      <c r="A24" s="11" t="str">
        <f>IF('[1]GENERAL INFO'!H25&lt;&gt;"","Ep."&amp;" "&amp;'[1]GENERAL INFO'!H25,"")</f>
        <v>Ep. 320 </v>
      </c>
      <c r="B24" s="12" t="s">
        <v>80</v>
      </c>
      <c r="C24" s="47" t="s">
        <v>81</v>
      </c>
      <c r="D24" s="35"/>
      <c r="E24" s="43" t="s">
        <v>82</v>
      </c>
      <c r="F24" s="50" t="s">
        <v>83</v>
      </c>
      <c r="G24" s="10">
        <f t="shared" si="0"/>
        <v>64</v>
      </c>
      <c r="I24" s="30" t="s">
        <v>84</v>
      </c>
      <c r="J24" s="52" t="s">
        <v>85</v>
      </c>
      <c r="K24" s="10">
        <f t="shared" si="1"/>
        <v>161</v>
      </c>
    </row>
    <row r="25" spans="1:11">
      <c r="F25" s="46"/>
      <c r="J25" s="4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a28b43-b175-48c9-a9cb-6c1443a420ea">
      <Terms xmlns="http://schemas.microsoft.com/office/infopath/2007/PartnerControls"/>
    </lcf76f155ced4ddcb4097134ff3c332f>
    <TaxCatchAll xmlns="10dc02e7-f128-4651-a5c8-33374ff82d70"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99E7E85F80FDED49A36AFA52FE2BC38D" ma:contentTypeVersion="21" ma:contentTypeDescription="새 문서를 만듭니다." ma:contentTypeScope="" ma:versionID="60eb3b511be46b7cbd08337808523d6f">
  <xsd:schema xmlns:xsd="http://www.w3.org/2001/XMLSchema" xmlns:xs="http://www.w3.org/2001/XMLSchema" xmlns:p="http://schemas.microsoft.com/office/2006/metadata/properties" xmlns:ns1="http://schemas.microsoft.com/sharepoint/v3" xmlns:ns2="20a28b43-b175-48c9-a9cb-6c1443a420ea" xmlns:ns3="10dc02e7-f128-4651-a5c8-33374ff82d70" targetNamespace="http://schemas.microsoft.com/office/2006/metadata/properties" ma:root="true" ma:fieldsID="50478a880f0f2449b546abaf4a2d3c65" ns1:_="" ns2:_="" ns3:_="">
    <xsd:import namespace="http://schemas.microsoft.com/sharepoint/v3"/>
    <xsd:import namespace="20a28b43-b175-48c9-a9cb-6c1443a420ea"/>
    <xsd:import namespace="10dc02e7-f128-4651-a5c8-33374ff82d7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통합 준수 정책 속성" ma:hidden="true" ma:internalName="_ip_UnifiedCompliancePolicyProperties">
      <xsd:simpleType>
        <xsd:restriction base="dms:Note"/>
      </xsd:simpleType>
    </xsd:element>
    <xsd:element name="_ip_UnifiedCompliancePolicyUIAction" ma:index="22" nillable="true" ma:displayName="통합 준수 정책 UI 작업"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a28b43-b175-48c9-a9cb-6c1443a420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이미지 태그" ma:readOnly="false" ma:fieldId="{5cf76f15-5ced-4ddc-b409-7134ff3c332f}" ma:taxonomyMulti="true" ma:sspId="cda59523-cae3-4a93-ad14-9717a5d9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c02e7-f128-4651-a5c8-33374ff82d70" elementFormDefault="qualified">
    <xsd:import namespace="http://schemas.microsoft.com/office/2006/documentManagement/types"/>
    <xsd:import namespace="http://schemas.microsoft.com/office/infopath/2007/PartnerControls"/>
    <xsd:element name="SharedWithUsers" ma:index="14"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세부 정보 공유" ma:internalName="SharedWithDetails" ma:readOnly="true">
      <xsd:simpleType>
        <xsd:restriction base="dms:Note">
          <xsd:maxLength value="255"/>
        </xsd:restriction>
      </xsd:simpleType>
    </xsd:element>
    <xsd:element name="TaxCatchAll" ma:index="25" nillable="true" ma:displayName="Taxonomy Catch All Column" ma:hidden="true" ma:list="{68a7c486-a55f-498d-96cb-ec768c24d55c}" ma:internalName="TaxCatchAll" ma:showField="CatchAllData" ma:web="10dc02e7-f128-4651-a5c8-33374ff82d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214CF5-92F6-4CE5-8085-0C583F7E6F62}"/>
</file>

<file path=customXml/itemProps2.xml><?xml version="1.0" encoding="utf-8"?>
<ds:datastoreItem xmlns:ds="http://schemas.openxmlformats.org/officeDocument/2006/customXml" ds:itemID="{68C04D37-48DF-4A30-84E4-3AF559E390A1}"/>
</file>

<file path=customXml/itemProps3.xml><?xml version="1.0" encoding="utf-8"?>
<ds:datastoreItem xmlns:ds="http://schemas.openxmlformats.org/officeDocument/2006/customXml" ds:itemID="{1605926B-BE1F-4A4D-B38C-DC2936A4B1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Bruce</dc:creator>
  <cp:keywords/>
  <dc:description/>
  <cp:lastModifiedBy>Jason Lim</cp:lastModifiedBy>
  <cp:revision/>
  <dcterms:created xsi:type="dcterms:W3CDTF">2024-09-23T12:51:56Z</dcterms:created>
  <dcterms:modified xsi:type="dcterms:W3CDTF">2025-05-14T08:36:27Z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0x01010099E7E85F80FDED49A36AFA52FE2BC38D</vt:lpwstr>
  </property>
  <property fmtid="{D5CDD505-2E9C-101B-9397-08002B2CF9AE}" pid="3" name="MediaServiceImageTags">
    <vt:lpwstr/>
  </property>
</Properties>
</file>